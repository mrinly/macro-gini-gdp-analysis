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presentative analysis" sheetId="2" r:id="rId5"/>
    <sheet state="visible" name="gdp" sheetId="3" r:id="rId6"/>
    <sheet state="visible" name="gini" sheetId="4" r:id="rId7"/>
    <sheet state="visible" name="education" sheetId="5" r:id="rId8"/>
    <sheet state="visible" name="law" sheetId="6" r:id="rId9"/>
    <sheet state="visible" name="urbanisation" sheetId="7" r:id="rId10"/>
    <sheet state="visible" name="oecd" sheetId="8" r:id="rId11"/>
  </sheets>
  <definedNames/>
  <calcPr/>
  <extLst>
    <ext uri="GoogleSheetsCustomDataVersion2">
      <go:sheetsCustomData xmlns:go="http://customooxmlschemas.google.com/" r:id="rId12" roundtripDataChecksum="FZg34A8BHu+H9hqu9F0wFhbPAnOTxRYusOAU/QiPTKA="/>
    </ext>
  </extLst>
</workbook>
</file>

<file path=xl/sharedStrings.xml><?xml version="1.0" encoding="utf-8"?>
<sst xmlns="http://schemas.openxmlformats.org/spreadsheetml/2006/main" count="1572" uniqueCount="591">
  <si>
    <t xml:space="preserve">Country </t>
  </si>
  <si>
    <t>gdp_1980</t>
  </si>
  <si>
    <t>gdp_1995</t>
  </si>
  <si>
    <t>gdp_2010</t>
  </si>
  <si>
    <t>gini_1980</t>
  </si>
  <si>
    <t>gini_1995</t>
  </si>
  <si>
    <t>gini_2010</t>
  </si>
  <si>
    <t>urban_1980</t>
  </si>
  <si>
    <t>urban_1995</t>
  </si>
  <si>
    <t>urban_2010</t>
  </si>
  <si>
    <t>law_1980</t>
  </si>
  <si>
    <t>law_1995</t>
  </si>
  <si>
    <t>law_2010</t>
  </si>
  <si>
    <t>educ_1980</t>
  </si>
  <si>
    <t>educ_1995</t>
  </si>
  <si>
    <t>educ_2010</t>
  </si>
  <si>
    <t>growth_1980</t>
  </si>
  <si>
    <t>growth_1995</t>
  </si>
  <si>
    <t>growth_2010</t>
  </si>
  <si>
    <t>oecd_1980</t>
  </si>
  <si>
    <t>oecd_1995</t>
  </si>
  <si>
    <t>oecd_2010</t>
  </si>
  <si>
    <t>Afghanistan</t>
  </si>
  <si>
    <t>Albania</t>
  </si>
  <si>
    <t>Algeria</t>
  </si>
  <si>
    <t>Argentina</t>
  </si>
  <si>
    <t>Australia</t>
  </si>
  <si>
    <t>Austria</t>
  </si>
  <si>
    <t>Bangladesh</t>
  </si>
  <si>
    <t>Barbados</t>
  </si>
  <si>
    <t>Belgium</t>
  </si>
  <si>
    <t>Benin</t>
  </si>
  <si>
    <t>Bolivia</t>
  </si>
  <si>
    <t>Bulgaria</t>
  </si>
  <si>
    <t>Cambodia</t>
  </si>
  <si>
    <t>Cameroon</t>
  </si>
  <si>
    <t>Canada</t>
  </si>
  <si>
    <t>Chile</t>
  </si>
  <si>
    <t>China</t>
  </si>
  <si>
    <t>Colombia</t>
  </si>
  <si>
    <t>Costa Rica</t>
  </si>
  <si>
    <t>Cote d'Ivoire</t>
  </si>
  <si>
    <t>Cuba</t>
  </si>
  <si>
    <t>Cyprus</t>
  </si>
  <si>
    <t>Czechia</t>
  </si>
  <si>
    <t>Congo, Dem. Rep.</t>
  </si>
  <si>
    <t>Denmark</t>
  </si>
  <si>
    <t>Dominican Republic</t>
  </si>
  <si>
    <t>Ecuador</t>
  </si>
  <si>
    <t>Egypt, Arab Rep.</t>
  </si>
  <si>
    <t>El Salvador</t>
  </si>
  <si>
    <t>Fiji</t>
  </si>
  <si>
    <t>Finland</t>
  </si>
  <si>
    <t>France</t>
  </si>
  <si>
    <t>Gambia, The</t>
  </si>
  <si>
    <t>Germany</t>
  </si>
  <si>
    <t>Ghana</t>
  </si>
  <si>
    <t>Greece</t>
  </si>
  <si>
    <t>Guatemala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</si>
  <si>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</si>
  <si>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</si>
  <si>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</si>
  <si>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</si>
  <si>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</si>
  <si>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</si>
  <si>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</si>
  <si>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</si>
  <si>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</si>
  <si>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</si>
  <si>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</si>
  <si>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Italy</t>
  </si>
  <si>
    <t>Jamaica</t>
  </si>
  <si>
    <t>Japan</t>
  </si>
  <si>
    <t>Jordan</t>
  </si>
  <si>
    <t>Kenya</t>
  </si>
  <si>
    <t>Kuwait</t>
  </si>
  <si>
    <t>Lesotho</t>
  </si>
  <si>
    <t>Liberia</t>
  </si>
  <si>
    <t>Libya</t>
  </si>
  <si>
    <t>Luxembourg</t>
  </si>
  <si>
    <t>Malawi</t>
  </si>
  <si>
    <t>Malaysia</t>
  </si>
  <si>
    <t>Mali</t>
  </si>
  <si>
    <t>Malta</t>
  </si>
  <si>
    <t>Mauritius</t>
  </si>
  <si>
    <t>Mexico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</si>
  <si>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</si>
  <si>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</si>
  <si>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</si>
  <si>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</si>
  <si>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</si>
  <si>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</si>
  <si>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</si>
  <si>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</si>
  <si>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</si>
  <si>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</si>
  <si>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</si>
  <si>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</si>
  <si>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</si>
  <si>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</si>
  <si>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</si>
  <si>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</si>
  <si>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</si>
  <si>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Russian Federation</t>
  </si>
  <si>
    <t>Senegal</t>
  </si>
  <si>
    <t>Serbia</t>
  </si>
  <si>
    <t>Sierra Leone</t>
  </si>
  <si>
    <t>South Africa</t>
  </si>
  <si>
    <t>Spain</t>
  </si>
  <si>
    <t>Sri Lanka</t>
  </si>
  <si>
    <t>Sudan</t>
  </si>
  <si>
    <t>Swaziland</t>
  </si>
  <si>
    <t>Sweden</t>
  </si>
  <si>
    <t>Switzerland</t>
  </si>
  <si>
    <t>Syrian Arab Republic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</si>
  <si>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</si>
  <si>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</si>
  <si>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</si>
  <si>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</si>
  <si>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</si>
  <si>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</si>
  <si>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</si>
  <si>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Uruguay</t>
  </si>
  <si>
    <t>Venezuela, RB</t>
  </si>
  <si>
    <t>Yemen, Rep.</t>
  </si>
  <si>
    <t>Zambia</t>
  </si>
  <si>
    <t>Zimbabwe</t>
  </si>
  <si>
    <t>Region</t>
  </si>
  <si>
    <t>Income</t>
  </si>
  <si>
    <t>Total</t>
  </si>
  <si>
    <t>Present</t>
  </si>
  <si>
    <t>Representation rate</t>
  </si>
  <si>
    <t>East Asia &amp; Pacific</t>
  </si>
  <si>
    <t>High income</t>
  </si>
  <si>
    <t>Lower middle income</t>
  </si>
  <si>
    <t>Europe &amp; Central Asia</t>
  </si>
  <si>
    <t>Upper middle income</t>
  </si>
  <si>
    <t>Latin America &amp; Caribbean</t>
  </si>
  <si>
    <t>Middle East &amp; North Africa</t>
  </si>
  <si>
    <t>North America</t>
  </si>
  <si>
    <t>South Asia</t>
  </si>
  <si>
    <t>Sub-Saharan Africa</t>
  </si>
  <si>
    <t>Low income</t>
  </si>
  <si>
    <t>avg_1980</t>
  </si>
  <si>
    <t>avg_1995</t>
  </si>
  <si>
    <t>avg_2010</t>
  </si>
  <si>
    <t xml:space="preserve"> Afghanistan</t>
  </si>
  <si>
    <t xml:space="preserve"> Albania</t>
  </si>
  <si>
    <t xml:space="preserve"> Algeria</t>
  </si>
  <si>
    <t xml:space="preserve"> Andorra</t>
  </si>
  <si>
    <t xml:space="preserve"> Angola</t>
  </si>
  <si>
    <t xml:space="preserve"> Anguilla</t>
  </si>
  <si>
    <t xml:space="preserve"> Antigua and Barbuda</t>
  </si>
  <si>
    <t xml:space="preserve"> Argentina</t>
  </si>
  <si>
    <t xml:space="preserve"> Armenia</t>
  </si>
  <si>
    <t xml:space="preserve"> Aruba</t>
  </si>
  <si>
    <t xml:space="preserve"> Australia</t>
  </si>
  <si>
    <t xml:space="preserve"> Austria</t>
  </si>
  <si>
    <t xml:space="preserve"> Azerbaijan</t>
  </si>
  <si>
    <t xml:space="preserve"> Bahamas</t>
  </si>
  <si>
    <t xml:space="preserve"> Bahrain</t>
  </si>
  <si>
    <t xml:space="preserve"> Bangladesh</t>
  </si>
  <si>
    <t xml:space="preserve"> Barbados</t>
  </si>
  <si>
    <t xml:space="preserve"> Belarus</t>
  </si>
  <si>
    <t xml:space="preserve"> Belgium</t>
  </si>
  <si>
    <t xml:space="preserve"> Belize</t>
  </si>
  <si>
    <t xml:space="preserve"> Benin</t>
  </si>
  <si>
    <t xml:space="preserve"> Bermuda</t>
  </si>
  <si>
    <t xml:space="preserve"> Bhutan</t>
  </si>
  <si>
    <t xml:space="preserve"> Bolivia</t>
  </si>
  <si>
    <t xml:space="preserve"> Bonaire, Sint Eustatius and Saba</t>
  </si>
  <si>
    <t xml:space="preserve"> Bosnia and Herzegovina</t>
  </si>
  <si>
    <t xml:space="preserve"> Botswana</t>
  </si>
  <si>
    <t xml:space="preserve"> Brazil</t>
  </si>
  <si>
    <t xml:space="preserve"> British Virgin Islands</t>
  </si>
  <si>
    <t xml:space="preserve"> Brunei Darussalam</t>
  </si>
  <si>
    <t xml:space="preserve"> Bulgaria</t>
  </si>
  <si>
    <t xml:space="preserve"> Burkina Faso</t>
  </si>
  <si>
    <t xml:space="preserve"> Burundi</t>
  </si>
  <si>
    <t xml:space="preserve"> Cabo Verde</t>
  </si>
  <si>
    <t xml:space="preserve"> Cambodia</t>
  </si>
  <si>
    <t xml:space="preserve"> Cameroon</t>
  </si>
  <si>
    <t xml:space="preserve"> Canada</t>
  </si>
  <si>
    <t xml:space="preserve"> Cayman Islands</t>
  </si>
  <si>
    <t xml:space="preserve"> Central African Republic</t>
  </si>
  <si>
    <t xml:space="preserve"> Chad</t>
  </si>
  <si>
    <t xml:space="preserve"> Chile</t>
  </si>
  <si>
    <t xml:space="preserve"> China</t>
  </si>
  <si>
    <t xml:space="preserve"> Colombia</t>
  </si>
  <si>
    <t xml:space="preserve"> Comoros</t>
  </si>
  <si>
    <t xml:space="preserve"> Congo</t>
  </si>
  <si>
    <t xml:space="preserve"> Costa Rica</t>
  </si>
  <si>
    <t xml:space="preserve"> Cote d’Ivoire</t>
  </si>
  <si>
    <t xml:space="preserve"> Croatia</t>
  </si>
  <si>
    <t xml:space="preserve"> Cuba</t>
  </si>
  <si>
    <t xml:space="preserve"> Curacao</t>
  </si>
  <si>
    <t xml:space="preserve"> Cyprus</t>
  </si>
  <si>
    <t xml:space="preserve"> Czech Republic</t>
  </si>
  <si>
    <t xml:space="preserve"> DR Congo</t>
  </si>
  <si>
    <t xml:space="preserve"> Denmark</t>
  </si>
  <si>
    <t xml:space="preserve"> Djibouti</t>
  </si>
  <si>
    <t xml:space="preserve"> Dominica</t>
  </si>
  <si>
    <t xml:space="preserve"> Dominican Republic</t>
  </si>
  <si>
    <t xml:space="preserve"> East Asia (MER)</t>
  </si>
  <si>
    <t xml:space="preserve"> East Asia (PPP)</t>
  </si>
  <si>
    <t xml:space="preserve"> Eastern Europe (MER)</t>
  </si>
  <si>
    <t xml:space="preserve"> Eastern Europe (PPP)</t>
  </si>
  <si>
    <t xml:space="preserve"> Ecuador</t>
  </si>
  <si>
    <t xml:space="preserve"> Egypt</t>
  </si>
  <si>
    <t xml:space="preserve"> El Salvador</t>
  </si>
  <si>
    <t xml:space="preserve"> Equatorial Guinea</t>
  </si>
  <si>
    <t xml:space="preserve"> Eritrea</t>
  </si>
  <si>
    <t xml:space="preserve"> Estonia</t>
  </si>
  <si>
    <t xml:space="preserve"> Ethiopia</t>
  </si>
  <si>
    <t xml:space="preserve"> Europe (MER)</t>
  </si>
  <si>
    <t xml:space="preserve"> Europe (PPP)</t>
  </si>
  <si>
    <t xml:space="preserve"> Fiji</t>
  </si>
  <si>
    <t xml:space="preserve"> Finland</t>
  </si>
  <si>
    <t xml:space="preserve"> France</t>
  </si>
  <si>
    <t xml:space="preserve"> French Polynesia</t>
  </si>
  <si>
    <t xml:space="preserve"> Gabon</t>
  </si>
  <si>
    <t xml:space="preserve"> Gambia</t>
  </si>
  <si>
    <t xml:space="preserve"> Georgia</t>
  </si>
  <si>
    <t xml:space="preserve"> Germany</t>
  </si>
  <si>
    <t xml:space="preserve"> Ghana</t>
  </si>
  <si>
    <t xml:space="preserve"> Gibraltar</t>
  </si>
  <si>
    <t xml:space="preserve"> Greece</t>
  </si>
  <si>
    <t xml:space="preserve"> Greenland</t>
  </si>
  <si>
    <t xml:space="preserve"> Grenada</t>
  </si>
  <si>
    <t xml:space="preserve"> Guatemala</t>
  </si>
  <si>
    <t xml:space="preserve"> Guernsey</t>
  </si>
  <si>
    <t xml:space="preserve"> Guinea</t>
  </si>
  <si>
    <t xml:space="preserve"> Guinea-Bissau</t>
  </si>
  <si>
    <t xml:space="preserve"> Guyana</t>
  </si>
  <si>
    <t xml:space="preserve"> Haiti</t>
  </si>
  <si>
    <t xml:space="preserve"> Honduras</t>
  </si>
  <si>
    <t xml:space="preserve"> Hong Kong</t>
  </si>
  <si>
    <t xml:space="preserve"> Hungary</t>
  </si>
  <si>
    <t xml:space="preserve"> Iceland</t>
  </si>
  <si>
    <t xml:space="preserve"> India</t>
  </si>
  <si>
    <t xml:space="preserve"> Indonesia</t>
  </si>
  <si>
    <t xml:space="preserve"> Iran</t>
  </si>
  <si>
    <t xml:space="preserve"> Iraq</t>
  </si>
  <si>
    <t xml:space="preserve"> Ireland</t>
  </si>
  <si>
    <t xml:space="preserve"> Isle of Man</t>
  </si>
  <si>
    <t xml:space="preserve"> Israel</t>
  </si>
  <si>
    <t xml:space="preserve"> Italy</t>
  </si>
  <si>
    <t xml:space="preserve"> Jamaica</t>
  </si>
  <si>
    <t xml:space="preserve"> Japan</t>
  </si>
  <si>
    <t xml:space="preserve"> Jersey</t>
  </si>
  <si>
    <t xml:space="preserve"> Jordan</t>
  </si>
  <si>
    <t xml:space="preserve"> Kazakhstan</t>
  </si>
  <si>
    <t xml:space="preserve"> Kenya</t>
  </si>
  <si>
    <t xml:space="preserve"> Kiribati</t>
  </si>
  <si>
    <t xml:space="preserve"> Korea</t>
  </si>
  <si>
    <t xml:space="preserve"> Kosovo</t>
  </si>
  <si>
    <t xml:space="preserve"> Kuwait</t>
  </si>
  <si>
    <t xml:space="preserve"> Kyrgyzstan</t>
  </si>
  <si>
    <t xml:space="preserve"> Lao PDR</t>
  </si>
  <si>
    <t xml:space="preserve"> Latin America (MER)</t>
  </si>
  <si>
    <t xml:space="preserve"> Latin America (PPP)</t>
  </si>
  <si>
    <t xml:space="preserve"> Latvia</t>
  </si>
  <si>
    <t xml:space="preserve"> Lebanon</t>
  </si>
  <si>
    <t xml:space="preserve"> Lesotho</t>
  </si>
  <si>
    <t xml:space="preserve"> Liberia</t>
  </si>
  <si>
    <t xml:space="preserve"> Libya</t>
  </si>
  <si>
    <t xml:space="preserve"> Liechtenstein</t>
  </si>
  <si>
    <t xml:space="preserve"> Lithuania</t>
  </si>
  <si>
    <t xml:space="preserve"> Luxembourg</t>
  </si>
  <si>
    <t xml:space="preserve"> MENA (MER)</t>
  </si>
  <si>
    <t xml:space="preserve"> MENA (PPP)</t>
  </si>
  <si>
    <t xml:space="preserve"> Macao</t>
  </si>
  <si>
    <t xml:space="preserve"> Madagascar</t>
  </si>
  <si>
    <t xml:space="preserve"> Malawi</t>
  </si>
  <si>
    <t xml:space="preserve"> Malaysia</t>
  </si>
  <si>
    <t xml:space="preserve"> Maldives</t>
  </si>
  <si>
    <t xml:space="preserve"> Mali</t>
  </si>
  <si>
    <t xml:space="preserve"> Malta</t>
  </si>
  <si>
    <t xml:space="preserve"> Marshall Islands</t>
  </si>
  <si>
    <t xml:space="preserve"> Mauritania</t>
  </si>
  <si>
    <t xml:space="preserve"> Mauritius</t>
  </si>
  <si>
    <t xml:space="preserve"> Mexico</t>
  </si>
  <si>
    <t xml:space="preserve"> Micronesia</t>
  </si>
  <si>
    <t xml:space="preserve"> Moldova</t>
  </si>
  <si>
    <t xml:space="preserve"> Monaco</t>
  </si>
  <si>
    <t xml:space="preserve"> Mongolia</t>
  </si>
  <si>
    <t xml:space="preserve"> Montenegro</t>
  </si>
  <si>
    <t xml:space="preserve"> Montserrat</t>
  </si>
  <si>
    <t xml:space="preserve"> Morocco</t>
  </si>
  <si>
    <t xml:space="preserve"> Mozambique</t>
  </si>
  <si>
    <t xml:space="preserve"> Myanmar</t>
  </si>
  <si>
    <t xml:space="preserve"> Namibia</t>
  </si>
  <si>
    <t xml:space="preserve"> Nauru</t>
  </si>
  <si>
    <t xml:space="preserve"> Nepal</t>
  </si>
  <si>
    <t xml:space="preserve"> Netherlands</t>
  </si>
  <si>
    <t xml:space="preserve"> New Caledonia</t>
  </si>
  <si>
    <t xml:space="preserve"> New Zealand</t>
  </si>
  <si>
    <t xml:space="preserve"> Nicaragua</t>
  </si>
  <si>
    <t xml:space="preserve"> Niger</t>
  </si>
  <si>
    <t xml:space="preserve"> Nigeria</t>
  </si>
  <si>
    <t xml:space="preserve"> North America &amp; Oceania (MER)</t>
  </si>
  <si>
    <t xml:space="preserve"> North America &amp; Oceania (PPP)</t>
  </si>
  <si>
    <t xml:space="preserve"> North America (MER)</t>
  </si>
  <si>
    <t xml:space="preserve"> North America (PPP)</t>
  </si>
  <si>
    <t xml:space="preserve"> North Korea</t>
  </si>
  <si>
    <t xml:space="preserve"> North Macedonia</t>
  </si>
  <si>
    <t xml:space="preserve"> Norway</t>
  </si>
  <si>
    <t xml:space="preserve"> Oceania (MER)</t>
  </si>
  <si>
    <t xml:space="preserve"> Oceania (PPP)</t>
  </si>
  <si>
    <t xml:space="preserve"> Oman</t>
  </si>
  <si>
    <t xml:space="preserve"> Other East Asia (MER)</t>
  </si>
  <si>
    <t xml:space="preserve"> Other East Asia (PPP)</t>
  </si>
  <si>
    <t xml:space="preserve"> Other Latin America (MER)</t>
  </si>
  <si>
    <t xml:space="preserve"> Other Latin America (PPP)</t>
  </si>
  <si>
    <t xml:space="preserve"> Other MENA (MER)</t>
  </si>
  <si>
    <t xml:space="preserve"> Other MENA (PPP)</t>
  </si>
  <si>
    <t xml:space="preserve"> Other North America &amp; Oceania (MER)</t>
  </si>
  <si>
    <t xml:space="preserve"> Other North America &amp; Oceania (PPP)</t>
  </si>
  <si>
    <t xml:space="preserve"> Other North America (MER)</t>
  </si>
  <si>
    <t xml:space="preserve"> Other North America (PPP)</t>
  </si>
  <si>
    <t xml:space="preserve"> Other Oceania (MER)</t>
  </si>
  <si>
    <t xml:space="preserve"> Other Oceania (PPP)</t>
  </si>
  <si>
    <t xml:space="preserve"> Other Russia &amp; Central Asia (MER)</t>
  </si>
  <si>
    <t xml:space="preserve"> Other Russia &amp; Central Asia (PPP)</t>
  </si>
  <si>
    <t xml:space="preserve"> Other South &amp; Southeast Asia (MER)</t>
  </si>
  <si>
    <t xml:space="preserve"> Other South &amp; Southeast Asia (PPP)</t>
  </si>
  <si>
    <t xml:space="preserve"> Other Sub-Saharan Africa (MER)</t>
  </si>
  <si>
    <t xml:space="preserve"> Other Sub-Saharan Africa (PPP)</t>
  </si>
  <si>
    <t xml:space="preserve"> Other Western Europe (MER)</t>
  </si>
  <si>
    <t xml:space="preserve"> Other Western Europe (PPP)</t>
  </si>
  <si>
    <t xml:space="preserve"> Pakistan</t>
  </si>
  <si>
    <t xml:space="preserve"> Palau</t>
  </si>
  <si>
    <t xml:space="preserve"> Palestine</t>
  </si>
  <si>
    <t xml:space="preserve"> Panama</t>
  </si>
  <si>
    <t xml:space="preserve"> Papua New Guinea</t>
  </si>
  <si>
    <t xml:space="preserve"> Paraguay</t>
  </si>
  <si>
    <t xml:space="preserve"> Peru</t>
  </si>
  <si>
    <t xml:space="preserve"> Philippines</t>
  </si>
  <si>
    <t xml:space="preserve"> Poland</t>
  </si>
  <si>
    <t xml:space="preserve"> Portugal</t>
  </si>
  <si>
    <t xml:space="preserve"> Puerto Rico</t>
  </si>
  <si>
    <t xml:space="preserve"> Qatar</t>
  </si>
  <si>
    <t xml:space="preserve"> Romania</t>
  </si>
  <si>
    <t xml:space="preserve"> Russia &amp; Central Asia (MER)</t>
  </si>
  <si>
    <t xml:space="preserve"> Russia &amp; Central Asia (PPP)</t>
  </si>
  <si>
    <t xml:space="preserve"> Russian Federation</t>
  </si>
  <si>
    <t xml:space="preserve"> Rwanda</t>
  </si>
  <si>
    <t xml:space="preserve"> Saint Kitts and Nevis</t>
  </si>
  <si>
    <t xml:space="preserve"> Saint Lucia</t>
  </si>
  <si>
    <t xml:space="preserve"> Saint Vincent and the Grenadines</t>
  </si>
  <si>
    <t xml:space="preserve"> Samoa</t>
  </si>
  <si>
    <t xml:space="preserve"> San Marino</t>
  </si>
  <si>
    <t xml:space="preserve"> Sao Tome and Principe</t>
  </si>
  <si>
    <t xml:space="preserve"> Saudi Arabia</t>
  </si>
  <si>
    <t xml:space="preserve"> Senegal</t>
  </si>
  <si>
    <t xml:space="preserve"> Serbia</t>
  </si>
  <si>
    <t xml:space="preserve"> Seychelles</t>
  </si>
  <si>
    <t xml:space="preserve"> Sierra Leone</t>
  </si>
  <si>
    <t xml:space="preserve"> Singapore</t>
  </si>
  <si>
    <t xml:space="preserve"> Sint Maarten (Dutch part)</t>
  </si>
  <si>
    <t xml:space="preserve"> Slovakia</t>
  </si>
  <si>
    <t xml:space="preserve"> Slovenia</t>
  </si>
  <si>
    <t xml:space="preserve"> Solomon Islands</t>
  </si>
  <si>
    <t xml:space="preserve"> Somalia</t>
  </si>
  <si>
    <t xml:space="preserve"> South &amp; Southeast Asia (MER)</t>
  </si>
  <si>
    <t xml:space="preserve"> South &amp; Southeast Asia (PPP)</t>
  </si>
  <si>
    <t xml:space="preserve"> South Africa</t>
  </si>
  <si>
    <t xml:space="preserve"> South Sudan</t>
  </si>
  <si>
    <t xml:space="preserve"> Spain</t>
  </si>
  <si>
    <t xml:space="preserve"> Sri Lanka</t>
  </si>
  <si>
    <t xml:space="preserve"> Sub-Saharan Africa (MER)</t>
  </si>
  <si>
    <t xml:space="preserve"> Sub-Saharan Africa (PPP)</t>
  </si>
  <si>
    <t xml:space="preserve"> Sudan</t>
  </si>
  <si>
    <t xml:space="preserve"> Suriname</t>
  </si>
  <si>
    <t xml:space="preserve"> Swaziland</t>
  </si>
  <si>
    <t xml:space="preserve"> Sweden</t>
  </si>
  <si>
    <t xml:space="preserve"> Switzerland</t>
  </si>
  <si>
    <t xml:space="preserve"> Syrian Arab Republic</t>
  </si>
  <si>
    <t xml:space="preserve"> Taiwan</t>
  </si>
  <si>
    <t xml:space="preserve"> Tajikistan</t>
  </si>
  <si>
    <t xml:space="preserve"> Tanzania</t>
  </si>
  <si>
    <t xml:space="preserve"> Thailand</t>
  </si>
  <si>
    <t xml:space="preserve"> Timor-Leste</t>
  </si>
  <si>
    <t xml:space="preserve"> Togo</t>
  </si>
  <si>
    <t xml:space="preserve"> Tonga</t>
  </si>
  <si>
    <t xml:space="preserve"> Trinidad and Tobago</t>
  </si>
  <si>
    <t xml:space="preserve"> Tunisia</t>
  </si>
  <si>
    <t xml:space="preserve"> Turkey</t>
  </si>
  <si>
    <t xml:space="preserve"> Turkmenistan</t>
  </si>
  <si>
    <t xml:space="preserve"> Turks and Caicos Islands</t>
  </si>
  <si>
    <t xml:space="preserve"> Tuvalu</t>
  </si>
  <si>
    <t xml:space="preserve"> USA</t>
  </si>
  <si>
    <t xml:space="preserve"> Uganda</t>
  </si>
  <si>
    <t xml:space="preserve"> Ukraine</t>
  </si>
  <si>
    <t xml:space="preserve"> United Arab Emirates</t>
  </si>
  <si>
    <t xml:space="preserve"> United Kingdom</t>
  </si>
  <si>
    <t xml:space="preserve"> Uruguay</t>
  </si>
  <si>
    <t xml:space="preserve"> Uzbekistan</t>
  </si>
  <si>
    <t xml:space="preserve"> Vanuatu</t>
  </si>
  <si>
    <t xml:space="preserve"> Venezuela</t>
  </si>
  <si>
    <t xml:space="preserve"> Viet Nam</t>
  </si>
  <si>
    <t xml:space="preserve"> World (MER)</t>
  </si>
  <si>
    <t xml:space="preserve"> World (PPP)</t>
  </si>
  <si>
    <t xml:space="preserve"> Yemen</t>
  </si>
  <si>
    <t xml:space="preserve"> Zambia</t>
  </si>
  <si>
    <t xml:space="preserve"> Zanzibar</t>
  </si>
  <si>
    <t xml:space="preserve"> Zimbabwe</t>
  </si>
  <si>
    <t>Country</t>
  </si>
  <si>
    <t xml:space="preserve"> Cote dвЂ™Ivoire</t>
  </si>
  <si>
    <t xml:space="preserve"> German Democratic Republic</t>
  </si>
  <si>
    <t xml:space="preserve"> Rural China</t>
  </si>
  <si>
    <t xml:space="preserve"> Urban China</t>
  </si>
  <si>
    <t>Страна</t>
  </si>
  <si>
    <t>Belize</t>
  </si>
  <si>
    <t>Brazil</t>
  </si>
  <si>
    <t>Congo, D.R.</t>
  </si>
  <si>
    <t>Cote dIvoire</t>
  </si>
  <si>
    <t>Czech Republic</t>
  </si>
  <si>
    <t>Dominican Rep.</t>
  </si>
  <si>
    <t>Egypt</t>
  </si>
  <si>
    <t>Gambia</t>
  </si>
  <si>
    <t>Hong Kong, China</t>
  </si>
  <si>
    <t>Iran</t>
  </si>
  <si>
    <t>Republic of Korea</t>
  </si>
  <si>
    <t>Reunion</t>
  </si>
  <si>
    <t>Syria</t>
  </si>
  <si>
    <t>Taiwan</t>
  </si>
  <si>
    <t>USA</t>
  </si>
  <si>
    <t>Venezuela</t>
  </si>
  <si>
    <t>Yemen</t>
  </si>
  <si>
    <t>(пусто)</t>
  </si>
  <si>
    <t>Общий итог</t>
  </si>
  <si>
    <t>Angola</t>
  </si>
  <si>
    <t>Armenia</t>
  </si>
  <si>
    <t>Azerbaijan</t>
  </si>
  <si>
    <t>Bahrain</t>
  </si>
  <si>
    <t>Belarus</t>
  </si>
  <si>
    <t>Bhutan</t>
  </si>
  <si>
    <t>Bosnia and Herzegovina</t>
  </si>
  <si>
    <t>Botswana</t>
  </si>
  <si>
    <t>Burkina Faso</t>
  </si>
  <si>
    <t>Burundi</t>
  </si>
  <si>
    <t>Cabo Verde</t>
  </si>
  <si>
    <t>Central African Republic</t>
  </si>
  <si>
    <t>Chad</t>
  </si>
  <si>
    <t>Comoros</t>
  </si>
  <si>
    <t>Congo, Rep.</t>
  </si>
  <si>
    <t>Croatia</t>
  </si>
  <si>
    <t>Djibouti</t>
  </si>
  <si>
    <t>Equatorial Guinea</t>
  </si>
  <si>
    <t>Eritrea</t>
  </si>
  <si>
    <t>Estonia</t>
  </si>
  <si>
    <t>Eswatini</t>
  </si>
  <si>
    <t>Ethiopia</t>
  </si>
  <si>
    <t>Gabon</t>
  </si>
  <si>
    <t>Georgia</t>
  </si>
  <si>
    <t>Guinea</t>
  </si>
  <si>
    <t>Guinea-Bissau</t>
  </si>
  <si>
    <t>Israel</t>
  </si>
  <si>
    <t>Kazakhstan</t>
  </si>
  <si>
    <t>Korea, Dem. People's Rep.</t>
  </si>
  <si>
    <t>Korea, Rep.</t>
  </si>
  <si>
    <t>Kosovo</t>
  </si>
  <si>
    <t>Kyrgyz Republic</t>
  </si>
  <si>
    <t>Lao PDR</t>
  </si>
  <si>
    <t>Latvia</t>
  </si>
  <si>
    <t>Lebanon</t>
  </si>
  <si>
    <t>Lithuania</t>
  </si>
  <si>
    <t>Madagascar</t>
  </si>
  <si>
    <t>Maldives</t>
  </si>
  <si>
    <t>Mauritania</t>
  </si>
  <si>
    <t>Moldova</t>
  </si>
  <si>
    <t>Mongolia</t>
  </si>
  <si>
    <t>Montenegro</t>
  </si>
  <si>
    <t>Namibia</t>
  </si>
  <si>
    <t>Nigeria</t>
  </si>
  <si>
    <t>North Macedonia</t>
  </si>
  <si>
    <t>Oman</t>
  </si>
  <si>
    <t>Papua New Guinea</t>
  </si>
  <si>
    <t>Qatar</t>
  </si>
  <si>
    <t>Rwanda</t>
  </si>
  <si>
    <t>Sao Tome and Principe</t>
  </si>
  <si>
    <t>Saudi Arabia</t>
  </si>
  <si>
    <t>Seychelles</t>
  </si>
  <si>
    <t>Singapore</t>
  </si>
  <si>
    <t>Slovak Republic</t>
  </si>
  <si>
    <t>Slovenia</t>
  </si>
  <si>
    <t>Solomon Islands</t>
  </si>
  <si>
    <t>Somalia</t>
  </si>
  <si>
    <t>South Sudan</t>
  </si>
  <si>
    <t>Suriname</t>
  </si>
  <si>
    <t>Taiwan, China</t>
  </si>
  <si>
    <t>Tajikistan</t>
  </si>
  <si>
    <t>Tanzania</t>
  </si>
  <si>
    <t>Timor-Leste</t>
  </si>
  <si>
    <t>Turkiye</t>
  </si>
  <si>
    <t>Turkmenistan</t>
  </si>
  <si>
    <t>Ukraine</t>
  </si>
  <si>
    <t>United Arab Emirates</t>
  </si>
  <si>
    <t>United States</t>
  </si>
  <si>
    <t>Uzbekistan</t>
  </si>
  <si>
    <t>Vanuatu</t>
  </si>
  <si>
    <t>Viet Nam</t>
  </si>
  <si>
    <t>Africa Eastern and Southern</t>
  </si>
  <si>
    <t>Africa Western and Central</t>
  </si>
  <si>
    <t>American Samoa</t>
  </si>
  <si>
    <t>Andorra</t>
  </si>
  <si>
    <t>Antigua and Barbuda</t>
  </si>
  <si>
    <t>Arab World</t>
  </si>
  <si>
    <t>Aruba</t>
  </si>
  <si>
    <t>Bahamas, The</t>
  </si>
  <si>
    <t>Bermuda</t>
  </si>
  <si>
    <t>British Virgin Islands</t>
  </si>
  <si>
    <t>Brunei Darussalam</t>
  </si>
  <si>
    <t>Caribbean small states</t>
  </si>
  <si>
    <t>Cayman Islands</t>
  </si>
  <si>
    <t>Central Electricity Board (CEB)</t>
  </si>
  <si>
    <t>Channel Islands</t>
  </si>
  <si>
    <t>Curacao</t>
  </si>
  <si>
    <t>Dominica</t>
  </si>
  <si>
    <t>Early-demographic dividend</t>
  </si>
  <si>
    <t>East Asia &amp; Pacific (excluding high income)</t>
  </si>
  <si>
    <t>East Asia &amp; Pacific (IDA &amp; IBRD)</t>
  </si>
  <si>
    <t>Euro area</t>
  </si>
  <si>
    <t>Europe &amp; Central Asia (excluding high income)</t>
  </si>
  <si>
    <t>Europe &amp; Central Asia (IDA &amp; IBRD)</t>
  </si>
  <si>
    <t>European Union</t>
  </si>
  <si>
    <t>Faroe Islands</t>
  </si>
  <si>
    <t>Fragile and conflict affected situations</t>
  </si>
  <si>
    <t>French Polynesia</t>
  </si>
  <si>
    <t>Gibraltar</t>
  </si>
  <si>
    <t>Greenland</t>
  </si>
  <si>
    <t>Grenada</t>
  </si>
  <si>
    <t>Guam</t>
  </si>
  <si>
    <t>Heavily indebted poor countries (HIPC)</t>
  </si>
  <si>
    <t>IBRD only</t>
  </si>
  <si>
    <t>IDA &amp; IBRD total</t>
  </si>
  <si>
    <t>IDA blend</t>
  </si>
  <si>
    <t>IDA only</t>
  </si>
  <si>
    <t>IDA total</t>
  </si>
  <si>
    <t>Isle of Man</t>
  </si>
  <si>
    <t>Kiribati</t>
  </si>
  <si>
    <t>Late-demographic dividend</t>
  </si>
  <si>
    <t>Latin America &amp; Caribbean (excluding high income)</t>
  </si>
  <si>
    <t>Latin America &amp; Caribbean (IDA &amp; IBRD)</t>
  </si>
  <si>
    <t>Least developed countries: UN classification</t>
  </si>
  <si>
    <t>Liechtenstein</t>
  </si>
  <si>
    <t>Low &amp; middle income</t>
  </si>
  <si>
    <t>Macao SAR, China</t>
  </si>
  <si>
    <t>Marshall Islands</t>
  </si>
  <si>
    <t>Micronesia, Fed. Sts.</t>
  </si>
  <si>
    <t>Middle East &amp; North Africa (excluding high income)</t>
  </si>
  <si>
    <t>Middle East &amp; North Africa (IDA &amp; IBRD)</t>
  </si>
  <si>
    <t>Middle East and North Africa</t>
  </si>
  <si>
    <t>Middle income</t>
  </si>
  <si>
    <t>Monaco</t>
  </si>
  <si>
    <t>Nauru</t>
  </si>
  <si>
    <t>New Caledonia</t>
  </si>
  <si>
    <t>Northern Mariana Islands</t>
  </si>
  <si>
    <t>OECD members</t>
  </si>
  <si>
    <t>Other small states</t>
  </si>
  <si>
    <t>Pacific island small states</t>
  </si>
  <si>
    <t>Palau</t>
  </si>
  <si>
    <t>Post-demographic dividend</t>
  </si>
  <si>
    <t>Pre-demographic dividend</t>
  </si>
  <si>
    <t>Puerto Rico</t>
  </si>
  <si>
    <t>Samoa</t>
  </si>
  <si>
    <t>San Marino</t>
  </si>
  <si>
    <t>Sint Maarten (Dutch part)</t>
  </si>
  <si>
    <t>Small states</t>
  </si>
  <si>
    <t>South Asia (IDA &amp; IBRD)</t>
  </si>
  <si>
    <t>St. Kitts and Nevis</t>
  </si>
  <si>
    <t>St. Lucia</t>
  </si>
  <si>
    <t>St. Vincent and the Grenadines</t>
  </si>
  <si>
    <t>Sub-Saharan Africa (excluding high income)</t>
  </si>
  <si>
    <t>Sub-Saharan Africa (IDA &amp; IBRD)</t>
  </si>
  <si>
    <t>Tonga</t>
  </si>
  <si>
    <t>Turks and Caicos Islands</t>
  </si>
  <si>
    <t>Tuvalu</t>
  </si>
  <si>
    <t>Virgin Islands (U.S.)</t>
  </si>
  <si>
    <t>West Bank and Gaza</t>
  </si>
  <si>
    <t>World</t>
  </si>
  <si>
    <t>after 1961</t>
  </si>
  <si>
    <t>after 1890</t>
  </si>
  <si>
    <t>after 1895</t>
  </si>
  <si>
    <t>after 2010</t>
  </si>
  <si>
    <t>Congo</t>
  </si>
  <si>
    <t>DR Congo</t>
  </si>
  <si>
    <t>Hong Kong</t>
  </si>
  <si>
    <t>Korea</t>
  </si>
  <si>
    <t>Lao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</si>
</sst>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</fills>
  <borders count="7">
    <border/>
    <border>
      <left/>
      <right/>
      <top/>
      <bottom/>
    </border>
    <border>
      <left style="thin">
        <color rgb="FFABABAB"/>
      </left>
      <top style="thin">
        <color rgb="FFABABAB"/>
      </top>
    </border>
    <border>
      <top style="thin">
        <color rgb="FFABABAB"/>
      </top>
    </border>
    <border>
      <left style="thin">
        <color rgb="FFABABAB"/>
      </left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top style="thin">
        <color rgb="FFABABAB"/>
      </top>
      <bottom style="thin">
        <color rgb="FFABABA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2" xfId="0" applyFont="1" applyNumberFormat="1"/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1" fillId="2" fontId="3" numFmtId="0" xfId="0" applyBorder="1" applyFill="1" applyFont="1"/>
    <xf borderId="1" fillId="3" fontId="3" numFmtId="0" xfId="0" applyBorder="1" applyFill="1" applyFont="1"/>
    <xf borderId="1" fillId="4" fontId="3" numFmtId="0" xfId="0" applyBorder="1" applyFill="1" applyFont="1"/>
    <xf borderId="0" fillId="0" fontId="3" numFmtId="165" xfId="0" applyFont="1" applyNumberFormat="1"/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4" width="10.14"/>
    <col customWidth="1" min="5" max="10" width="8.57"/>
    <col customWidth="1" min="11" max="12" width="8.71"/>
    <col customWidth="1" min="13" max="13" width="8.86"/>
    <col customWidth="1" min="14" max="16" width="8.43"/>
    <col customWidth="1" min="17" max="18" width="8.71"/>
    <col customWidth="1" min="19" max="19" width="9.71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2" t="s">
        <v>22</v>
      </c>
      <c r="B2" s="3">
        <v>6910.0819</v>
      </c>
      <c r="C2" s="3">
        <v>3671.0844</v>
      </c>
      <c r="D2" s="3">
        <v>5012.8533</v>
      </c>
      <c r="E2" s="2">
        <v>0.4924</v>
      </c>
      <c r="F2" s="2">
        <v>0.4924</v>
      </c>
      <c r="G2" s="2">
        <v>0.4792</v>
      </c>
      <c r="H2" s="2">
        <v>0.15994999999999998</v>
      </c>
      <c r="I2" s="2">
        <v>0.21624</v>
      </c>
      <c r="J2" s="2">
        <v>0.23736999999999997</v>
      </c>
      <c r="K2" s="3">
        <v>0.199</v>
      </c>
      <c r="L2" s="3">
        <v>0.046</v>
      </c>
      <c r="M2" s="3">
        <v>0.11</v>
      </c>
      <c r="N2" s="4">
        <v>0.012</v>
      </c>
      <c r="O2" s="4">
        <v>0.02</v>
      </c>
      <c r="P2" s="4">
        <v>0.04</v>
      </c>
      <c r="Q2" s="2">
        <v>-0.0650491360613805</v>
      </c>
      <c r="R2" s="2">
        <v>0.02127020114000233</v>
      </c>
      <c r="S2" s="2">
        <v>-0.024471233333608233</v>
      </c>
      <c r="T2" s="2">
        <v>0.0</v>
      </c>
      <c r="U2" s="2">
        <v>0.0</v>
      </c>
      <c r="V2" s="2">
        <v>0.0</v>
      </c>
    </row>
    <row r="3" ht="14.25" customHeight="1">
      <c r="A3" s="2" t="s">
        <v>23</v>
      </c>
      <c r="B3" s="3">
        <v>8391.2832</v>
      </c>
      <c r="C3" s="3">
        <v>6298.9035</v>
      </c>
      <c r="D3" s="3">
        <v>13144.9214</v>
      </c>
      <c r="E3" s="2">
        <v>0.452</v>
      </c>
      <c r="F3" s="2">
        <v>0.4669</v>
      </c>
      <c r="G3" s="2">
        <v>0.4661</v>
      </c>
      <c r="H3" s="2">
        <v>0.33762000000000003</v>
      </c>
      <c r="I3" s="2">
        <v>0.5216299999999999</v>
      </c>
      <c r="J3" s="2">
        <v>0.5216299999999999</v>
      </c>
      <c r="K3" s="3">
        <v>0.485</v>
      </c>
      <c r="L3" s="3">
        <v>0.492</v>
      </c>
      <c r="M3" s="3">
        <v>0.524</v>
      </c>
      <c r="N3" s="4">
        <v>0.054000000000000006</v>
      </c>
      <c r="O3" s="4">
        <v>0.111</v>
      </c>
      <c r="P3" s="4">
        <v>0.44</v>
      </c>
      <c r="Q3" s="2">
        <v>-0.028799390691822246</v>
      </c>
      <c r="R3" s="2">
        <v>0.05172413333208681</v>
      </c>
      <c r="S3" s="2">
        <v>0.022203908304852193</v>
      </c>
      <c r="T3" s="2">
        <v>0.0</v>
      </c>
      <c r="U3" s="2">
        <v>0.0</v>
      </c>
      <c r="V3" s="2">
        <v>0.0</v>
      </c>
    </row>
    <row r="4" ht="14.25" customHeight="1">
      <c r="A4" s="2" t="s">
        <v>24</v>
      </c>
      <c r="B4" s="3">
        <v>19560.3061</v>
      </c>
      <c r="C4" s="3">
        <v>14617.3462</v>
      </c>
      <c r="D4" s="3">
        <v>15671.8741</v>
      </c>
      <c r="E4" s="2">
        <v>0.539</v>
      </c>
      <c r="F4" s="2">
        <v>0.539</v>
      </c>
      <c r="G4" s="2">
        <v>0.495</v>
      </c>
      <c r="H4" s="2">
        <v>0.43542000000000003</v>
      </c>
      <c r="I4" s="2">
        <v>0.6754000000000001</v>
      </c>
      <c r="J4" s="2">
        <v>0.6754000000000001</v>
      </c>
      <c r="K4" s="3">
        <v>0.356</v>
      </c>
      <c r="L4" s="3">
        <v>0.318</v>
      </c>
      <c r="M4" s="3">
        <v>0.253</v>
      </c>
      <c r="N4" s="4">
        <v>0.062</v>
      </c>
      <c r="O4" s="4">
        <v>0.109</v>
      </c>
      <c r="P4" s="4">
        <v>0.29</v>
      </c>
      <c r="Q4" s="2">
        <v>-0.02090803085900439</v>
      </c>
      <c r="R4" s="2">
        <v>0.0043568353228480294</v>
      </c>
      <c r="S4" s="2">
        <v>0.0036343185002079004</v>
      </c>
      <c r="T4" s="2">
        <v>0.0</v>
      </c>
      <c r="U4" s="2">
        <v>0.0</v>
      </c>
      <c r="V4" s="2">
        <v>0.0</v>
      </c>
    </row>
    <row r="5" ht="14.25" customHeight="1">
      <c r="A5" s="2" t="s">
        <v>25</v>
      </c>
      <c r="B5" s="3">
        <v>27645.567</v>
      </c>
      <c r="C5" s="3">
        <v>26162.7436</v>
      </c>
      <c r="D5" s="3">
        <v>32968.9967</v>
      </c>
      <c r="E5" s="2">
        <v>0.6596</v>
      </c>
      <c r="F5" s="2">
        <v>0.6596</v>
      </c>
      <c r="G5" s="2">
        <v>0.574</v>
      </c>
      <c r="H5" s="2">
        <v>0.82887</v>
      </c>
      <c r="I5" s="2">
        <v>0.90849</v>
      </c>
      <c r="J5" s="2">
        <v>0.90849</v>
      </c>
      <c r="K5" s="3">
        <v>0.141</v>
      </c>
      <c r="L5" s="3">
        <v>0.549</v>
      </c>
      <c r="M5" s="3">
        <v>0.522</v>
      </c>
      <c r="N5" s="4">
        <v>0.21600000000000003</v>
      </c>
      <c r="O5" s="4">
        <v>0.418</v>
      </c>
      <c r="P5" s="4">
        <v>0.75</v>
      </c>
      <c r="Q5" s="2">
        <v>-7.238826730474601E-4</v>
      </c>
      <c r="R5" s="2">
        <v>0.010714998378549945</v>
      </c>
      <c r="S5" s="2">
        <v>-0.012140885104403698</v>
      </c>
      <c r="T5" s="2">
        <v>0.0</v>
      </c>
      <c r="U5" s="2">
        <v>0.0</v>
      </c>
      <c r="V5" s="2">
        <v>0.0</v>
      </c>
    </row>
    <row r="6" ht="14.25" customHeight="1">
      <c r="A6" s="2" t="s">
        <v>26</v>
      </c>
      <c r="B6" s="3">
        <v>37281.5643</v>
      </c>
      <c r="C6" s="3">
        <v>43941.3733</v>
      </c>
      <c r="D6" s="3">
        <v>57165.9042</v>
      </c>
      <c r="E6" s="2">
        <v>0.4208</v>
      </c>
      <c r="F6" s="2">
        <v>0.4587</v>
      </c>
      <c r="G6" s="2">
        <v>0.4869</v>
      </c>
      <c r="H6" s="2">
        <v>0.8555200000000001</v>
      </c>
      <c r="I6" s="2">
        <v>0.85182</v>
      </c>
      <c r="J6" s="2">
        <v>0.85182</v>
      </c>
      <c r="K6" s="3">
        <v>0.994</v>
      </c>
      <c r="L6" s="3">
        <v>0.994</v>
      </c>
      <c r="M6" s="3">
        <v>0.993</v>
      </c>
      <c r="N6" s="4">
        <v>0.254</v>
      </c>
      <c r="O6" s="4">
        <v>0.7170000000000001</v>
      </c>
      <c r="P6" s="4">
        <v>0.8</v>
      </c>
      <c r="Q6" s="2">
        <v>0.010090036253606716</v>
      </c>
      <c r="R6" s="2">
        <v>0.018686258801519307</v>
      </c>
      <c r="S6" s="2">
        <v>0.0077246032311795165</v>
      </c>
      <c r="T6" s="2">
        <v>1.0</v>
      </c>
      <c r="U6" s="2">
        <v>1.0</v>
      </c>
      <c r="V6" s="2">
        <v>1.0</v>
      </c>
    </row>
    <row r="7" ht="14.25" customHeight="1">
      <c r="A7" s="2" t="s">
        <v>27</v>
      </c>
      <c r="B7" s="3">
        <v>38523.4918</v>
      </c>
      <c r="C7" s="3">
        <v>47275.0439</v>
      </c>
      <c r="D7" s="3">
        <v>58345.7023</v>
      </c>
      <c r="E7" s="2">
        <v>0.3937</v>
      </c>
      <c r="F7" s="2">
        <v>0.3956</v>
      </c>
      <c r="G7" s="2">
        <v>0.4087</v>
      </c>
      <c r="H7" s="2">
        <v>0.6539100000000001</v>
      </c>
      <c r="I7" s="2">
        <v>0.57399</v>
      </c>
      <c r="J7" s="2">
        <v>0.57399</v>
      </c>
      <c r="K7" s="3">
        <v>0.954</v>
      </c>
      <c r="L7" s="3">
        <v>0.959</v>
      </c>
      <c r="M7" s="3">
        <v>0.967</v>
      </c>
      <c r="N7" s="4">
        <v>0.23199999999999998</v>
      </c>
      <c r="O7" s="4">
        <v>0.466</v>
      </c>
      <c r="P7" s="4">
        <v>0.69</v>
      </c>
      <c r="Q7" s="2">
        <v>0.01302031618338706</v>
      </c>
      <c r="R7" s="2">
        <v>0.01431812929489551</v>
      </c>
      <c r="S7" s="2">
        <v>0.0014964353017106191</v>
      </c>
      <c r="T7" s="2">
        <v>1.0</v>
      </c>
      <c r="U7" s="2">
        <v>1.0</v>
      </c>
      <c r="V7" s="2">
        <v>1.0</v>
      </c>
    </row>
    <row r="8" ht="14.25" customHeight="1">
      <c r="A8" s="2" t="s">
        <v>28</v>
      </c>
      <c r="B8" s="3">
        <v>2626.4911</v>
      </c>
      <c r="C8" s="3">
        <v>3142.6468</v>
      </c>
      <c r="D8" s="3">
        <v>5494.568</v>
      </c>
      <c r="E8" s="2">
        <v>0.4404</v>
      </c>
      <c r="F8" s="2">
        <v>0.5207</v>
      </c>
      <c r="G8" s="2">
        <v>0.5158</v>
      </c>
      <c r="H8" s="2">
        <v>0.14851</v>
      </c>
      <c r="I8" s="2">
        <v>0.30462</v>
      </c>
      <c r="J8" s="2">
        <v>0.30462</v>
      </c>
      <c r="K8" s="3">
        <v>0.246</v>
      </c>
      <c r="L8" s="3">
        <v>0.279</v>
      </c>
      <c r="M8" s="3">
        <v>0.12</v>
      </c>
      <c r="N8" s="4">
        <v>0.03</v>
      </c>
      <c r="O8" s="4">
        <v>0.05</v>
      </c>
      <c r="P8" s="4">
        <v>0.1</v>
      </c>
      <c r="Q8" s="2">
        <v>0.01155328415279544</v>
      </c>
      <c r="R8" s="2">
        <v>0.03632097113965904</v>
      </c>
      <c r="S8" s="2">
        <v>0.04749347449164576</v>
      </c>
      <c r="T8" s="2">
        <v>0.0</v>
      </c>
      <c r="U8" s="2">
        <v>0.0</v>
      </c>
      <c r="V8" s="2">
        <v>0.0</v>
      </c>
    </row>
    <row r="9" ht="14.25" customHeight="1">
      <c r="A9" s="2" t="s">
        <v>29</v>
      </c>
      <c r="B9" s="3">
        <v>17775.5877</v>
      </c>
      <c r="C9" s="3">
        <v>15592.0685</v>
      </c>
      <c r="D9" s="3">
        <v>20403.1347</v>
      </c>
      <c r="E9" s="2">
        <v>0.6852</v>
      </c>
      <c r="F9" s="2">
        <v>0.6834</v>
      </c>
      <c r="G9" s="2">
        <v>0.6687</v>
      </c>
      <c r="H9" s="2">
        <v>0.40102</v>
      </c>
      <c r="I9" s="2">
        <v>0.3187</v>
      </c>
      <c r="J9" s="2">
        <v>0.3187</v>
      </c>
      <c r="K9" s="3">
        <v>0.924</v>
      </c>
      <c r="L9" s="3">
        <v>0.915</v>
      </c>
      <c r="M9" s="3">
        <v>0.909</v>
      </c>
      <c r="N9" s="4">
        <v>0.155</v>
      </c>
      <c r="O9" s="4">
        <v>0.281</v>
      </c>
      <c r="P9" s="4">
        <v>0.65</v>
      </c>
      <c r="Q9" s="2">
        <v>-0.010135263893708335</v>
      </c>
      <c r="R9" s="2">
        <v>0.019242041715041625</v>
      </c>
      <c r="S9" s="2">
        <v>4.932038921712234E-4</v>
      </c>
      <c r="T9" s="2">
        <v>0.0</v>
      </c>
      <c r="U9" s="2">
        <v>0.0</v>
      </c>
      <c r="V9" s="2">
        <v>0.0</v>
      </c>
    </row>
    <row r="10" ht="14.25" customHeight="1">
      <c r="A10" s="2" t="s">
        <v>30</v>
      </c>
      <c r="B10" s="3">
        <v>37388.1812</v>
      </c>
      <c r="C10" s="3">
        <v>45173.3093</v>
      </c>
      <c r="D10" s="3">
        <v>56203.4099</v>
      </c>
      <c r="E10" s="2">
        <v>0.403</v>
      </c>
      <c r="F10" s="2">
        <v>0.4381</v>
      </c>
      <c r="G10" s="2">
        <v>0.43</v>
      </c>
      <c r="H10" s="2">
        <v>0.95381</v>
      </c>
      <c r="I10" s="2">
        <v>0.97651</v>
      </c>
      <c r="J10" s="2">
        <v>0.97651</v>
      </c>
      <c r="K10" s="3">
        <v>0.98</v>
      </c>
      <c r="L10" s="3">
        <v>0.976</v>
      </c>
      <c r="M10" s="3">
        <v>0.979</v>
      </c>
      <c r="N10" s="4">
        <v>0.263</v>
      </c>
      <c r="O10" s="4">
        <v>0.544</v>
      </c>
      <c r="P10" s="4">
        <v>0.68</v>
      </c>
      <c r="Q10" s="2">
        <v>0.012132429266842992</v>
      </c>
      <c r="R10" s="2">
        <v>0.0147253238820102</v>
      </c>
      <c r="S10" s="2">
        <v>0.007746526190614222</v>
      </c>
      <c r="T10" s="2">
        <v>1.0</v>
      </c>
      <c r="U10" s="2">
        <v>1.0</v>
      </c>
      <c r="V10" s="2">
        <v>1.0</v>
      </c>
    </row>
    <row r="11" ht="14.25" customHeight="1">
      <c r="A11" s="2" t="s">
        <v>31</v>
      </c>
      <c r="B11" s="3">
        <v>2495.6172</v>
      </c>
      <c r="C11" s="3">
        <v>2974.2972</v>
      </c>
      <c r="D11" s="3">
        <v>4650.6172</v>
      </c>
      <c r="E11" s="2">
        <v>0.5718</v>
      </c>
      <c r="F11" s="2">
        <v>0.5718</v>
      </c>
      <c r="G11" s="2">
        <v>0.6044</v>
      </c>
      <c r="H11" s="2">
        <v>0.27338999999999997</v>
      </c>
      <c r="I11" s="2">
        <v>0.43093000000000004</v>
      </c>
      <c r="J11" s="2">
        <v>0.43093000000000004</v>
      </c>
      <c r="K11" s="3">
        <v>0.402</v>
      </c>
      <c r="L11" s="3">
        <v>0.586</v>
      </c>
      <c r="M11" s="3">
        <v>0.571</v>
      </c>
      <c r="N11" s="4">
        <v>0.016</v>
      </c>
      <c r="O11" s="4">
        <v>0.026000000000000002</v>
      </c>
      <c r="P11" s="4">
        <v>0.1</v>
      </c>
      <c r="Q11" s="2">
        <v>0.006587759241909241</v>
      </c>
      <c r="R11" s="2">
        <v>0.033334241125844155</v>
      </c>
      <c r="S11" s="2">
        <v>0.021519282418982932</v>
      </c>
      <c r="T11" s="2">
        <v>0.0</v>
      </c>
      <c r="U11" s="2">
        <v>0.0</v>
      </c>
      <c r="V11" s="2">
        <v>0.0</v>
      </c>
    </row>
    <row r="12" ht="14.25" customHeight="1">
      <c r="A12" s="2" t="s">
        <v>32</v>
      </c>
      <c r="B12" s="3">
        <v>9958.1015</v>
      </c>
      <c r="C12" s="3">
        <v>8741.5828</v>
      </c>
      <c r="D12" s="3">
        <v>10644.9582</v>
      </c>
      <c r="E12" s="2">
        <v>0.682</v>
      </c>
      <c r="F12" s="2">
        <v>0.682</v>
      </c>
      <c r="G12" s="2">
        <v>0.6678</v>
      </c>
      <c r="H12" s="2">
        <v>0.45451</v>
      </c>
      <c r="I12" s="2">
        <v>0.6643000000000001</v>
      </c>
      <c r="J12" s="2">
        <v>0.6643000000000001</v>
      </c>
      <c r="K12" s="3">
        <v>0.052</v>
      </c>
      <c r="L12" s="3">
        <v>0.468</v>
      </c>
      <c r="M12" s="3">
        <v>0.367</v>
      </c>
      <c r="N12" s="4">
        <v>0.126</v>
      </c>
      <c r="O12" s="4">
        <v>0.23</v>
      </c>
      <c r="P12" s="4">
        <v>0.4578</v>
      </c>
      <c r="Q12" s="2">
        <v>-0.010749922207814455</v>
      </c>
      <c r="R12" s="2">
        <v>0.013100651520542739</v>
      </c>
      <c r="S12" s="2">
        <v>0.009779867228488337</v>
      </c>
      <c r="T12" s="2">
        <v>0.0</v>
      </c>
      <c r="U12" s="2">
        <v>0.0</v>
      </c>
      <c r="V12" s="2">
        <v>0.0</v>
      </c>
    </row>
    <row r="13" ht="14.25" customHeight="1">
      <c r="A13" s="2" t="s">
        <v>33</v>
      </c>
      <c r="B13" s="3">
        <v>12507.9057</v>
      </c>
      <c r="C13" s="3">
        <v>14075.7218</v>
      </c>
      <c r="D13" s="3">
        <v>20430.7</v>
      </c>
      <c r="E13" s="2">
        <v>0.2927</v>
      </c>
      <c r="F13" s="2">
        <v>0.4936</v>
      </c>
      <c r="G13" s="2">
        <v>0.4612</v>
      </c>
      <c r="H13" s="2">
        <v>0.621</v>
      </c>
      <c r="I13" s="2">
        <v>0.7230200000000001</v>
      </c>
      <c r="J13" s="2">
        <v>0.7230200000000001</v>
      </c>
      <c r="K13" s="3">
        <v>0.285</v>
      </c>
      <c r="L13" s="3">
        <v>0.737</v>
      </c>
      <c r="M13" s="3">
        <v>0.694</v>
      </c>
      <c r="N13" s="4">
        <v>0.161</v>
      </c>
      <c r="O13" s="4">
        <v>0.39399999999999996</v>
      </c>
      <c r="P13" s="4">
        <v>0.58</v>
      </c>
      <c r="Q13" s="2">
        <v>0.006489730128454996</v>
      </c>
      <c r="R13" s="2">
        <v>0.026012124385622393</v>
      </c>
      <c r="S13" s="2">
        <v>0.028476708151278007</v>
      </c>
      <c r="T13" s="2">
        <v>0.0</v>
      </c>
      <c r="U13" s="2">
        <v>0.0</v>
      </c>
      <c r="V13" s="2">
        <v>0.0</v>
      </c>
    </row>
    <row r="14" ht="14.25" customHeight="1">
      <c r="A14" s="2" t="s">
        <v>34</v>
      </c>
      <c r="B14" s="3">
        <v>2329.6639</v>
      </c>
      <c r="C14" s="3">
        <v>2696.3929</v>
      </c>
      <c r="D14" s="3">
        <v>5113.8735</v>
      </c>
      <c r="E14" s="2">
        <v>0.6747</v>
      </c>
      <c r="F14" s="2">
        <v>0.6747</v>
      </c>
      <c r="G14" s="2">
        <v>0.6614</v>
      </c>
      <c r="H14" s="2">
        <v>0.09898</v>
      </c>
      <c r="I14" s="2">
        <v>0.20294</v>
      </c>
      <c r="J14" s="2">
        <v>0.20294</v>
      </c>
      <c r="K14" s="3">
        <v>0.139</v>
      </c>
      <c r="L14" s="3">
        <v>0.096</v>
      </c>
      <c r="M14" s="3">
        <v>0.089</v>
      </c>
      <c r="N14" s="4">
        <v>0.0073</v>
      </c>
      <c r="O14" s="4">
        <v>0.015</v>
      </c>
      <c r="P14" s="4">
        <v>0.14</v>
      </c>
      <c r="Q14" s="2">
        <v>0.010098084486041659</v>
      </c>
      <c r="R14" s="2">
        <v>0.04530491741872056</v>
      </c>
      <c r="S14" s="2">
        <v>0.03598377294737576</v>
      </c>
      <c r="T14" s="2">
        <v>0.0</v>
      </c>
      <c r="U14" s="2">
        <v>0.0</v>
      </c>
      <c r="V14" s="2">
        <v>0.0</v>
      </c>
    </row>
    <row r="15" ht="14.25" customHeight="1">
      <c r="A15" s="2" t="s">
        <v>35</v>
      </c>
      <c r="B15" s="3">
        <v>7335.1034</v>
      </c>
      <c r="C15" s="3">
        <v>6301.0291</v>
      </c>
      <c r="D15" s="3">
        <v>7287.1004</v>
      </c>
      <c r="E15" s="2">
        <v>0.6255</v>
      </c>
      <c r="F15" s="2">
        <v>0.6255</v>
      </c>
      <c r="G15" s="2">
        <v>0.612</v>
      </c>
      <c r="H15" s="2">
        <v>0.31921</v>
      </c>
      <c r="I15" s="2">
        <v>0.51559</v>
      </c>
      <c r="J15" s="2">
        <v>0.51559</v>
      </c>
      <c r="K15" s="3">
        <v>0.195</v>
      </c>
      <c r="L15" s="3">
        <v>0.107</v>
      </c>
      <c r="M15" s="3">
        <v>0.101</v>
      </c>
      <c r="N15" s="4">
        <v>0.016</v>
      </c>
      <c r="O15" s="4">
        <v>0.0379</v>
      </c>
      <c r="P15" s="4">
        <v>0.11</v>
      </c>
      <c r="Q15" s="2">
        <v>-0.010774086820306006</v>
      </c>
      <c r="R15" s="2">
        <v>0.010663545910158057</v>
      </c>
      <c r="S15" s="2">
        <v>0.006054264718893698</v>
      </c>
      <c r="T15" s="2">
        <v>0.0</v>
      </c>
      <c r="U15" s="2">
        <v>0.0</v>
      </c>
      <c r="V15" s="2">
        <v>0.0</v>
      </c>
    </row>
    <row r="16" ht="14.25" customHeight="1">
      <c r="A16" s="2" t="s">
        <v>36</v>
      </c>
      <c r="B16" s="3">
        <v>40350.3263</v>
      </c>
      <c r="C16" s="3">
        <v>43887.7235</v>
      </c>
      <c r="D16" s="3">
        <v>52489.6148</v>
      </c>
      <c r="E16" s="2">
        <v>0.4204</v>
      </c>
      <c r="F16" s="2">
        <v>0.4791</v>
      </c>
      <c r="G16" s="2">
        <v>0.502</v>
      </c>
      <c r="H16" s="2">
        <v>0.7566299999999999</v>
      </c>
      <c r="I16" s="2">
        <v>0.8093699999999999</v>
      </c>
      <c r="J16" s="2">
        <v>0.8093699999999999</v>
      </c>
      <c r="K16" s="3">
        <v>0.972</v>
      </c>
      <c r="L16" s="3">
        <v>0.977</v>
      </c>
      <c r="M16" s="3">
        <v>0.98</v>
      </c>
      <c r="N16" s="4">
        <v>0.42100000000000004</v>
      </c>
      <c r="O16" s="4">
        <v>0.9129999999999999</v>
      </c>
      <c r="P16" s="4">
        <v>0.6859999999999999</v>
      </c>
      <c r="Q16" s="2">
        <v>0.005010480213250901</v>
      </c>
      <c r="R16" s="2">
        <v>0.01170087758827254</v>
      </c>
      <c r="S16" s="2">
        <v>0.003567519954125853</v>
      </c>
      <c r="T16" s="2">
        <v>1.0</v>
      </c>
      <c r="U16" s="2">
        <v>1.0</v>
      </c>
      <c r="V16" s="2">
        <v>1.0</v>
      </c>
    </row>
    <row r="17" ht="14.25" customHeight="1">
      <c r="A17" s="2" t="s">
        <v>37</v>
      </c>
      <c r="B17" s="3">
        <v>13432.1518</v>
      </c>
      <c r="C17" s="3">
        <v>19220.5266</v>
      </c>
      <c r="D17" s="3">
        <v>26686.06</v>
      </c>
      <c r="E17" s="2">
        <v>0.7275</v>
      </c>
      <c r="F17" s="2">
        <v>0.7275</v>
      </c>
      <c r="G17" s="2">
        <v>0.7492</v>
      </c>
      <c r="H17" s="2">
        <v>0.81243</v>
      </c>
      <c r="I17" s="2">
        <v>0.87074</v>
      </c>
      <c r="J17" s="2">
        <v>0.87074</v>
      </c>
      <c r="K17" s="3">
        <v>0.379</v>
      </c>
      <c r="L17" s="3">
        <v>0.958</v>
      </c>
      <c r="M17" s="3">
        <v>0.961</v>
      </c>
      <c r="N17" s="4">
        <v>0.132</v>
      </c>
      <c r="O17" s="4">
        <v>0.282</v>
      </c>
      <c r="P17" s="4">
        <v>0.66</v>
      </c>
      <c r="Q17" s="2">
        <v>0.020041843386231495</v>
      </c>
      <c r="R17" s="2">
        <v>0.020896138342995085</v>
      </c>
      <c r="S17" s="2">
        <v>0.006446108170700571</v>
      </c>
      <c r="T17" s="2">
        <v>0.0</v>
      </c>
      <c r="U17" s="2">
        <v>0.0</v>
      </c>
      <c r="V17" s="2">
        <v>1.0</v>
      </c>
    </row>
    <row r="18" ht="14.25" customHeight="1">
      <c r="A18" s="2" t="s">
        <v>38</v>
      </c>
      <c r="B18" s="3">
        <v>2384.414</v>
      </c>
      <c r="C18" s="3">
        <v>4518.8695</v>
      </c>
      <c r="D18" s="3">
        <v>10896.8027</v>
      </c>
      <c r="E18" s="2">
        <v>0.3774</v>
      </c>
      <c r="F18" s="2">
        <v>0.469</v>
      </c>
      <c r="G18" s="2">
        <v>0.5609</v>
      </c>
      <c r="H18" s="2">
        <v>0.19358</v>
      </c>
      <c r="I18" s="2">
        <v>0.49226</v>
      </c>
      <c r="J18" s="2">
        <v>0.49226</v>
      </c>
      <c r="K18" s="3">
        <v>0.342</v>
      </c>
      <c r="L18" s="3">
        <v>0.307</v>
      </c>
      <c r="M18" s="3">
        <v>0.245</v>
      </c>
      <c r="N18" s="4">
        <v>0.013000000000000001</v>
      </c>
      <c r="O18" s="4">
        <v>0.053</v>
      </c>
      <c r="P18" s="4">
        <v>0.23</v>
      </c>
      <c r="Q18" s="2">
        <v>0.03872180217266785</v>
      </c>
      <c r="R18" s="2">
        <v>0.0594779079227965</v>
      </c>
      <c r="S18" s="2">
        <v>0.04967114523385763</v>
      </c>
      <c r="T18" s="2">
        <v>0.0</v>
      </c>
      <c r="U18" s="2">
        <v>0.0</v>
      </c>
      <c r="V18" s="2">
        <v>0.0</v>
      </c>
    </row>
    <row r="19" ht="14.25" customHeight="1">
      <c r="A19" s="2" t="s">
        <v>39</v>
      </c>
      <c r="B19" s="3">
        <v>14483.7275</v>
      </c>
      <c r="C19" s="3">
        <v>15690.4235</v>
      </c>
      <c r="D19" s="3">
        <v>17195.1893</v>
      </c>
      <c r="E19" s="2">
        <v>0.7425</v>
      </c>
      <c r="F19" s="2">
        <v>0.7425</v>
      </c>
      <c r="G19" s="2">
        <v>0.7099</v>
      </c>
      <c r="H19" s="2">
        <v>0.63738</v>
      </c>
      <c r="I19" s="2">
        <v>0.77964</v>
      </c>
      <c r="J19" s="2">
        <v>0.77964</v>
      </c>
      <c r="K19" s="3">
        <v>0.511</v>
      </c>
      <c r="L19" s="3">
        <v>0.676</v>
      </c>
      <c r="M19" s="3">
        <v>0.742</v>
      </c>
      <c r="N19" s="4">
        <v>0.106</v>
      </c>
      <c r="O19" s="4">
        <v>0.172</v>
      </c>
      <c r="P19" s="4">
        <v>0.39</v>
      </c>
      <c r="Q19" s="2">
        <v>0.003911575921206056</v>
      </c>
      <c r="R19" s="2">
        <v>0.004939691658747192</v>
      </c>
      <c r="S19" s="2">
        <v>0.006794447092013822</v>
      </c>
      <c r="T19" s="2">
        <v>0.0</v>
      </c>
      <c r="U19" s="2">
        <v>0.0</v>
      </c>
      <c r="V19" s="2">
        <v>0.0</v>
      </c>
    </row>
    <row r="20" ht="14.25" customHeight="1">
      <c r="A20" s="2" t="s">
        <v>40</v>
      </c>
      <c r="B20" s="3">
        <v>17169.194</v>
      </c>
      <c r="C20" s="3">
        <v>17253.181</v>
      </c>
      <c r="D20" s="3">
        <v>21827.2319</v>
      </c>
      <c r="E20" s="2">
        <v>0.6516</v>
      </c>
      <c r="F20" s="2">
        <v>0.6516</v>
      </c>
      <c r="G20" s="2">
        <v>0.6516</v>
      </c>
      <c r="H20" s="2">
        <v>0.43099</v>
      </c>
      <c r="I20" s="2">
        <v>0.71736</v>
      </c>
      <c r="J20" s="2">
        <v>0.71736</v>
      </c>
      <c r="K20" s="3">
        <v>0.921</v>
      </c>
      <c r="L20" s="3">
        <v>0.955</v>
      </c>
      <c r="M20" s="3">
        <v>0.942</v>
      </c>
      <c r="N20" s="4">
        <v>0.233</v>
      </c>
      <c r="O20" s="4">
        <v>0.319</v>
      </c>
      <c r="P20" s="4">
        <v>0.44</v>
      </c>
      <c r="Q20" s="2">
        <v>-3.375843447708249E-4</v>
      </c>
      <c r="R20" s="2">
        <v>0.014899173910813301</v>
      </c>
      <c r="S20" s="2">
        <v>0.01671542024845718</v>
      </c>
      <c r="T20" s="2">
        <v>0.0</v>
      </c>
      <c r="U20" s="2">
        <v>0.0</v>
      </c>
      <c r="V20" s="2">
        <v>0.0</v>
      </c>
    </row>
    <row r="21" ht="14.25" customHeight="1">
      <c r="A21" s="2" t="s">
        <v>41</v>
      </c>
      <c r="B21" s="3">
        <v>8708.7533</v>
      </c>
      <c r="C21" s="3">
        <v>6263.889</v>
      </c>
      <c r="D21" s="3">
        <v>5383.9752</v>
      </c>
      <c r="E21" s="2">
        <v>0.6516</v>
      </c>
      <c r="F21" s="2">
        <v>0.6516</v>
      </c>
      <c r="G21" s="2">
        <v>0.6516</v>
      </c>
      <c r="H21" s="2">
        <v>0.36829</v>
      </c>
      <c r="I21" s="2">
        <v>0.4733</v>
      </c>
      <c r="J21" s="2">
        <v>0.4733</v>
      </c>
      <c r="K21" s="3">
        <v>0.381</v>
      </c>
      <c r="L21" s="3">
        <v>0.444</v>
      </c>
      <c r="M21" s="3">
        <v>0.482</v>
      </c>
      <c r="N21" s="4">
        <v>0.0177</v>
      </c>
      <c r="O21" s="4">
        <v>0.044000000000000004</v>
      </c>
      <c r="P21" s="4">
        <v>0.08</v>
      </c>
      <c r="Q21" s="2">
        <v>-0.024947063171611217</v>
      </c>
      <c r="R21" s="2">
        <v>-0.012770151286276676</v>
      </c>
      <c r="S21" s="2">
        <v>0.052012291765455076</v>
      </c>
      <c r="T21" s="2">
        <v>0.0</v>
      </c>
      <c r="U21" s="2">
        <v>0.0</v>
      </c>
      <c r="V21" s="2">
        <v>0.0</v>
      </c>
    </row>
    <row r="22" ht="14.25" customHeight="1">
      <c r="A22" s="2" t="s">
        <v>42</v>
      </c>
      <c r="B22" s="3">
        <v>16240.5931</v>
      </c>
      <c r="C22" s="3">
        <v>12102.8525</v>
      </c>
      <c r="D22" s="3">
        <v>22783.5302</v>
      </c>
      <c r="E22" s="2">
        <v>0.6427</v>
      </c>
      <c r="F22" s="2">
        <v>0.6427</v>
      </c>
      <c r="G22" s="2">
        <v>0.5982</v>
      </c>
      <c r="H22" s="2">
        <v>0.68106</v>
      </c>
      <c r="I22" s="2">
        <v>0.7659699999999999</v>
      </c>
      <c r="J22" s="2">
        <v>0.7659699999999999</v>
      </c>
      <c r="K22" s="3">
        <v>0.189</v>
      </c>
      <c r="L22" s="3">
        <v>0.146</v>
      </c>
      <c r="M22" s="3">
        <v>0.142</v>
      </c>
      <c r="N22" s="4">
        <v>0.195</v>
      </c>
      <c r="O22" s="4">
        <v>0.127</v>
      </c>
      <c r="P22" s="4">
        <v>0.95</v>
      </c>
      <c r="Q22" s="2">
        <v>-0.02160932786737113</v>
      </c>
      <c r="R22" s="2">
        <v>0.045089805633283575</v>
      </c>
      <c r="S22" s="2">
        <v>9.224643896919016E-4</v>
      </c>
      <c r="T22" s="2">
        <v>0.0</v>
      </c>
      <c r="U22" s="2">
        <v>0.0</v>
      </c>
      <c r="V22" s="2">
        <v>0.0</v>
      </c>
    </row>
    <row r="23" ht="14.25" customHeight="1">
      <c r="A23" s="2" t="s">
        <v>43</v>
      </c>
      <c r="B23" s="3">
        <v>14861.9971</v>
      </c>
      <c r="C23" s="3">
        <v>27030.8892</v>
      </c>
      <c r="D23" s="3">
        <v>31586.6895</v>
      </c>
      <c r="E23" s="2">
        <v>0.4842</v>
      </c>
      <c r="F23" s="2">
        <v>0.4738</v>
      </c>
      <c r="G23" s="2">
        <v>0.4478</v>
      </c>
      <c r="H23" s="2">
        <v>0.58614</v>
      </c>
      <c r="I23" s="2">
        <v>0.67551</v>
      </c>
      <c r="J23" s="2">
        <v>0.67551</v>
      </c>
      <c r="K23" s="3">
        <v>0.822</v>
      </c>
      <c r="L23" s="3">
        <v>0.839</v>
      </c>
      <c r="M23" s="3">
        <v>0.907</v>
      </c>
      <c r="N23" s="4">
        <v>0.04</v>
      </c>
      <c r="O23" s="4">
        <v>0.2</v>
      </c>
      <c r="P23" s="4">
        <v>0.48</v>
      </c>
      <c r="Q23" s="2">
        <v>0.03800907565095146</v>
      </c>
      <c r="R23" s="2">
        <v>0.012033390145076428</v>
      </c>
      <c r="S23" s="2">
        <v>0.010765028379800867</v>
      </c>
      <c r="T23" s="2">
        <v>0.0</v>
      </c>
      <c r="U23" s="2">
        <v>0.0</v>
      </c>
      <c r="V23" s="2">
        <v>0.0</v>
      </c>
    </row>
    <row r="24" ht="14.25" customHeight="1">
      <c r="A24" s="5" t="s">
        <v>44</v>
      </c>
      <c r="B24" s="3">
        <v>32235.6787</v>
      </c>
      <c r="C24" s="3">
        <v>28037.7116</v>
      </c>
      <c r="D24" s="3">
        <v>37660.5638</v>
      </c>
      <c r="E24" s="2">
        <v>0.2174</v>
      </c>
      <c r="F24" s="2">
        <v>0.3415</v>
      </c>
      <c r="G24" s="2">
        <v>0.3552</v>
      </c>
      <c r="H24" s="2">
        <v>0.7516700000000001</v>
      </c>
      <c r="I24" s="2">
        <v>0.7325499999999999</v>
      </c>
      <c r="J24" s="2">
        <v>0.7325499999999999</v>
      </c>
      <c r="K24" s="3">
        <v>0.189</v>
      </c>
      <c r="L24" s="3">
        <v>0.843</v>
      </c>
      <c r="M24" s="3">
        <v>0.866</v>
      </c>
      <c r="N24" s="4">
        <v>0.171</v>
      </c>
      <c r="O24" s="4">
        <v>0.20579999999999998</v>
      </c>
      <c r="P24" s="4">
        <v>0.63</v>
      </c>
      <c r="Q24" s="2">
        <v>-0.013506886268393803</v>
      </c>
      <c r="R24" s="2">
        <v>0.01949249195177538</v>
      </c>
      <c r="S24" s="2">
        <v>0.015476442486333175</v>
      </c>
      <c r="T24" s="2">
        <v>0.0</v>
      </c>
      <c r="U24" s="2">
        <v>1.0</v>
      </c>
      <c r="V24" s="2">
        <v>1.0</v>
      </c>
    </row>
    <row r="25" ht="14.25" customHeight="1">
      <c r="A25" s="2" t="s">
        <v>45</v>
      </c>
      <c r="B25" s="3">
        <v>4401.4859</v>
      </c>
      <c r="C25" s="3">
        <v>1962.4046</v>
      </c>
      <c r="D25" s="3">
        <v>1749.7494</v>
      </c>
      <c r="E25" s="2">
        <v>0.6793</v>
      </c>
      <c r="F25" s="2">
        <v>0.6793</v>
      </c>
      <c r="G25" s="2">
        <v>0.6793</v>
      </c>
      <c r="H25" s="2">
        <v>0.27072</v>
      </c>
      <c r="I25" s="2">
        <v>0.40013</v>
      </c>
      <c r="J25" s="2">
        <v>0.40013</v>
      </c>
      <c r="K25" s="3">
        <v>0.028</v>
      </c>
      <c r="L25" s="3">
        <v>0.05</v>
      </c>
      <c r="M25" s="3">
        <v>0.104</v>
      </c>
      <c r="N25" s="4">
        <v>0.012</v>
      </c>
      <c r="O25" s="4">
        <v>0.0241</v>
      </c>
      <c r="P25" s="4">
        <v>0.07</v>
      </c>
      <c r="Q25" s="2">
        <v>-0.053519516134760914</v>
      </c>
      <c r="R25" s="2">
        <v>-0.010871555883767647</v>
      </c>
      <c r="S25" s="2">
        <v>0.024485408195657143</v>
      </c>
      <c r="T25" s="2">
        <v>0.0</v>
      </c>
      <c r="U25" s="2">
        <v>0.0</v>
      </c>
      <c r="V25" s="2">
        <v>0.0</v>
      </c>
    </row>
    <row r="26" ht="14.25" customHeight="1">
      <c r="A26" s="2" t="s">
        <v>46</v>
      </c>
      <c r="B26" s="3">
        <v>40567.4064</v>
      </c>
      <c r="C26" s="3">
        <v>51184.0671</v>
      </c>
      <c r="D26" s="3">
        <v>61127.2236</v>
      </c>
      <c r="E26" s="2">
        <v>0.2174</v>
      </c>
      <c r="F26" s="2">
        <v>0.3415</v>
      </c>
      <c r="G26" s="2">
        <v>0.3552</v>
      </c>
      <c r="H26" s="2">
        <v>0.83723</v>
      </c>
      <c r="I26" s="2">
        <v>0.86795</v>
      </c>
      <c r="J26" s="2">
        <v>0.86795</v>
      </c>
      <c r="K26" s="3">
        <v>0.999</v>
      </c>
      <c r="L26" s="3">
        <v>0.999</v>
      </c>
      <c r="M26" s="3">
        <v>0.999</v>
      </c>
      <c r="N26" s="4">
        <v>0.28600000000000003</v>
      </c>
      <c r="O26" s="4">
        <v>0.45</v>
      </c>
      <c r="P26" s="4">
        <v>0.74</v>
      </c>
      <c r="Q26" s="2">
        <v>0.015008862564844128</v>
      </c>
      <c r="R26" s="2">
        <v>0.011843128352108545</v>
      </c>
      <c r="S26" s="2">
        <v>0.01251240253232444</v>
      </c>
      <c r="T26" s="2">
        <v>1.0</v>
      </c>
      <c r="U26" s="2">
        <v>1.0</v>
      </c>
      <c r="V26" s="2">
        <v>1.0</v>
      </c>
    </row>
    <row r="27" ht="14.25" customHeight="1">
      <c r="A27" s="2" t="s">
        <v>47</v>
      </c>
      <c r="B27" s="3">
        <v>11934.7965</v>
      </c>
      <c r="C27" s="3">
        <v>12282.6613</v>
      </c>
      <c r="D27" s="3">
        <v>19515.2057</v>
      </c>
      <c r="E27" s="2">
        <v>0.6793</v>
      </c>
      <c r="F27" s="2">
        <v>0.6793</v>
      </c>
      <c r="G27" s="2">
        <v>0.6793</v>
      </c>
      <c r="H27" s="2">
        <v>0.5129</v>
      </c>
      <c r="I27" s="2">
        <v>0.73753</v>
      </c>
      <c r="J27" s="2">
        <v>0.73753</v>
      </c>
      <c r="K27" s="3">
        <v>0.335</v>
      </c>
      <c r="L27" s="3">
        <v>0.211</v>
      </c>
      <c r="M27" s="3">
        <v>0.324</v>
      </c>
      <c r="N27" s="4">
        <v>0.14</v>
      </c>
      <c r="O27" s="4">
        <v>0.25</v>
      </c>
      <c r="P27" s="4">
        <v>0.4093</v>
      </c>
      <c r="Q27" s="2">
        <v>1.953275931789733E-4</v>
      </c>
      <c r="R27" s="2">
        <v>0.02938307044604227</v>
      </c>
      <c r="S27" s="2">
        <v>0.027004855497601232</v>
      </c>
      <c r="T27" s="2">
        <v>0.0</v>
      </c>
      <c r="U27" s="2">
        <v>0.0</v>
      </c>
      <c r="V27" s="2">
        <v>0.0</v>
      </c>
    </row>
    <row r="28" ht="14.25" customHeight="1">
      <c r="A28" s="2" t="s">
        <v>48</v>
      </c>
      <c r="B28" s="3">
        <v>12453.2973</v>
      </c>
      <c r="C28" s="3">
        <v>13314.9362</v>
      </c>
      <c r="D28" s="3">
        <v>15329.979</v>
      </c>
      <c r="E28" s="2">
        <v>0.6731</v>
      </c>
      <c r="F28" s="2">
        <v>0.6731</v>
      </c>
      <c r="G28" s="2">
        <v>0.6428</v>
      </c>
      <c r="H28" s="2">
        <v>0.46960999999999997</v>
      </c>
      <c r="I28" s="2">
        <v>0.6269</v>
      </c>
      <c r="J28" s="2">
        <v>0.6269</v>
      </c>
      <c r="K28" s="3">
        <v>0.473</v>
      </c>
      <c r="L28" s="3">
        <v>0.406</v>
      </c>
      <c r="M28" s="3">
        <v>0.379</v>
      </c>
      <c r="N28" s="4">
        <v>0.365</v>
      </c>
      <c r="O28" s="4">
        <v>0.22</v>
      </c>
      <c r="P28" s="4">
        <v>0.39</v>
      </c>
      <c r="Q28" s="2">
        <v>0.005303620544071075</v>
      </c>
      <c r="R28" s="2">
        <v>0.009154664140041291</v>
      </c>
      <c r="S28" s="2">
        <v>8.435589777677777E-4</v>
      </c>
      <c r="T28" s="2">
        <v>0.0</v>
      </c>
      <c r="U28" s="2">
        <v>0.0</v>
      </c>
      <c r="V28" s="2">
        <v>0.0</v>
      </c>
    </row>
    <row r="29" ht="14.25" customHeight="1">
      <c r="A29" s="2" t="s">
        <v>49</v>
      </c>
      <c r="B29" s="3">
        <v>8201.2469</v>
      </c>
      <c r="C29" s="3">
        <v>13465.4183</v>
      </c>
      <c r="D29" s="3">
        <v>18151.1648</v>
      </c>
      <c r="E29" s="2">
        <v>0.5099</v>
      </c>
      <c r="F29" s="2">
        <v>0.4962</v>
      </c>
      <c r="G29" s="2">
        <v>0.5305</v>
      </c>
      <c r="H29" s="2">
        <v>0.43857999999999997</v>
      </c>
      <c r="I29" s="2">
        <v>0.43018999999999996</v>
      </c>
      <c r="J29" s="2">
        <v>0.43018999999999996</v>
      </c>
      <c r="K29" s="3">
        <v>0.375</v>
      </c>
      <c r="L29" s="3">
        <v>0.339</v>
      </c>
      <c r="M29" s="3">
        <v>0.324</v>
      </c>
      <c r="N29" s="4">
        <v>0.17600000000000002</v>
      </c>
      <c r="O29" s="4">
        <v>0.203</v>
      </c>
      <c r="P29" s="4">
        <v>0.33</v>
      </c>
      <c r="Q29" s="2">
        <v>0.034571150935030825</v>
      </c>
      <c r="R29" s="2">
        <v>0.02088748534775897</v>
      </c>
      <c r="S29" s="2">
        <v>0.020573175834171398</v>
      </c>
      <c r="T29" s="2">
        <v>0.0</v>
      </c>
      <c r="U29" s="2">
        <v>0.0</v>
      </c>
      <c r="V29" s="2">
        <v>0.0</v>
      </c>
    </row>
    <row r="30" ht="14.25" customHeight="1">
      <c r="A30" s="2" t="s">
        <v>50</v>
      </c>
      <c r="B30" s="3">
        <v>12443.2264</v>
      </c>
      <c r="C30" s="3">
        <v>11113.9984</v>
      </c>
      <c r="D30" s="3">
        <v>11797.8097</v>
      </c>
      <c r="E30" s="2">
        <v>0.6725</v>
      </c>
      <c r="F30" s="2">
        <v>0.6725</v>
      </c>
      <c r="G30" s="2">
        <v>0.6385</v>
      </c>
      <c r="H30" s="2">
        <v>0.44099</v>
      </c>
      <c r="I30" s="2">
        <v>0.65452</v>
      </c>
      <c r="J30" s="2">
        <v>0.65452</v>
      </c>
      <c r="K30" s="3">
        <v>0.133</v>
      </c>
      <c r="L30" s="3">
        <v>0.36</v>
      </c>
      <c r="M30" s="3">
        <v>0.413</v>
      </c>
      <c r="N30" s="4">
        <v>0.039</v>
      </c>
      <c r="O30" s="4">
        <v>0.177</v>
      </c>
      <c r="P30" s="4">
        <v>0.23</v>
      </c>
      <c r="Q30" s="2">
        <v>-0.009712817637375637</v>
      </c>
      <c r="R30" s="2">
        <v>0.003718425269507275</v>
      </c>
      <c r="S30" s="2">
        <v>0.008542662832959236</v>
      </c>
      <c r="T30" s="2">
        <v>0.0</v>
      </c>
      <c r="U30" s="2">
        <v>0.0</v>
      </c>
      <c r="V30" s="2">
        <v>0.0</v>
      </c>
    </row>
    <row r="31" ht="14.25" customHeight="1">
      <c r="A31" s="2" t="s">
        <v>51</v>
      </c>
      <c r="B31" s="3">
        <v>12979.0338</v>
      </c>
      <c r="C31" s="3">
        <v>13160.8754</v>
      </c>
      <c r="D31" s="3">
        <v>13144.5554</v>
      </c>
      <c r="E31" s="2">
        <v>0.4403</v>
      </c>
      <c r="F31" s="2">
        <v>0.4571</v>
      </c>
      <c r="G31" s="2">
        <v>0.5428</v>
      </c>
      <c r="H31" s="2">
        <v>0.37768999999999997</v>
      </c>
      <c r="I31" s="2">
        <v>0.52171</v>
      </c>
      <c r="J31" s="2">
        <v>0.52171</v>
      </c>
      <c r="K31" s="3">
        <v>0.736</v>
      </c>
      <c r="L31" s="3">
        <v>0.656</v>
      </c>
      <c r="M31" s="3">
        <v>0.536</v>
      </c>
      <c r="N31" s="4">
        <v>0.024</v>
      </c>
      <c r="O31" s="4">
        <v>0.14</v>
      </c>
      <c r="P31" s="4">
        <v>0.62</v>
      </c>
      <c r="Q31" s="2">
        <v>-1.2617488643018593E-4</v>
      </c>
      <c r="R31" s="2">
        <v>-0.0014941914470727458</v>
      </c>
      <c r="S31" s="2">
        <v>0.01716119366496338</v>
      </c>
      <c r="T31" s="2">
        <v>0.0</v>
      </c>
      <c r="U31" s="2">
        <v>0.0</v>
      </c>
      <c r="V31" s="2">
        <v>0.0</v>
      </c>
    </row>
    <row r="32" ht="14.25" customHeight="1">
      <c r="A32" s="2" t="s">
        <v>52</v>
      </c>
      <c r="B32" s="3">
        <v>32039.6054</v>
      </c>
      <c r="C32" s="3">
        <v>38460.8069</v>
      </c>
      <c r="D32" s="3">
        <v>54046.2704</v>
      </c>
      <c r="E32" s="2">
        <v>0.3614</v>
      </c>
      <c r="F32" s="2">
        <v>0.3708</v>
      </c>
      <c r="G32" s="2">
        <v>0.4189</v>
      </c>
      <c r="H32" s="2">
        <v>0.7172700000000001</v>
      </c>
      <c r="I32" s="2">
        <v>0.8377</v>
      </c>
      <c r="J32" s="2">
        <v>0.8377</v>
      </c>
      <c r="K32" s="3">
        <v>0.989</v>
      </c>
      <c r="L32" s="3">
        <v>0.991</v>
      </c>
      <c r="M32" s="3">
        <v>0.991</v>
      </c>
      <c r="N32" s="4">
        <v>0.321</v>
      </c>
      <c r="O32" s="4">
        <v>0.703</v>
      </c>
      <c r="P32" s="4">
        <v>0.94</v>
      </c>
      <c r="Q32" s="2">
        <v>0.010483175224281993</v>
      </c>
      <c r="R32" s="2">
        <v>0.02286379854092635</v>
      </c>
      <c r="S32" s="2">
        <v>-6.577682028328091E-4</v>
      </c>
      <c r="T32" s="2">
        <v>1.0</v>
      </c>
      <c r="U32" s="2">
        <v>1.0</v>
      </c>
      <c r="V32" s="2">
        <v>1.0</v>
      </c>
    </row>
    <row r="33" ht="14.25" customHeight="1">
      <c r="A33" s="2" t="s">
        <v>53</v>
      </c>
      <c r="B33" s="3">
        <v>36260.7882</v>
      </c>
      <c r="C33" s="3">
        <v>42822.8013</v>
      </c>
      <c r="D33" s="3">
        <v>50264.4123</v>
      </c>
      <c r="E33" s="2">
        <v>0.4034</v>
      </c>
      <c r="F33" s="2">
        <v>0.4255</v>
      </c>
      <c r="G33" s="2">
        <v>0.4542</v>
      </c>
      <c r="H33" s="2">
        <v>0.7328199999999999</v>
      </c>
      <c r="I33" s="2">
        <v>0.78369</v>
      </c>
      <c r="J33" s="2">
        <v>0.78369</v>
      </c>
      <c r="K33" s="3">
        <v>0.956</v>
      </c>
      <c r="L33" s="3">
        <v>0.961</v>
      </c>
      <c r="M33" s="3">
        <v>0.966</v>
      </c>
      <c r="N33" s="4">
        <v>0.255</v>
      </c>
      <c r="O33" s="4">
        <v>0.51</v>
      </c>
      <c r="P33" s="4">
        <v>0.56</v>
      </c>
      <c r="Q33" s="2">
        <v>0.010906677725750047</v>
      </c>
      <c r="R33" s="2">
        <v>0.01053283592636789</v>
      </c>
      <c r="S33" s="2">
        <v>0.004259479886135731</v>
      </c>
      <c r="T33" s="2">
        <v>1.0</v>
      </c>
      <c r="U33" s="2">
        <v>1.0</v>
      </c>
      <c r="V33" s="2">
        <v>1.0</v>
      </c>
    </row>
    <row r="34" ht="14.25" customHeight="1">
      <c r="A34" s="2" t="s">
        <v>54</v>
      </c>
      <c r="B34" s="3">
        <v>4237.2145</v>
      </c>
      <c r="C34" s="3">
        <v>4334.8598</v>
      </c>
      <c r="D34" s="3">
        <v>4951.1582</v>
      </c>
      <c r="E34" s="2">
        <v>0.6484</v>
      </c>
      <c r="F34" s="2">
        <v>0.6484</v>
      </c>
      <c r="G34" s="2">
        <v>0.6194</v>
      </c>
      <c r="H34" s="2">
        <v>0.28414</v>
      </c>
      <c r="I34" s="2">
        <v>0.55662</v>
      </c>
      <c r="J34" s="2">
        <v>0.55662</v>
      </c>
      <c r="K34" s="3">
        <v>0.692</v>
      </c>
      <c r="L34" s="3">
        <v>0.304</v>
      </c>
      <c r="M34" s="3">
        <v>0.273</v>
      </c>
      <c r="N34" s="4">
        <v>0.0</v>
      </c>
      <c r="O34" s="4">
        <v>0.017</v>
      </c>
      <c r="P34" s="4">
        <v>0.04</v>
      </c>
      <c r="Q34" s="2">
        <v>0.0027300716865055197</v>
      </c>
      <c r="R34" s="2">
        <v>0.007902015021355124</v>
      </c>
      <c r="S34" s="2">
        <v>0.006450429092023757</v>
      </c>
      <c r="T34" s="2">
        <v>0.0</v>
      </c>
      <c r="U34" s="2">
        <v>0.0</v>
      </c>
      <c r="V34" s="2">
        <v>0.0</v>
      </c>
    </row>
    <row r="35" ht="14.25" customHeight="1">
      <c r="B35" s="3"/>
      <c r="C35" s="3"/>
      <c r="D35" s="3"/>
      <c r="K35" s="3"/>
      <c r="L35" s="3"/>
      <c r="M35" s="3"/>
      <c r="N35" s="4"/>
      <c r="O35" s="4"/>
      <c r="P35" s="4"/>
    </row>
    <row r="36" ht="14.25" customHeight="1">
      <c r="A36" s="2" t="s">
        <v>55</v>
      </c>
      <c r="B36" s="3">
        <v>36016.0297</v>
      </c>
      <c r="C36" s="3">
        <v>44472.8325</v>
      </c>
      <c r="D36" s="3">
        <v>52187.0632</v>
      </c>
      <c r="E36" s="2">
        <v>0.3829</v>
      </c>
      <c r="F36" s="2">
        <v>0.3892</v>
      </c>
      <c r="G36" s="2">
        <v>0.471</v>
      </c>
      <c r="H36" s="2">
        <v>0.72844</v>
      </c>
      <c r="I36" s="2">
        <v>0.7696599999999999</v>
      </c>
      <c r="J36" s="2">
        <v>0.7696599999999999</v>
      </c>
      <c r="K36" s="3">
        <v>0.993</v>
      </c>
      <c r="L36" s="3">
        <v>0.994</v>
      </c>
      <c r="M36" s="3">
        <v>0.994</v>
      </c>
      <c r="N36" s="4">
        <v>0.262</v>
      </c>
      <c r="O36" s="4">
        <v>0.444</v>
      </c>
      <c r="P36" s="4">
        <v>0.57</v>
      </c>
      <c r="Q36" s="2">
        <v>0.014267108394728556</v>
      </c>
      <c r="R36" s="2">
        <v>0.0086426720571946</v>
      </c>
      <c r="S36" s="2">
        <v>0.005187117112545492</v>
      </c>
      <c r="T36" s="2">
        <v>1.0</v>
      </c>
      <c r="U36" s="2">
        <v>1.0</v>
      </c>
      <c r="V36" s="2">
        <v>0.0</v>
      </c>
    </row>
    <row r="37" ht="14.25" customHeight="1">
      <c r="A37" s="2" t="s">
        <v>56</v>
      </c>
      <c r="B37" s="3">
        <v>5306.8811</v>
      </c>
      <c r="C37" s="3">
        <v>5243.5306</v>
      </c>
      <c r="D37" s="3">
        <v>6846.7812</v>
      </c>
      <c r="E37" s="2">
        <v>0.5293</v>
      </c>
      <c r="F37" s="2">
        <v>0.5641</v>
      </c>
      <c r="G37" s="2">
        <v>0.5917</v>
      </c>
      <c r="H37" s="2">
        <v>0.31163</v>
      </c>
      <c r="I37" s="2">
        <v>0.50713</v>
      </c>
      <c r="J37" s="2">
        <v>0.50713</v>
      </c>
      <c r="K37" s="3">
        <v>0.507</v>
      </c>
      <c r="L37" s="3">
        <v>0.504</v>
      </c>
      <c r="M37" s="3">
        <v>0.609</v>
      </c>
      <c r="N37" s="4">
        <v>0.013000000000000001</v>
      </c>
      <c r="O37" s="4">
        <v>0.015</v>
      </c>
      <c r="P37" s="4">
        <v>0.09</v>
      </c>
      <c r="Q37" s="2">
        <v>-0.0016273223493058486</v>
      </c>
      <c r="R37" s="2">
        <v>0.015928597216484652</v>
      </c>
      <c r="S37" s="2">
        <v>0.022001982384992402</v>
      </c>
      <c r="T37" s="2">
        <v>0.0</v>
      </c>
      <c r="U37" s="2">
        <v>0.0</v>
      </c>
      <c r="V37" s="2">
        <v>0.0</v>
      </c>
    </row>
    <row r="38" ht="14.25" customHeight="1">
      <c r="A38" s="2" t="s">
        <v>57</v>
      </c>
      <c r="B38" s="3">
        <v>29723.7342</v>
      </c>
      <c r="C38" s="3">
        <v>28581.4013</v>
      </c>
      <c r="D38" s="3">
        <v>36220.7127</v>
      </c>
      <c r="E38" s="2">
        <v>0.4882</v>
      </c>
      <c r="F38" s="2">
        <v>0.4991</v>
      </c>
      <c r="G38" s="2">
        <v>0.4669</v>
      </c>
      <c r="H38" s="2">
        <v>0.69343</v>
      </c>
      <c r="I38" s="2">
        <v>0.76292</v>
      </c>
      <c r="J38" s="2">
        <v>0.76292</v>
      </c>
      <c r="K38" s="3">
        <v>0.839</v>
      </c>
      <c r="L38" s="3">
        <v>0.863</v>
      </c>
      <c r="M38" s="3">
        <v>0.888</v>
      </c>
      <c r="N38" s="4">
        <v>0.174</v>
      </c>
      <c r="O38" s="4">
        <v>0.425</v>
      </c>
      <c r="P38" s="4">
        <v>0.9225</v>
      </c>
      <c r="Q38" s="2">
        <v>-0.003504049514454155</v>
      </c>
      <c r="R38" s="2">
        <v>0.021641974524573948</v>
      </c>
      <c r="S38" s="2">
        <v>0.00910714179861416</v>
      </c>
      <c r="T38" s="2">
        <v>1.0</v>
      </c>
      <c r="U38" s="2">
        <v>1.0</v>
      </c>
      <c r="V38" s="2">
        <v>1.0</v>
      </c>
    </row>
    <row r="39" ht="14.25" customHeight="1">
      <c r="A39" s="2" t="s">
        <v>58</v>
      </c>
      <c r="B39" s="3">
        <v>16061.3165</v>
      </c>
      <c r="C39" s="3">
        <v>14327.9687</v>
      </c>
      <c r="D39" s="3">
        <v>15487.4979</v>
      </c>
      <c r="E39" s="2">
        <v>0.682</v>
      </c>
      <c r="F39" s="2">
        <v>0.682</v>
      </c>
      <c r="G39" s="2">
        <v>0.6678</v>
      </c>
      <c r="H39" s="2">
        <v>0.38724</v>
      </c>
      <c r="I39" s="2">
        <v>0.48402999999999996</v>
      </c>
      <c r="J39" s="2">
        <v>0.48402999999999996</v>
      </c>
      <c r="K39" s="3">
        <v>0.085</v>
      </c>
      <c r="L39" s="3">
        <v>0.294</v>
      </c>
      <c r="M39" s="3">
        <v>0.363</v>
      </c>
      <c r="N39" s="4">
        <v>0.084</v>
      </c>
      <c r="O39" s="4">
        <v>0.081</v>
      </c>
      <c r="P39" s="4">
        <v>0.2336</v>
      </c>
      <c r="Q39" s="2">
        <v>-0.009644457475548762</v>
      </c>
      <c r="R39" s="2">
        <v>0.005933437109116646</v>
      </c>
      <c r="S39" s="2">
        <v>0.005366760808639404</v>
      </c>
      <c r="T39" s="2">
        <v>0.0</v>
      </c>
      <c r="U39" s="2">
        <v>0.0</v>
      </c>
      <c r="V39" s="2">
        <v>0.0</v>
      </c>
    </row>
    <row r="40" ht="14.25" customHeight="1">
      <c r="A40" s="2" t="s">
        <v>59</v>
      </c>
      <c r="B40" s="3">
        <v>7105.3985</v>
      </c>
      <c r="C40" s="3">
        <v>6231.0355</v>
      </c>
      <c r="D40" s="3">
        <v>14060.7359</v>
      </c>
      <c r="E40" s="2">
        <v>0.682</v>
      </c>
      <c r="F40" s="2">
        <v>0.682</v>
      </c>
      <c r="G40" s="2">
        <v>0.6678</v>
      </c>
      <c r="H40" s="2">
        <v>0.30488</v>
      </c>
      <c r="I40" s="2">
        <v>0.26634</v>
      </c>
      <c r="J40" s="2">
        <v>0.26634</v>
      </c>
      <c r="K40" s="3">
        <v>0.455</v>
      </c>
      <c r="L40" s="3">
        <v>0.618</v>
      </c>
      <c r="M40" s="3">
        <v>0.474</v>
      </c>
      <c r="N40" s="4">
        <v>0.026000000000000002</v>
      </c>
      <c r="O40" s="4">
        <v>0.09699999999999999</v>
      </c>
      <c r="P40" s="4">
        <v>0.11</v>
      </c>
      <c r="Q40" s="2">
        <v>-0.012237510359353054</v>
      </c>
      <c r="R40" s="2">
        <v>0.05720154885598516</v>
      </c>
      <c r="S40" s="2">
        <v>0.13539417472900284</v>
      </c>
      <c r="T40" s="2">
        <v>0.0</v>
      </c>
      <c r="U40" s="2">
        <v>0.0</v>
      </c>
      <c r="V40" s="2">
        <v>0.0</v>
      </c>
    </row>
    <row r="41" ht="14.25" customHeight="1">
      <c r="A41" s="2" t="s">
        <v>60</v>
      </c>
      <c r="B41" s="3">
        <v>4440.1947</v>
      </c>
      <c r="C41" s="3">
        <v>4073.3792</v>
      </c>
      <c r="D41" s="3">
        <v>4778.9352</v>
      </c>
      <c r="E41" s="2">
        <v>0.682</v>
      </c>
      <c r="F41" s="2">
        <v>0.682</v>
      </c>
      <c r="G41" s="2">
        <v>0.6678</v>
      </c>
      <c r="H41" s="2">
        <v>0.20541</v>
      </c>
      <c r="I41" s="2">
        <v>0.47509</v>
      </c>
      <c r="J41" s="2">
        <v>0.47509</v>
      </c>
      <c r="K41" s="3">
        <v>0.045</v>
      </c>
      <c r="L41" s="3">
        <v>0.291</v>
      </c>
      <c r="M41" s="3">
        <v>0.175</v>
      </c>
      <c r="N41" s="4">
        <v>0.01</v>
      </c>
      <c r="O41" s="4">
        <v>0.015</v>
      </c>
      <c r="P41" s="4">
        <v>0.029300000000000003</v>
      </c>
      <c r="Q41" s="2">
        <v>-0.01309278309876516</v>
      </c>
      <c r="R41" s="2">
        <v>0.013660231799543121</v>
      </c>
      <c r="S41" s="2">
        <v>-0.019904655025929086</v>
      </c>
      <c r="T41" s="2">
        <v>0.0</v>
      </c>
      <c r="U41" s="2">
        <v>0.0</v>
      </c>
      <c r="V41" s="2">
        <v>0.0</v>
      </c>
    </row>
    <row r="42" ht="14.25" customHeight="1">
      <c r="A42" s="2" t="s">
        <v>61</v>
      </c>
      <c r="B42" s="3">
        <v>8470.4211</v>
      </c>
      <c r="C42" s="3">
        <v>8009.0977</v>
      </c>
      <c r="D42" s="3">
        <v>8228.8656</v>
      </c>
      <c r="E42" s="2">
        <v>0.682</v>
      </c>
      <c r="F42" s="2">
        <v>0.682</v>
      </c>
      <c r="G42" s="2">
        <v>0.6678</v>
      </c>
      <c r="H42" s="2">
        <v>0.34869999999999995</v>
      </c>
      <c r="I42" s="2">
        <v>0.51885</v>
      </c>
      <c r="J42" s="2">
        <v>0.51885</v>
      </c>
      <c r="K42" s="3">
        <v>0.161</v>
      </c>
      <c r="L42" s="3">
        <v>0.286</v>
      </c>
      <c r="M42" s="3">
        <v>0.278</v>
      </c>
      <c r="N42" s="4">
        <v>0.083</v>
      </c>
      <c r="O42" s="4">
        <v>0.1</v>
      </c>
      <c r="P42" s="4">
        <v>0.21</v>
      </c>
      <c r="Q42" s="2">
        <v>-0.004440946453752592</v>
      </c>
      <c r="R42" s="2">
        <v>0.0017800221753894174</v>
      </c>
      <c r="S42" s="2">
        <v>0.0027156063643425377</v>
      </c>
      <c r="T42" s="2">
        <v>0.0</v>
      </c>
      <c r="U42" s="2">
        <v>0.0</v>
      </c>
      <c r="V42" s="2">
        <v>0.0</v>
      </c>
    </row>
    <row r="43" ht="14.25" customHeight="1">
      <c r="A43" s="2" t="s">
        <v>62</v>
      </c>
      <c r="B43" s="3">
        <v>23272.9015</v>
      </c>
      <c r="C43" s="3">
        <v>39318.3975</v>
      </c>
      <c r="D43" s="3">
        <v>52729.5167</v>
      </c>
      <c r="E43" s="2">
        <v>0.4796</v>
      </c>
      <c r="F43" s="2">
        <v>0.5312</v>
      </c>
      <c r="G43" s="2">
        <v>0.6076</v>
      </c>
      <c r="H43" s="2">
        <v>0.9147799999999999</v>
      </c>
      <c r="I43" s="2">
        <v>1.0</v>
      </c>
      <c r="J43" s="2">
        <v>1.0</v>
      </c>
      <c r="K43" s="3">
        <v>0.953</v>
      </c>
      <c r="L43" s="3">
        <v>0.959</v>
      </c>
      <c r="M43" s="3">
        <v>0.948</v>
      </c>
      <c r="N43" s="4">
        <v>0.105</v>
      </c>
      <c r="O43" s="4">
        <v>0.21899999999999997</v>
      </c>
      <c r="P43" s="4">
        <v>0.58</v>
      </c>
      <c r="Q43" s="2">
        <v>0.03874621109560317</v>
      </c>
      <c r="R43" s="2">
        <v>0.017315203142250102</v>
      </c>
      <c r="S43" s="2">
        <v>0.00739358624338271</v>
      </c>
      <c r="T43" s="2">
        <v>0.0</v>
      </c>
      <c r="U43" s="2">
        <v>0.0</v>
      </c>
      <c r="V43" s="2">
        <v>0.0</v>
      </c>
    </row>
    <row r="44" ht="14.25" customHeight="1">
      <c r="A44" s="2" t="s">
        <v>63</v>
      </c>
      <c r="B44" s="3">
        <v>19610.8167</v>
      </c>
      <c r="C44" s="3">
        <v>19842.8988</v>
      </c>
      <c r="D44" s="3">
        <v>27011.2506</v>
      </c>
      <c r="E44" s="2">
        <v>0.1811</v>
      </c>
      <c r="F44" s="2">
        <v>0.32</v>
      </c>
      <c r="G44" s="2">
        <v>0.4105</v>
      </c>
      <c r="H44" s="2">
        <v>0.64191</v>
      </c>
      <c r="I44" s="2">
        <v>0.68911</v>
      </c>
      <c r="J44" s="2">
        <v>0.68911</v>
      </c>
      <c r="K44" s="3">
        <v>0.554</v>
      </c>
      <c r="L44" s="3">
        <v>0.898</v>
      </c>
      <c r="M44" s="3">
        <v>0.789</v>
      </c>
      <c r="N44" s="4">
        <v>0.129</v>
      </c>
      <c r="O44" s="4">
        <v>0.23800000000000002</v>
      </c>
      <c r="P44" s="4">
        <v>0.6</v>
      </c>
      <c r="Q44" s="2">
        <v>2.48785568286225E-4</v>
      </c>
      <c r="R44" s="2">
        <v>0.02199037514378177</v>
      </c>
      <c r="S44" s="2">
        <v>0.02403977959134096</v>
      </c>
      <c r="T44" s="2">
        <v>0.0</v>
      </c>
      <c r="U44" s="2">
        <v>1.0</v>
      </c>
      <c r="V44" s="2">
        <v>1.0</v>
      </c>
    </row>
    <row r="45" ht="14.25" customHeight="1">
      <c r="A45" s="2" t="s">
        <v>64</v>
      </c>
      <c r="B45" s="3">
        <v>42281.3795</v>
      </c>
      <c r="C45" s="3">
        <v>44258.7899</v>
      </c>
      <c r="D45" s="3">
        <v>58865.1693</v>
      </c>
      <c r="E45" s="2">
        <v>0.3919</v>
      </c>
      <c r="F45" s="2">
        <v>0.3902</v>
      </c>
      <c r="G45" s="2">
        <v>0.3505</v>
      </c>
      <c r="H45" s="2">
        <v>0.8826</v>
      </c>
      <c r="I45" s="2">
        <v>0.93574</v>
      </c>
      <c r="J45" s="2">
        <v>0.93574</v>
      </c>
      <c r="K45" s="3">
        <v>0.965</v>
      </c>
      <c r="L45" s="3">
        <v>0.98</v>
      </c>
      <c r="M45" s="3">
        <v>0.981</v>
      </c>
      <c r="N45" s="4">
        <v>0.209</v>
      </c>
      <c r="O45" s="4">
        <v>0.35600000000000004</v>
      </c>
      <c r="P45" s="4">
        <v>0.78</v>
      </c>
      <c r="Q45" s="2">
        <v>0.0038011938193818207</v>
      </c>
      <c r="R45" s="2">
        <v>0.0227037165300894</v>
      </c>
      <c r="S45" s="2">
        <v>0.01013972326997159</v>
      </c>
      <c r="T45" s="2">
        <v>1.0</v>
      </c>
      <c r="U45" s="2">
        <v>1.0</v>
      </c>
      <c r="V45" s="2">
        <v>1.0</v>
      </c>
    </row>
    <row r="46" ht="14.25" customHeight="1">
      <c r="A46" s="2" t="s">
        <v>65</v>
      </c>
      <c r="B46" s="3">
        <v>2424.3092</v>
      </c>
      <c r="C46" s="3">
        <v>3608.6943</v>
      </c>
      <c r="D46" s="3">
        <v>6408.8357</v>
      </c>
      <c r="E46" s="2">
        <v>0.4064</v>
      </c>
      <c r="F46" s="2">
        <v>0.463</v>
      </c>
      <c r="G46" s="2">
        <v>0.5786</v>
      </c>
      <c r="H46" s="2">
        <v>0.23098</v>
      </c>
      <c r="I46" s="2">
        <v>0.3093</v>
      </c>
      <c r="J46" s="2">
        <v>0.3093</v>
      </c>
      <c r="K46" s="3">
        <v>0.642</v>
      </c>
      <c r="L46" s="3">
        <v>0.578</v>
      </c>
      <c r="M46" s="3">
        <v>0.598</v>
      </c>
      <c r="N46" s="4">
        <v>0.08800000000000001</v>
      </c>
      <c r="O46" s="4">
        <v>0.064</v>
      </c>
      <c r="P46" s="4">
        <v>0.18</v>
      </c>
      <c r="Q46" s="2">
        <v>0.02547208339107465</v>
      </c>
      <c r="R46" s="2">
        <v>0.037625164093471275</v>
      </c>
      <c r="S46" s="2">
        <v>0.03506054237826861</v>
      </c>
      <c r="T46" s="2">
        <v>0.0</v>
      </c>
      <c r="U46" s="2">
        <v>0.0</v>
      </c>
      <c r="V46" s="2">
        <v>0.0</v>
      </c>
    </row>
    <row r="47" ht="14.25" customHeight="1">
      <c r="A47" s="2" t="s">
        <v>66</v>
      </c>
      <c r="B47" s="3">
        <v>4991.9683</v>
      </c>
      <c r="C47" s="3">
        <v>8673.2109</v>
      </c>
      <c r="D47" s="3">
        <v>10807.0278</v>
      </c>
      <c r="E47" s="2">
        <v>0.5041</v>
      </c>
      <c r="F47" s="2">
        <v>0.5735</v>
      </c>
      <c r="G47" s="2">
        <v>0.5277</v>
      </c>
      <c r="H47" s="2">
        <v>0.22104</v>
      </c>
      <c r="I47" s="2">
        <v>0.49914000000000003</v>
      </c>
      <c r="J47" s="2">
        <v>0.49914000000000003</v>
      </c>
      <c r="K47" s="3">
        <v>0.06</v>
      </c>
      <c r="L47" s="3">
        <v>0.051</v>
      </c>
      <c r="M47" s="3">
        <v>0.586</v>
      </c>
      <c r="N47" s="4">
        <v>0.039</v>
      </c>
      <c r="O47" s="4">
        <v>0.111</v>
      </c>
      <c r="P47" s="4">
        <v>0.25</v>
      </c>
      <c r="Q47" s="2">
        <v>0.0363517616531186</v>
      </c>
      <c r="R47" s="2">
        <v>0.012701207455030117</v>
      </c>
      <c r="S47" s="2">
        <v>0.02813022110058183</v>
      </c>
      <c r="T47" s="2">
        <v>0.0</v>
      </c>
      <c r="U47" s="2">
        <v>0.0</v>
      </c>
      <c r="V47" s="2">
        <v>0.0</v>
      </c>
    </row>
    <row r="48" ht="14.25" customHeight="1">
      <c r="A48" s="2" t="s">
        <v>67</v>
      </c>
      <c r="B48" s="3">
        <v>15891.208</v>
      </c>
      <c r="C48" s="3">
        <v>13653.3994</v>
      </c>
      <c r="D48" s="3">
        <v>15332.8199</v>
      </c>
      <c r="E48" s="2">
        <v>0.6402</v>
      </c>
      <c r="F48" s="2">
        <v>0.6023</v>
      </c>
      <c r="G48" s="2">
        <v>0.5912</v>
      </c>
      <c r="H48" s="2">
        <v>0.49693</v>
      </c>
      <c r="I48" s="2">
        <v>0.70626</v>
      </c>
      <c r="J48" s="2">
        <v>0.70626</v>
      </c>
      <c r="K48" s="3">
        <v>0.247</v>
      </c>
      <c r="L48" s="3">
        <v>0.288</v>
      </c>
      <c r="M48" s="3">
        <v>0.231</v>
      </c>
      <c r="N48" s="4">
        <v>0.04</v>
      </c>
      <c r="O48" s="4">
        <v>0.171</v>
      </c>
      <c r="P48" s="4">
        <v>0.43</v>
      </c>
      <c r="Q48" s="2">
        <v>-0.010466983382300121</v>
      </c>
      <c r="R48" s="2">
        <v>0.0060205020394652475</v>
      </c>
      <c r="S48" s="2">
        <v>0.0029086602584711407</v>
      </c>
      <c r="T48" s="2">
        <v>0.0</v>
      </c>
      <c r="U48" s="2">
        <v>0.0</v>
      </c>
      <c r="V48" s="2">
        <v>0.0</v>
      </c>
    </row>
    <row r="49" ht="14.25" customHeight="1">
      <c r="A49" s="2" t="s">
        <v>68</v>
      </c>
      <c r="B49" s="3">
        <v>28909.1346</v>
      </c>
      <c r="C49" s="3">
        <v>8069.3301</v>
      </c>
      <c r="D49" s="3">
        <v>18911.0702</v>
      </c>
      <c r="E49" s="2">
        <v>0.6241</v>
      </c>
      <c r="F49" s="2">
        <v>0.6241</v>
      </c>
      <c r="G49" s="2">
        <v>0.6116</v>
      </c>
      <c r="H49" s="2">
        <v>0.65521</v>
      </c>
      <c r="I49" s="2">
        <v>0.6910299999999999</v>
      </c>
      <c r="J49" s="2">
        <v>0.6910299999999999</v>
      </c>
      <c r="K49" s="3">
        <v>0.197</v>
      </c>
      <c r="L49" s="3">
        <v>0.142</v>
      </c>
      <c r="M49" s="3">
        <v>0.26</v>
      </c>
      <c r="N49" s="4">
        <v>0.09300000000000001</v>
      </c>
      <c r="O49" s="4">
        <v>0.11199999999999999</v>
      </c>
      <c r="P49" s="4">
        <v>0.2091</v>
      </c>
      <c r="Q49" s="2">
        <v>-0.07118416219063617</v>
      </c>
      <c r="R49" s="2">
        <v>0.060846232826134994</v>
      </c>
      <c r="S49" s="2">
        <v>-0.005792515836651524</v>
      </c>
      <c r="T49" s="2">
        <v>0.0</v>
      </c>
      <c r="U49" s="2">
        <v>0.0</v>
      </c>
      <c r="V49" s="2">
        <v>0.0</v>
      </c>
    </row>
    <row r="50" ht="14.25" customHeight="1">
      <c r="A50" s="2" t="s">
        <v>69</v>
      </c>
      <c r="B50" s="3">
        <v>27456.7522</v>
      </c>
      <c r="C50" s="3">
        <v>42061.6236</v>
      </c>
      <c r="D50" s="3">
        <v>63136.6847</v>
      </c>
      <c r="E50" s="2">
        <v>0.3902</v>
      </c>
      <c r="F50" s="2">
        <v>0.4159</v>
      </c>
      <c r="G50" s="2">
        <v>0.4208</v>
      </c>
      <c r="H50" s="2">
        <v>0.55333</v>
      </c>
      <c r="I50" s="2">
        <v>0.61542</v>
      </c>
      <c r="J50" s="2">
        <v>0.61542</v>
      </c>
      <c r="K50" s="3">
        <v>0.952</v>
      </c>
      <c r="L50" s="3">
        <v>0.956</v>
      </c>
      <c r="M50" s="3">
        <v>0.973</v>
      </c>
      <c r="N50" s="4">
        <v>0.203</v>
      </c>
      <c r="O50" s="4">
        <v>0.385</v>
      </c>
      <c r="P50" s="4">
        <v>0.71</v>
      </c>
      <c r="Q50" s="2">
        <v>0.025282894031966707</v>
      </c>
      <c r="R50" s="2">
        <v>0.02850975575328274</v>
      </c>
      <c r="S50" s="2">
        <v>0.04742172918499343</v>
      </c>
      <c r="T50" s="2">
        <v>1.0</v>
      </c>
      <c r="U50" s="2">
        <v>1.0</v>
      </c>
      <c r="V50" s="2">
        <v>1.0</v>
      </c>
    </row>
    <row r="51" ht="14.25" customHeight="1">
      <c r="A51" s="2" t="s">
        <v>70</v>
      </c>
      <c r="B51" s="3">
        <v>37251.8469</v>
      </c>
      <c r="C51" s="3">
        <v>43581.8104</v>
      </c>
      <c r="D51" s="3">
        <v>46386.2105</v>
      </c>
      <c r="E51" s="2">
        <v>0.3128</v>
      </c>
      <c r="F51" s="2">
        <v>0.3548</v>
      </c>
      <c r="G51" s="2">
        <v>0.4118</v>
      </c>
      <c r="H51" s="2">
        <v>0.6664</v>
      </c>
      <c r="I51" s="2">
        <v>0.6832699999999999</v>
      </c>
      <c r="J51" s="2">
        <v>0.6832699999999999</v>
      </c>
      <c r="K51" s="3">
        <v>0.849</v>
      </c>
      <c r="L51" s="3">
        <v>0.867</v>
      </c>
      <c r="M51" s="3">
        <v>0.884</v>
      </c>
      <c r="N51" s="4">
        <v>0.27699999999999997</v>
      </c>
      <c r="O51" s="4">
        <v>0.414</v>
      </c>
      <c r="P51" s="4">
        <v>0.64</v>
      </c>
      <c r="Q51" s="2">
        <v>0.009642521913784785</v>
      </c>
      <c r="R51" s="2">
        <v>0.003618854442047681</v>
      </c>
      <c r="S51" s="2">
        <v>0.00220620329478205</v>
      </c>
      <c r="T51" s="2">
        <v>1.0</v>
      </c>
      <c r="U51" s="2">
        <v>1.0</v>
      </c>
      <c r="V51" s="2">
        <v>1.0</v>
      </c>
    </row>
    <row r="52" ht="14.25" customHeight="1">
      <c r="A52" s="2" t="s">
        <v>71</v>
      </c>
      <c r="B52" s="3">
        <v>12670.0429</v>
      </c>
      <c r="C52" s="3">
        <v>14292.1414</v>
      </c>
      <c r="D52" s="3">
        <v>11971.2894</v>
      </c>
      <c r="E52" s="2">
        <v>0.682</v>
      </c>
      <c r="F52" s="2">
        <v>0.682</v>
      </c>
      <c r="G52" s="2">
        <v>0.6678</v>
      </c>
      <c r="H52" s="2">
        <v>0.46738999999999997</v>
      </c>
      <c r="I52" s="2">
        <v>0.5374300000000001</v>
      </c>
      <c r="J52" s="2">
        <v>0.5374300000000001</v>
      </c>
      <c r="K52" s="3">
        <v>0.812</v>
      </c>
      <c r="L52" s="3">
        <v>0.848</v>
      </c>
      <c r="M52" s="3">
        <v>0.862</v>
      </c>
      <c r="N52" s="4">
        <v>0.062</v>
      </c>
      <c r="O52" s="4">
        <v>0.075</v>
      </c>
      <c r="P52" s="4">
        <v>0.29</v>
      </c>
      <c r="Q52" s="2">
        <v>0.008883914002125737</v>
      </c>
      <c r="R52" s="2">
        <v>-0.010300904992719517</v>
      </c>
      <c r="S52" s="2">
        <v>-0.007081599423830465</v>
      </c>
      <c r="T52" s="2">
        <v>0.0</v>
      </c>
      <c r="U52" s="2">
        <v>0.0</v>
      </c>
      <c r="V52" s="2">
        <v>0.0</v>
      </c>
    </row>
    <row r="53" ht="14.25" customHeight="1">
      <c r="A53" s="2" t="s">
        <v>72</v>
      </c>
      <c r="B53" s="3">
        <v>26218.9811</v>
      </c>
      <c r="C53" s="3">
        <v>37238.8995</v>
      </c>
      <c r="D53" s="3">
        <v>38479.2481</v>
      </c>
      <c r="E53" s="2">
        <v>0.4478</v>
      </c>
      <c r="F53" s="2">
        <v>0.467</v>
      </c>
      <c r="G53" s="2">
        <v>0.5078</v>
      </c>
      <c r="H53" s="2">
        <v>0.7617499999999999</v>
      </c>
      <c r="I53" s="2">
        <v>0.9081199999999999</v>
      </c>
      <c r="J53" s="2">
        <v>0.9081199999999999</v>
      </c>
      <c r="K53" s="3">
        <v>0.95</v>
      </c>
      <c r="L53" s="3">
        <v>0.954</v>
      </c>
      <c r="M53" s="3">
        <v>0.957</v>
      </c>
      <c r="N53" s="4">
        <v>0.305</v>
      </c>
      <c r="O53" s="4">
        <v>0.40299999999999997</v>
      </c>
      <c r="P53" s="4">
        <v>0.58</v>
      </c>
      <c r="Q53" s="2">
        <v>0.024359424821334574</v>
      </c>
      <c r="R53" s="2">
        <v>-4.497305042279187E-4</v>
      </c>
      <c r="S53" s="2">
        <v>0.0068023102922372125</v>
      </c>
      <c r="T53" s="2">
        <v>1.0</v>
      </c>
      <c r="U53" s="2">
        <v>1.0</v>
      </c>
      <c r="V53" s="2">
        <v>0.0</v>
      </c>
    </row>
    <row r="54" ht="14.25" customHeight="1">
      <c r="A54" s="2" t="s">
        <v>73</v>
      </c>
      <c r="B54" s="3">
        <v>20039.7498</v>
      </c>
      <c r="C54" s="3">
        <v>12316.8256</v>
      </c>
      <c r="D54" s="3">
        <v>15926.5117</v>
      </c>
      <c r="E54" s="2">
        <v>0.5587</v>
      </c>
      <c r="F54" s="2">
        <v>0.5714</v>
      </c>
      <c r="G54" s="2">
        <v>0.5919</v>
      </c>
      <c r="H54" s="2">
        <v>0.60029</v>
      </c>
      <c r="I54" s="2">
        <v>0.86088</v>
      </c>
      <c r="J54" s="2">
        <v>0.86088</v>
      </c>
      <c r="K54" s="3">
        <v>0.606</v>
      </c>
      <c r="L54" s="3">
        <v>0.614</v>
      </c>
      <c r="M54" s="3">
        <v>0.593</v>
      </c>
      <c r="N54" s="4">
        <v>0.266</v>
      </c>
      <c r="O54" s="4">
        <v>0.27</v>
      </c>
      <c r="P54" s="4">
        <v>0.4</v>
      </c>
      <c r="Q54" s="2">
        <v>-0.03461551533509544</v>
      </c>
      <c r="R54" s="2">
        <v>0.018838019902389647</v>
      </c>
      <c r="S54" s="2">
        <v>-0.01794740876560552</v>
      </c>
      <c r="T54" s="2">
        <v>0.0</v>
      </c>
      <c r="U54" s="2">
        <v>0.0</v>
      </c>
      <c r="V54" s="2">
        <v>0.0</v>
      </c>
    </row>
    <row r="55" ht="14.25" customHeight="1">
      <c r="A55" s="2" t="s">
        <v>74</v>
      </c>
      <c r="B55" s="3">
        <v>7846.9147</v>
      </c>
      <c r="C55" s="3">
        <v>7059.2224</v>
      </c>
      <c r="D55" s="3">
        <v>7144.8873</v>
      </c>
      <c r="E55" s="2">
        <v>0.7364</v>
      </c>
      <c r="F55" s="2">
        <v>0.614</v>
      </c>
      <c r="G55" s="2">
        <v>0.6112</v>
      </c>
      <c r="H55" s="2">
        <v>0.15583</v>
      </c>
      <c r="I55" s="2">
        <v>0.23571</v>
      </c>
      <c r="J55" s="2">
        <v>0.23571</v>
      </c>
      <c r="K55" s="3">
        <v>0.142</v>
      </c>
      <c r="L55" s="3">
        <v>0.229</v>
      </c>
      <c r="M55" s="3">
        <v>0.589</v>
      </c>
      <c r="N55" s="4">
        <v>0.009000000000000001</v>
      </c>
      <c r="O55" s="4">
        <v>0.02</v>
      </c>
      <c r="P55" s="4">
        <v>0.04</v>
      </c>
      <c r="Q55" s="2">
        <v>-0.008076752442123025</v>
      </c>
      <c r="R55" s="2">
        <v>-0.002123151647591137</v>
      </c>
      <c r="S55" s="2">
        <v>0.012860770294635948</v>
      </c>
      <c r="T55" s="2">
        <v>0.0</v>
      </c>
      <c r="U55" s="2">
        <v>0.0</v>
      </c>
      <c r="V55" s="2">
        <v>0.0</v>
      </c>
    </row>
    <row r="56" ht="14.25" customHeight="1">
      <c r="A56" s="2" t="s">
        <v>75</v>
      </c>
      <c r="B56" s="3">
        <v>87040.4075</v>
      </c>
      <c r="C56" s="3">
        <v>80903.6484</v>
      </c>
      <c r="D56" s="3">
        <v>68281.1216</v>
      </c>
      <c r="E56" s="2">
        <v>0.6283</v>
      </c>
      <c r="F56" s="2">
        <v>0.6283</v>
      </c>
      <c r="G56" s="2">
        <v>0.625</v>
      </c>
      <c r="H56" s="2">
        <v>0.94781</v>
      </c>
      <c r="I56" s="2">
        <v>1.0</v>
      </c>
      <c r="J56" s="2">
        <v>1.0</v>
      </c>
      <c r="K56" s="3">
        <v>0.637</v>
      </c>
      <c r="L56" s="3">
        <v>0.636</v>
      </c>
      <c r="M56" s="3">
        <v>0.615</v>
      </c>
      <c r="N56" s="4">
        <v>0.109</v>
      </c>
      <c r="O56" s="4">
        <v>0.254</v>
      </c>
      <c r="P56" s="4">
        <v>0.2664</v>
      </c>
      <c r="Q56" s="2">
        <v>-0.00447568929421438</v>
      </c>
      <c r="R56" s="2">
        <v>-0.006054131978287414</v>
      </c>
      <c r="S56" s="2">
        <v>-0.032845068334655725</v>
      </c>
      <c r="T56" s="2">
        <v>0.0</v>
      </c>
      <c r="U56" s="2">
        <v>0.0</v>
      </c>
      <c r="V56" s="2">
        <v>0.0</v>
      </c>
    </row>
    <row r="57" ht="14.25" customHeight="1">
      <c r="A57" s="2" t="s">
        <v>76</v>
      </c>
      <c r="B57" s="3">
        <v>1873.6207</v>
      </c>
      <c r="C57" s="3">
        <v>2437.8015</v>
      </c>
      <c r="D57" s="3">
        <v>3959.2131</v>
      </c>
      <c r="E57" s="2">
        <v>0.7089</v>
      </c>
      <c r="F57" s="2">
        <v>0.7403</v>
      </c>
      <c r="G57" s="2">
        <v>0.6336</v>
      </c>
      <c r="H57" s="2">
        <v>0.11449999999999999</v>
      </c>
      <c r="I57" s="2">
        <v>0.24797999999999998</v>
      </c>
      <c r="J57" s="2">
        <v>0.24797999999999998</v>
      </c>
      <c r="K57" s="3">
        <v>0.418</v>
      </c>
      <c r="L57" s="3">
        <v>0.677</v>
      </c>
      <c r="M57" s="3">
        <v>0.603</v>
      </c>
      <c r="N57" s="4">
        <v>0.017</v>
      </c>
      <c r="O57" s="4">
        <v>0.023</v>
      </c>
      <c r="P57" s="4">
        <v>0.11</v>
      </c>
      <c r="Q57" s="2">
        <v>0.016754822292546878</v>
      </c>
      <c r="R57" s="2">
        <v>0.03255885505865863</v>
      </c>
      <c r="S57" s="2">
        <v>-0.008347613630529271</v>
      </c>
      <c r="T57" s="2">
        <v>0.0</v>
      </c>
      <c r="U57" s="2">
        <v>0.0</v>
      </c>
      <c r="V57" s="2">
        <v>0.0</v>
      </c>
    </row>
    <row r="58" ht="14.25" customHeight="1">
      <c r="A58" s="2" t="s">
        <v>77</v>
      </c>
      <c r="B58" s="3">
        <v>4658.1208</v>
      </c>
      <c r="C58" s="3">
        <v>556.9843</v>
      </c>
      <c r="D58" s="3">
        <v>2303.2292</v>
      </c>
      <c r="E58" s="2">
        <v>0.5396</v>
      </c>
      <c r="F58" s="2">
        <v>0.5396</v>
      </c>
      <c r="G58" s="2">
        <v>0.5271</v>
      </c>
      <c r="H58" s="2">
        <v>0.35167000000000004</v>
      </c>
      <c r="I58" s="2">
        <v>0.47813</v>
      </c>
      <c r="J58" s="2">
        <v>0.47813</v>
      </c>
      <c r="K58" s="3">
        <v>0.106</v>
      </c>
      <c r="L58" s="3">
        <v>0.135</v>
      </c>
      <c r="M58" s="3">
        <v>0.4</v>
      </c>
      <c r="N58" s="4">
        <v>0.023</v>
      </c>
      <c r="O58" s="4">
        <v>0.0403</v>
      </c>
      <c r="P58" s="4">
        <v>0.09</v>
      </c>
      <c r="Q58" s="2">
        <v>-0.13744389143638303</v>
      </c>
      <c r="R58" s="2">
        <v>0.10239464905222206</v>
      </c>
      <c r="S58" s="2">
        <v>0.014454479456589509</v>
      </c>
      <c r="T58" s="2">
        <v>0.0</v>
      </c>
      <c r="U58" s="2">
        <v>0.0</v>
      </c>
      <c r="V58" s="2">
        <v>0.0</v>
      </c>
    </row>
    <row r="59" ht="14.25" customHeight="1">
      <c r="A59" s="2" t="s">
        <v>78</v>
      </c>
      <c r="B59" s="3">
        <v>77668.7465</v>
      </c>
      <c r="C59" s="3">
        <v>35377.5267</v>
      </c>
      <c r="D59" s="3">
        <v>37982.3449</v>
      </c>
      <c r="E59" s="2">
        <v>0.5486</v>
      </c>
      <c r="F59" s="2">
        <v>0.547</v>
      </c>
      <c r="G59" s="2">
        <v>0.5415</v>
      </c>
      <c r="H59" s="2">
        <v>0.7009399999999999</v>
      </c>
      <c r="I59" s="2">
        <v>0.7805200000000001</v>
      </c>
      <c r="J59" s="2">
        <v>0.7805200000000001</v>
      </c>
      <c r="K59" s="3">
        <v>0.096</v>
      </c>
      <c r="L59" s="3">
        <v>0.096</v>
      </c>
      <c r="M59" s="3">
        <v>0.088</v>
      </c>
      <c r="N59" s="4">
        <v>0.08199999999999999</v>
      </c>
      <c r="O59" s="4">
        <v>0.1576</v>
      </c>
      <c r="P59" s="4">
        <v>0.6784</v>
      </c>
      <c r="Q59" s="2">
        <v>-0.050492860258311456</v>
      </c>
      <c r="R59" s="2">
        <v>0.003580318232873969</v>
      </c>
      <c r="S59" s="2">
        <v>-0.025216349281260153</v>
      </c>
      <c r="T59" s="2">
        <v>0.0</v>
      </c>
      <c r="U59" s="2">
        <v>0.0</v>
      </c>
      <c r="V59" s="2">
        <v>0.0</v>
      </c>
    </row>
    <row r="60" ht="14.25" customHeight="1">
      <c r="A60" s="2" t="s">
        <v>79</v>
      </c>
      <c r="B60" s="3">
        <v>55236.0962</v>
      </c>
      <c r="C60" s="3">
        <v>93547.3989</v>
      </c>
      <c r="D60" s="3">
        <v>132160.9405</v>
      </c>
      <c r="E60" s="2">
        <v>0.4332</v>
      </c>
      <c r="F60" s="2">
        <v>0.4394</v>
      </c>
      <c r="G60" s="2">
        <v>0.4554</v>
      </c>
      <c r="H60" s="2">
        <v>0.80042</v>
      </c>
      <c r="I60" s="2">
        <v>0.88547</v>
      </c>
      <c r="J60" s="2">
        <v>0.88547</v>
      </c>
      <c r="K60" s="3">
        <v>0.973</v>
      </c>
      <c r="L60" s="3">
        <v>0.976</v>
      </c>
      <c r="M60" s="3">
        <v>0.977</v>
      </c>
      <c r="N60" s="4">
        <v>0.025</v>
      </c>
      <c r="O60" s="4">
        <v>0.076</v>
      </c>
      <c r="P60" s="4">
        <v>0.18</v>
      </c>
      <c r="Q60" s="2">
        <v>0.038137966221564845</v>
      </c>
      <c r="R60" s="2">
        <v>0.023862017499405752</v>
      </c>
      <c r="S60" s="2">
        <v>8.95698198233541E-4</v>
      </c>
      <c r="T60" s="2">
        <v>1.0</v>
      </c>
      <c r="U60" s="2">
        <v>1.0</v>
      </c>
      <c r="V60" s="2">
        <v>1.0</v>
      </c>
    </row>
    <row r="61" ht="14.25" customHeight="1">
      <c r="A61" s="2" t="s">
        <v>80</v>
      </c>
      <c r="B61" s="3">
        <v>1844.9768</v>
      </c>
      <c r="C61" s="3">
        <v>1445.8595</v>
      </c>
      <c r="D61" s="3">
        <v>1909.9881</v>
      </c>
      <c r="E61" s="2">
        <v>0.8327</v>
      </c>
      <c r="F61" s="2">
        <v>0.8327</v>
      </c>
      <c r="G61" s="2">
        <v>0.6374</v>
      </c>
      <c r="H61" s="2">
        <v>0.09050000000000001</v>
      </c>
      <c r="I61" s="2">
        <v>0.15544</v>
      </c>
      <c r="J61" s="2">
        <v>0.15544</v>
      </c>
      <c r="K61" s="3">
        <v>0.609</v>
      </c>
      <c r="L61" s="3">
        <v>0.535</v>
      </c>
      <c r="M61" s="3">
        <v>0.513</v>
      </c>
      <c r="N61" s="4">
        <v>0.006999999999999999</v>
      </c>
      <c r="O61" s="4">
        <v>0.008</v>
      </c>
      <c r="P61" s="4">
        <v>0.01</v>
      </c>
      <c r="Q61" s="2">
        <v>-0.02373913990341192</v>
      </c>
      <c r="R61" s="2">
        <v>0.017399628553943502</v>
      </c>
      <c r="S61" s="2">
        <v>0.01731634282470762</v>
      </c>
      <c r="T61" s="2">
        <v>0.0</v>
      </c>
      <c r="U61" s="2">
        <v>0.0</v>
      </c>
      <c r="V61" s="2">
        <v>0.0</v>
      </c>
    </row>
    <row r="62" ht="14.25" customHeight="1">
      <c r="A62" s="2" t="s">
        <v>81</v>
      </c>
      <c r="B62" s="3">
        <v>14603.4225</v>
      </c>
      <c r="C62" s="3">
        <v>23484.2708</v>
      </c>
      <c r="D62" s="3">
        <v>28942.2105</v>
      </c>
      <c r="E62" s="2">
        <v>0.5654</v>
      </c>
      <c r="F62" s="2">
        <v>0.5645</v>
      </c>
      <c r="G62" s="2">
        <v>0.5363</v>
      </c>
      <c r="H62" s="2">
        <v>0.42044</v>
      </c>
      <c r="I62" s="2">
        <v>0.7091200000000001</v>
      </c>
      <c r="J62" s="2">
        <v>0.7091200000000001</v>
      </c>
      <c r="K62" s="3">
        <v>0.639</v>
      </c>
      <c r="L62" s="3">
        <v>0.407</v>
      </c>
      <c r="M62" s="3">
        <v>0.434</v>
      </c>
      <c r="N62" s="4">
        <v>0.043</v>
      </c>
      <c r="O62" s="4">
        <v>0.106</v>
      </c>
      <c r="P62" s="4">
        <v>0.37</v>
      </c>
      <c r="Q62" s="2">
        <v>0.029954645020465076</v>
      </c>
      <c r="R62" s="2">
        <v>0.012131278733676476</v>
      </c>
      <c r="S62" s="2">
        <v>0.01686234702670819</v>
      </c>
      <c r="T62" s="2">
        <v>0.0</v>
      </c>
      <c r="U62" s="2">
        <v>0.0</v>
      </c>
      <c r="V62" s="2">
        <v>0.0</v>
      </c>
    </row>
    <row r="63" ht="14.25" customHeight="1">
      <c r="A63" s="2" t="s">
        <v>82</v>
      </c>
      <c r="B63" s="3">
        <v>2190.9664</v>
      </c>
      <c r="C63" s="3">
        <v>3013.1026</v>
      </c>
      <c r="D63" s="3">
        <v>4051.7051</v>
      </c>
      <c r="E63" s="2">
        <v>0.6715</v>
      </c>
      <c r="F63" s="2">
        <v>0.6571</v>
      </c>
      <c r="G63" s="2">
        <v>0.5099</v>
      </c>
      <c r="H63" s="2">
        <v>0.18484</v>
      </c>
      <c r="I63" s="2">
        <v>0.35999000000000003</v>
      </c>
      <c r="J63" s="2">
        <v>0.35999000000000003</v>
      </c>
      <c r="K63" s="3">
        <v>0.287</v>
      </c>
      <c r="L63" s="3">
        <v>0.44</v>
      </c>
      <c r="M63" s="3">
        <v>0.375</v>
      </c>
      <c r="N63" s="4">
        <v>0.003</v>
      </c>
      <c r="O63" s="4">
        <v>0.01</v>
      </c>
      <c r="P63" s="4">
        <v>0.07</v>
      </c>
      <c r="Q63" s="2">
        <v>0.025460927451660176</v>
      </c>
      <c r="R63" s="2">
        <v>0.019749255243276753</v>
      </c>
      <c r="S63" s="2">
        <v>0.005771832080847306</v>
      </c>
      <c r="T63" s="2">
        <v>0.0</v>
      </c>
      <c r="U63" s="2">
        <v>0.0</v>
      </c>
      <c r="V63" s="2">
        <v>0.0</v>
      </c>
    </row>
    <row r="64" ht="14.25" customHeight="1">
      <c r="A64" s="2" t="s">
        <v>83</v>
      </c>
      <c r="B64" s="3">
        <v>16343.4696</v>
      </c>
      <c r="C64" s="3">
        <v>27043.5672</v>
      </c>
      <c r="D64" s="3">
        <v>36366.8342</v>
      </c>
      <c r="E64" s="2">
        <v>0.4062</v>
      </c>
      <c r="F64" s="2">
        <v>0.4102</v>
      </c>
      <c r="G64" s="2">
        <v>0.4116</v>
      </c>
      <c r="H64" s="2">
        <v>0.8978499999999999</v>
      </c>
      <c r="I64" s="2">
        <v>0.94072</v>
      </c>
      <c r="J64" s="2">
        <v>0.94072</v>
      </c>
      <c r="K64" s="3">
        <v>0.73</v>
      </c>
      <c r="L64" s="3">
        <v>0.861</v>
      </c>
      <c r="M64" s="3">
        <v>0.861</v>
      </c>
      <c r="N64" s="4">
        <v>0.027999999999999997</v>
      </c>
      <c r="O64" s="4">
        <v>0.218</v>
      </c>
      <c r="P64" s="4">
        <v>0.36</v>
      </c>
      <c r="Q64" s="2">
        <v>0.03302967266611834</v>
      </c>
      <c r="R64" s="2">
        <v>0.017926249001787742</v>
      </c>
      <c r="S64" s="2">
        <v>0.03670970763832071</v>
      </c>
      <c r="T64" s="2">
        <v>0.0</v>
      </c>
      <c r="U64" s="2">
        <v>0.0</v>
      </c>
      <c r="V64" s="2">
        <v>0.0</v>
      </c>
    </row>
    <row r="65" ht="14.25" customHeight="1">
      <c r="A65" s="2" t="s">
        <v>84</v>
      </c>
      <c r="B65" s="3">
        <v>7789.7732</v>
      </c>
      <c r="C65" s="3">
        <v>12669.4924</v>
      </c>
      <c r="D65" s="3">
        <v>19809.7695</v>
      </c>
      <c r="E65" s="2">
        <v>0.5415</v>
      </c>
      <c r="F65" s="2">
        <v>0.5415</v>
      </c>
      <c r="G65" s="2">
        <v>0.5632</v>
      </c>
      <c r="H65" s="2">
        <v>0.42351</v>
      </c>
      <c r="I65" s="2">
        <v>0.41555</v>
      </c>
      <c r="J65" s="2">
        <v>0.41555</v>
      </c>
      <c r="K65" s="3">
        <v>0.762</v>
      </c>
      <c r="L65" s="3">
        <v>0.779</v>
      </c>
      <c r="M65" s="3">
        <v>0.828</v>
      </c>
      <c r="N65" s="4">
        <v>0.01</v>
      </c>
      <c r="O65" s="4">
        <v>0.063</v>
      </c>
      <c r="P65" s="4">
        <v>0.34</v>
      </c>
      <c r="Q65" s="2">
        <v>0.03353937643656746</v>
      </c>
      <c r="R65" s="2">
        <v>0.03013839964780396</v>
      </c>
      <c r="S65" s="2">
        <v>0.02060443565377823</v>
      </c>
      <c r="T65" s="2">
        <v>0.0</v>
      </c>
      <c r="U65" s="2">
        <v>0.0</v>
      </c>
      <c r="V65" s="2">
        <v>0.0</v>
      </c>
    </row>
    <row r="66" ht="14.25" customHeight="1">
      <c r="A66" s="2" t="s">
        <v>85</v>
      </c>
      <c r="B66" s="3">
        <v>31810.9168</v>
      </c>
      <c r="C66" s="3">
        <v>25004.01</v>
      </c>
      <c r="D66" s="3">
        <v>25667.0522</v>
      </c>
      <c r="E66" s="2">
        <v>0.6966</v>
      </c>
      <c r="F66" s="2">
        <v>0.6966</v>
      </c>
      <c r="G66" s="2">
        <v>0.7461</v>
      </c>
      <c r="H66" s="2">
        <v>0.66339</v>
      </c>
      <c r="I66" s="2">
        <v>0.77815</v>
      </c>
      <c r="J66" s="2">
        <v>0.77815</v>
      </c>
      <c r="K66" s="3">
        <v>0.244</v>
      </c>
      <c r="L66" s="3">
        <v>0.485</v>
      </c>
      <c r="M66" s="3">
        <v>0.586</v>
      </c>
      <c r="N66" s="4">
        <v>0.14400000000000002</v>
      </c>
      <c r="O66" s="4">
        <v>0.153</v>
      </c>
      <c r="P66" s="4">
        <v>0.27</v>
      </c>
      <c r="Q66" s="2">
        <v>-0.010672371732625807</v>
      </c>
      <c r="R66" s="2">
        <v>3.319750953378886E-5</v>
      </c>
      <c r="S66" s="2">
        <v>-0.001553604322802049</v>
      </c>
      <c r="T66" s="2">
        <v>0.0</v>
      </c>
      <c r="U66" s="2">
        <v>1.0</v>
      </c>
      <c r="V66" s="2">
        <v>1.0</v>
      </c>
    </row>
    <row r="67" ht="14.25" customHeight="1">
      <c r="A67" s="2" t="s">
        <v>86</v>
      </c>
      <c r="B67" s="3">
        <v>5780.2569</v>
      </c>
      <c r="C67" s="3">
        <v>5586.9256</v>
      </c>
      <c r="D67" s="3">
        <v>8174.0121</v>
      </c>
      <c r="E67" s="2">
        <v>0.5627</v>
      </c>
      <c r="F67" s="2">
        <v>0.5627</v>
      </c>
      <c r="G67" s="2">
        <v>0.5627</v>
      </c>
      <c r="H67" s="2">
        <v>0.4121</v>
      </c>
      <c r="I67" s="2">
        <v>0.58018</v>
      </c>
      <c r="J67" s="2">
        <v>0.58018</v>
      </c>
      <c r="K67" s="3">
        <v>0.319</v>
      </c>
      <c r="L67" s="3">
        <v>0.363</v>
      </c>
      <c r="M67" s="3">
        <v>0.431</v>
      </c>
      <c r="N67" s="4">
        <v>0.06</v>
      </c>
      <c r="O67" s="4">
        <v>0.113</v>
      </c>
      <c r="P67" s="4">
        <v>0.14</v>
      </c>
      <c r="Q67" s="2">
        <v>0.004436454477683371</v>
      </c>
      <c r="R67" s="2">
        <v>0.025481898399183578</v>
      </c>
      <c r="S67" s="2">
        <v>0.018582945443657684</v>
      </c>
      <c r="T67" s="2">
        <v>0.0</v>
      </c>
      <c r="U67" s="2">
        <v>0.0</v>
      </c>
      <c r="V67" s="2">
        <v>0.0</v>
      </c>
    </row>
    <row r="68" ht="14.25" customHeight="1">
      <c r="A68" s="2" t="s">
        <v>87</v>
      </c>
      <c r="B68" s="3">
        <v>1063.725</v>
      </c>
      <c r="C68" s="3">
        <v>919.9862</v>
      </c>
      <c r="D68" s="3">
        <v>2187.824</v>
      </c>
      <c r="E68" s="2">
        <v>0.6994</v>
      </c>
      <c r="F68" s="2">
        <v>0.6994</v>
      </c>
      <c r="G68" s="2">
        <v>0.664</v>
      </c>
      <c r="H68" s="2">
        <v>0.13158</v>
      </c>
      <c r="I68" s="2">
        <v>0.31829999999999997</v>
      </c>
      <c r="J68" s="2">
        <v>0.31829999999999997</v>
      </c>
      <c r="K68" s="3">
        <v>0.514</v>
      </c>
      <c r="L68" s="3">
        <v>0.484</v>
      </c>
      <c r="M68" s="3">
        <v>0.478</v>
      </c>
      <c r="N68" s="4">
        <v>0.001</v>
      </c>
      <c r="O68" s="4">
        <v>0.004</v>
      </c>
      <c r="P68" s="4">
        <v>0.04</v>
      </c>
      <c r="Q68" s="2">
        <v>-0.007393488175173268</v>
      </c>
      <c r="R68" s="2">
        <v>0.0607439568339716</v>
      </c>
      <c r="S68" s="2">
        <v>0.00891852639665447</v>
      </c>
      <c r="T68" s="2">
        <v>0.0</v>
      </c>
      <c r="U68" s="2">
        <v>0.0</v>
      </c>
      <c r="V68" s="2">
        <v>0.0</v>
      </c>
    </row>
    <row r="69" ht="14.25" customHeight="1">
      <c r="A69" s="2" t="s">
        <v>88</v>
      </c>
      <c r="B69" s="3">
        <v>1048.8575</v>
      </c>
      <c r="C69" s="3">
        <v>1121.3812</v>
      </c>
      <c r="D69" s="3">
        <v>3980.2501</v>
      </c>
      <c r="E69" s="2">
        <v>0.5969</v>
      </c>
      <c r="F69" s="2">
        <v>0.5969</v>
      </c>
      <c r="G69" s="2">
        <v>0.5969</v>
      </c>
      <c r="H69" s="2">
        <v>0.23973</v>
      </c>
      <c r="I69" s="2">
        <v>0.28885</v>
      </c>
      <c r="J69" s="2">
        <v>0.28885</v>
      </c>
      <c r="K69" s="3">
        <v>0.074</v>
      </c>
      <c r="L69" s="3">
        <v>0.045</v>
      </c>
      <c r="M69" s="3">
        <v>0.096</v>
      </c>
      <c r="N69" s="4">
        <v>0.051</v>
      </c>
      <c r="O69" s="4">
        <v>0.054000000000000006</v>
      </c>
      <c r="P69" s="4">
        <v>0.14</v>
      </c>
      <c r="Q69" s="2">
        <v>0.0014023918504679767</v>
      </c>
      <c r="R69" s="2">
        <v>0.08818289465642826</v>
      </c>
      <c r="S69" s="2">
        <v>0.025722424618731088</v>
      </c>
      <c r="T69" s="2">
        <v>0.0</v>
      </c>
      <c r="U69" s="2">
        <v>0.0</v>
      </c>
      <c r="V69" s="2">
        <v>0.0</v>
      </c>
    </row>
    <row r="70" ht="14.25" customHeight="1">
      <c r="A70" s="2" t="s">
        <v>89</v>
      </c>
      <c r="B70" s="3">
        <v>2041.4234</v>
      </c>
      <c r="C70" s="3">
        <v>2922.072</v>
      </c>
      <c r="D70" s="3">
        <v>4599.2765</v>
      </c>
      <c r="E70" s="2">
        <v>0.3819</v>
      </c>
      <c r="F70" s="2">
        <v>0.5394</v>
      </c>
      <c r="G70" s="2">
        <v>0.5126</v>
      </c>
      <c r="H70" s="2">
        <v>0.06091</v>
      </c>
      <c r="I70" s="2">
        <v>0.16768</v>
      </c>
      <c r="J70" s="2">
        <v>0.16768</v>
      </c>
      <c r="K70" s="3">
        <v>0.229</v>
      </c>
      <c r="L70" s="3">
        <v>0.502</v>
      </c>
      <c r="M70" s="3">
        <v>0.585</v>
      </c>
      <c r="N70" s="4">
        <v>0.03</v>
      </c>
      <c r="O70" s="4">
        <v>0.052000000000000005</v>
      </c>
      <c r="P70" s="4">
        <v>0.14</v>
      </c>
      <c r="Q70" s="2">
        <v>0.0244791181686419</v>
      </c>
      <c r="R70" s="2">
        <v>0.030270249845078645</v>
      </c>
      <c r="S70" s="2">
        <v>0.021246066350421478</v>
      </c>
      <c r="T70" s="2">
        <v>0.0</v>
      </c>
      <c r="U70" s="2">
        <v>0.0</v>
      </c>
      <c r="V70" s="2">
        <v>0.0</v>
      </c>
    </row>
    <row r="71" ht="14.25" customHeight="1">
      <c r="A71" s="2" t="s">
        <v>90</v>
      </c>
      <c r="B71" s="3">
        <v>40485.3564</v>
      </c>
      <c r="C71" s="3">
        <v>46892.1096</v>
      </c>
      <c r="D71" s="3">
        <v>60961.1671</v>
      </c>
      <c r="E71" s="2">
        <v>0.3437</v>
      </c>
      <c r="F71" s="2">
        <v>0.3633</v>
      </c>
      <c r="G71" s="2">
        <v>0.3878</v>
      </c>
      <c r="H71" s="2">
        <v>0.6474500000000001</v>
      </c>
      <c r="I71" s="2">
        <v>0.87134</v>
      </c>
      <c r="J71" s="2">
        <v>0.87134</v>
      </c>
      <c r="K71" s="3">
        <v>0.984</v>
      </c>
      <c r="L71" s="3">
        <v>0.984</v>
      </c>
      <c r="M71" s="3">
        <v>0.985</v>
      </c>
      <c r="N71" s="4">
        <v>0.3</v>
      </c>
      <c r="O71" s="4">
        <v>0.486</v>
      </c>
      <c r="P71" s="4">
        <v>0.64</v>
      </c>
      <c r="Q71" s="2">
        <v>0.008743638612333848</v>
      </c>
      <c r="R71" s="2">
        <v>0.01851092516624009</v>
      </c>
      <c r="S71" s="2">
        <v>0.00518225771585179</v>
      </c>
      <c r="T71" s="2">
        <v>1.0</v>
      </c>
      <c r="U71" s="2">
        <v>1.0</v>
      </c>
      <c r="V71" s="2">
        <v>1.0</v>
      </c>
    </row>
    <row r="72" ht="14.25" customHeight="1">
      <c r="A72" s="2" t="s">
        <v>91</v>
      </c>
      <c r="B72" s="3">
        <v>32130.7368</v>
      </c>
      <c r="C72" s="3">
        <v>33966.4815</v>
      </c>
      <c r="D72" s="3">
        <v>42582.7733</v>
      </c>
      <c r="E72" s="2">
        <v>0.5056</v>
      </c>
      <c r="F72" s="2">
        <v>0.5447</v>
      </c>
      <c r="G72" s="2">
        <v>0.5107</v>
      </c>
      <c r="H72" s="2">
        <v>0.83428</v>
      </c>
      <c r="I72" s="2">
        <v>0.8615999999999999</v>
      </c>
      <c r="J72" s="2">
        <v>0.8615999999999999</v>
      </c>
      <c r="K72" s="3">
        <v>0.987</v>
      </c>
      <c r="L72" s="3">
        <v>0.992</v>
      </c>
      <c r="M72" s="3">
        <v>0.992</v>
      </c>
      <c r="N72" s="4">
        <v>0.28600000000000003</v>
      </c>
      <c r="O72" s="4">
        <v>0.5820000000000001</v>
      </c>
      <c r="P72" s="4">
        <v>0.83</v>
      </c>
      <c r="Q72" s="2">
        <v>0.0018593421695969337</v>
      </c>
      <c r="R72" s="2">
        <v>0.016319142574517942</v>
      </c>
      <c r="S72" s="2">
        <v>0.00898182671600578</v>
      </c>
      <c r="T72" s="2">
        <v>1.0</v>
      </c>
      <c r="U72" s="2">
        <v>1.0</v>
      </c>
      <c r="V72" s="2">
        <v>1.0</v>
      </c>
    </row>
    <row r="73" ht="14.25" customHeight="1">
      <c r="A73" s="2" t="s">
        <v>92</v>
      </c>
      <c r="B73" s="3">
        <v>11382.7885</v>
      </c>
      <c r="C73" s="3">
        <v>7175.2087</v>
      </c>
      <c r="D73" s="3">
        <v>8012.7496</v>
      </c>
      <c r="E73" s="2">
        <v>0.682</v>
      </c>
      <c r="F73" s="2">
        <v>0.682</v>
      </c>
      <c r="G73" s="2">
        <v>0.6678</v>
      </c>
      <c r="H73" s="2">
        <v>0.50292</v>
      </c>
      <c r="I73" s="2">
        <v>0.5691700000000001</v>
      </c>
      <c r="J73" s="2">
        <v>0.5691700000000001</v>
      </c>
      <c r="K73" s="3">
        <v>0.359</v>
      </c>
      <c r="L73" s="3">
        <v>0.559</v>
      </c>
      <c r="M73" s="3">
        <v>0.118</v>
      </c>
      <c r="N73" s="4">
        <v>0.141</v>
      </c>
      <c r="O73" s="4">
        <v>0.11900000000000001</v>
      </c>
      <c r="P73" s="4">
        <v>0.23199999999999998</v>
      </c>
      <c r="Q73" s="2">
        <v>-0.03419865896011387</v>
      </c>
      <c r="R73" s="2">
        <v>0.0066917839478428665</v>
      </c>
      <c r="S73" s="2">
        <v>0.011953392303662547</v>
      </c>
      <c r="T73" s="2">
        <v>0.0</v>
      </c>
      <c r="U73" s="2">
        <v>0.0</v>
      </c>
      <c r="V73" s="2">
        <v>0.0</v>
      </c>
    </row>
    <row r="74" ht="14.25" customHeight="1">
      <c r="A74" s="2" t="s">
        <v>93</v>
      </c>
      <c r="B74" s="3">
        <v>3689.7049</v>
      </c>
      <c r="C74" s="3">
        <v>2179.8328</v>
      </c>
      <c r="D74" s="3">
        <v>2454.981</v>
      </c>
      <c r="E74" s="2">
        <v>0.554</v>
      </c>
      <c r="F74" s="2">
        <v>0.5964</v>
      </c>
      <c r="G74" s="2">
        <v>0.5215</v>
      </c>
      <c r="H74" s="2">
        <v>0.13443</v>
      </c>
      <c r="I74" s="2">
        <v>0.16221</v>
      </c>
      <c r="J74" s="2">
        <v>0.16221</v>
      </c>
      <c r="K74" s="3">
        <v>0.65</v>
      </c>
      <c r="L74" s="3">
        <v>0.634</v>
      </c>
      <c r="M74" s="3">
        <v>0.655</v>
      </c>
      <c r="N74" s="4">
        <v>0.003</v>
      </c>
      <c r="O74" s="4">
        <v>0.01</v>
      </c>
      <c r="P74" s="4">
        <v>0.01</v>
      </c>
      <c r="Q74" s="2">
        <v>-0.036866266820052895</v>
      </c>
      <c r="R74" s="2">
        <v>0.004901790009041118</v>
      </c>
      <c r="S74" s="2">
        <v>0.02088090546181398</v>
      </c>
      <c r="T74" s="2">
        <v>0.0</v>
      </c>
      <c r="U74" s="2">
        <v>0.0</v>
      </c>
      <c r="V74" s="2">
        <v>0.0</v>
      </c>
    </row>
    <row r="75" ht="14.25" customHeight="1">
      <c r="A75" s="2" t="s">
        <v>94</v>
      </c>
      <c r="B75" s="3">
        <v>49327.1697</v>
      </c>
      <c r="C75" s="3">
        <v>67569.2122</v>
      </c>
      <c r="D75" s="3">
        <v>83985.1617</v>
      </c>
      <c r="E75" s="2">
        <v>0.3449</v>
      </c>
      <c r="F75" s="2">
        <v>0.3271</v>
      </c>
      <c r="G75" s="2">
        <v>0.3789</v>
      </c>
      <c r="H75" s="2">
        <v>0.70545</v>
      </c>
      <c r="I75" s="2">
        <v>0.7910200000000001</v>
      </c>
      <c r="J75" s="2">
        <v>0.7910200000000001</v>
      </c>
      <c r="K75" s="3">
        <v>0.994</v>
      </c>
      <c r="L75" s="3">
        <v>0.994</v>
      </c>
      <c r="M75" s="3">
        <v>0.994</v>
      </c>
      <c r="N75" s="4">
        <v>0.256</v>
      </c>
      <c r="O75" s="4">
        <v>0.585</v>
      </c>
      <c r="P75" s="4">
        <v>0.73</v>
      </c>
      <c r="Q75" s="2">
        <v>0.020202318334618274</v>
      </c>
      <c r="R75" s="2">
        <v>0.016161463075149873</v>
      </c>
      <c r="S75" s="2">
        <v>0.004086659371998369</v>
      </c>
      <c r="T75" s="2">
        <v>1.0</v>
      </c>
      <c r="U75" s="2">
        <v>1.0</v>
      </c>
      <c r="V75" s="2">
        <v>1.0</v>
      </c>
    </row>
    <row r="76" ht="14.25" customHeight="1">
      <c r="A76" s="2" t="s">
        <v>95</v>
      </c>
      <c r="B76" s="3">
        <v>4125.7558</v>
      </c>
      <c r="C76" s="3">
        <v>5782.6686</v>
      </c>
      <c r="D76" s="3">
        <v>6644.0797</v>
      </c>
      <c r="E76" s="2">
        <v>0.5181</v>
      </c>
      <c r="F76" s="2">
        <v>0.4913</v>
      </c>
      <c r="G76" s="2">
        <v>0.5</v>
      </c>
      <c r="H76" s="2">
        <v>0.28065999999999997</v>
      </c>
      <c r="I76" s="2">
        <v>0.34997</v>
      </c>
      <c r="J76" s="2">
        <v>0.34997</v>
      </c>
      <c r="K76" s="3">
        <v>0.309</v>
      </c>
      <c r="L76" s="3">
        <v>0.263</v>
      </c>
      <c r="M76" s="3">
        <v>0.228</v>
      </c>
      <c r="N76" s="4">
        <v>0.025</v>
      </c>
      <c r="O76" s="4">
        <v>0.035</v>
      </c>
      <c r="P76" s="4">
        <v>0.07</v>
      </c>
      <c r="Q76" s="2">
        <v>0.022999285300306482</v>
      </c>
      <c r="R76" s="2">
        <v>0.009794083205010518</v>
      </c>
      <c r="S76" s="2">
        <v>0.01956360048977812</v>
      </c>
      <c r="T76" s="2">
        <v>0.0</v>
      </c>
      <c r="U76" s="2">
        <v>0.0</v>
      </c>
      <c r="V76" s="2">
        <v>0.0</v>
      </c>
    </row>
    <row r="77" ht="14.25" customHeight="1">
      <c r="A77" s="2" t="s">
        <v>96</v>
      </c>
      <c r="B77" s="3">
        <v>17709.3345</v>
      </c>
      <c r="C77" s="3">
        <v>18163.4349</v>
      </c>
      <c r="D77" s="3">
        <v>27462.4945</v>
      </c>
      <c r="E77" s="2">
        <v>0.682</v>
      </c>
      <c r="F77" s="2">
        <v>0.682</v>
      </c>
      <c r="G77" s="2">
        <v>0.6678</v>
      </c>
      <c r="H77" s="2">
        <v>0.50447</v>
      </c>
      <c r="I77" s="2">
        <v>0.6514</v>
      </c>
      <c r="J77" s="2">
        <v>0.6514</v>
      </c>
      <c r="K77" s="3">
        <v>0.251</v>
      </c>
      <c r="L77" s="3">
        <v>0.59</v>
      </c>
      <c r="M77" s="3">
        <v>0.604</v>
      </c>
      <c r="N77" s="4">
        <v>0.221</v>
      </c>
      <c r="O77" s="4">
        <v>0.3</v>
      </c>
      <c r="P77" s="4">
        <v>0.44</v>
      </c>
      <c r="Q77" s="2">
        <v>0.0026734996609216743</v>
      </c>
      <c r="R77" s="2">
        <v>0.02741676559549311</v>
      </c>
      <c r="S77" s="2">
        <v>0.024490139122062216</v>
      </c>
      <c r="T77" s="2">
        <v>0.0</v>
      </c>
      <c r="U77" s="2">
        <v>0.0</v>
      </c>
      <c r="V77" s="2">
        <v>0.0</v>
      </c>
    </row>
    <row r="78" ht="14.25" customHeight="1">
      <c r="A78" s="2" t="s">
        <v>97</v>
      </c>
      <c r="B78" s="3">
        <v>14620.305</v>
      </c>
      <c r="C78" s="3">
        <v>15033.5447</v>
      </c>
      <c r="D78" s="3">
        <v>17425.9731</v>
      </c>
      <c r="E78" s="2">
        <v>0.682</v>
      </c>
      <c r="F78" s="2">
        <v>0.682</v>
      </c>
      <c r="G78" s="2">
        <v>0.6678</v>
      </c>
      <c r="H78" s="2">
        <v>0.41688000000000003</v>
      </c>
      <c r="I78" s="2">
        <v>0.5926100000000001</v>
      </c>
      <c r="J78" s="2">
        <v>0.5926100000000001</v>
      </c>
      <c r="K78" s="3">
        <v>0.034</v>
      </c>
      <c r="L78" s="3">
        <v>0.293</v>
      </c>
      <c r="M78" s="3">
        <v>0.513</v>
      </c>
      <c r="N78" s="4">
        <v>0.085</v>
      </c>
      <c r="O78" s="4">
        <v>0.114</v>
      </c>
      <c r="P78" s="4">
        <v>0.35</v>
      </c>
      <c r="Q78" s="2">
        <v>1.1780596045496416E-4</v>
      </c>
      <c r="R78" s="2">
        <v>0.004885971621220397</v>
      </c>
      <c r="S78" s="2">
        <v>0.006933693744400005</v>
      </c>
      <c r="T78" s="2">
        <v>0.0</v>
      </c>
      <c r="U78" s="2">
        <v>0.0</v>
      </c>
      <c r="V78" s="2">
        <v>0.0</v>
      </c>
    </row>
    <row r="79" ht="14.25" customHeight="1">
      <c r="A79" s="2" t="s">
        <v>98</v>
      </c>
      <c r="B79" s="3">
        <v>14636.3168</v>
      </c>
      <c r="C79" s="3">
        <v>11013.2318</v>
      </c>
      <c r="D79" s="3">
        <v>15234.5204</v>
      </c>
      <c r="E79" s="2">
        <v>0.6823</v>
      </c>
      <c r="F79" s="2">
        <v>0.6823</v>
      </c>
      <c r="G79" s="2">
        <v>0.6785</v>
      </c>
      <c r="H79" s="2">
        <v>0.64574</v>
      </c>
      <c r="I79" s="2">
        <v>0.7643000000000001</v>
      </c>
      <c r="J79" s="2">
        <v>0.7643000000000001</v>
      </c>
      <c r="K79" s="3">
        <v>0.426</v>
      </c>
      <c r="L79" s="3">
        <v>0.167</v>
      </c>
      <c r="M79" s="3">
        <v>0.718</v>
      </c>
      <c r="N79" s="4">
        <v>0.19399999999999998</v>
      </c>
      <c r="O79" s="4">
        <v>0.311</v>
      </c>
      <c r="P79" s="4">
        <v>0.43</v>
      </c>
      <c r="Q79" s="2">
        <v>-0.022981829018777766</v>
      </c>
      <c r="R79" s="2">
        <v>0.0189349919852273</v>
      </c>
      <c r="S79" s="2">
        <v>0.008324458586795647</v>
      </c>
      <c r="T79" s="2">
        <v>0.0</v>
      </c>
      <c r="U79" s="2">
        <v>0.0</v>
      </c>
      <c r="V79" s="2">
        <v>0.0</v>
      </c>
    </row>
    <row r="80" ht="14.25" customHeight="1">
      <c r="A80" s="2" t="s">
        <v>99</v>
      </c>
      <c r="B80" s="3">
        <v>8819.6762</v>
      </c>
      <c r="C80" s="3">
        <v>7154.1906</v>
      </c>
      <c r="D80" s="3">
        <v>9011.2602</v>
      </c>
      <c r="E80" s="2">
        <v>0.5838</v>
      </c>
      <c r="F80" s="2">
        <v>0.6117</v>
      </c>
      <c r="G80" s="2">
        <v>0.5867</v>
      </c>
      <c r="H80" s="2">
        <v>0.37456</v>
      </c>
      <c r="I80" s="2">
        <v>0.45332</v>
      </c>
      <c r="J80" s="2">
        <v>0.45332</v>
      </c>
      <c r="K80" s="3">
        <v>0.108</v>
      </c>
      <c r="L80" s="3">
        <v>0.553</v>
      </c>
      <c r="M80" s="3">
        <v>0.579</v>
      </c>
      <c r="N80" s="4">
        <v>0.27699999999999997</v>
      </c>
      <c r="O80" s="4">
        <v>0.297</v>
      </c>
      <c r="P80" s="4">
        <v>0.28</v>
      </c>
      <c r="Q80" s="2">
        <v>-0.016271252708311534</v>
      </c>
      <c r="R80" s="2">
        <v>0.013573488227592634</v>
      </c>
      <c r="S80" s="2">
        <v>0.02494505784215062</v>
      </c>
      <c r="T80" s="2">
        <v>0.0</v>
      </c>
      <c r="U80" s="2">
        <v>0.0</v>
      </c>
      <c r="V80" s="2">
        <v>0.0</v>
      </c>
    </row>
    <row r="81" ht="14.25" customHeight="1">
      <c r="A81" s="2" t="s">
        <v>100</v>
      </c>
      <c r="B81" s="3">
        <v>14421.0063</v>
      </c>
      <c r="C81" s="3">
        <v>15998.043</v>
      </c>
      <c r="D81" s="3">
        <v>26513.1675</v>
      </c>
      <c r="E81" s="2">
        <v>0.2879</v>
      </c>
      <c r="F81" s="2">
        <v>0.4074</v>
      </c>
      <c r="G81" s="2">
        <v>0.4697</v>
      </c>
      <c r="H81" s="2">
        <v>0.5808599999999999</v>
      </c>
      <c r="I81" s="2">
        <v>0.60892</v>
      </c>
      <c r="J81" s="2">
        <v>0.60892</v>
      </c>
      <c r="K81" s="3">
        <v>0.641</v>
      </c>
      <c r="L81" s="3">
        <v>0.95</v>
      </c>
      <c r="M81" s="3">
        <v>0.961</v>
      </c>
      <c r="N81" s="4">
        <v>0.17600000000000002</v>
      </c>
      <c r="O81" s="4">
        <v>0.247</v>
      </c>
      <c r="P81" s="4">
        <v>0.74</v>
      </c>
      <c r="Q81" s="2">
        <v>0.003117376147770301</v>
      </c>
      <c r="R81" s="2">
        <v>0.0353689497714238</v>
      </c>
      <c r="S81" s="2">
        <v>0.028286073862234584</v>
      </c>
      <c r="T81" s="2">
        <v>0.0</v>
      </c>
      <c r="U81" s="2">
        <v>1.0</v>
      </c>
      <c r="V81" s="2">
        <v>1.0</v>
      </c>
    </row>
    <row r="82" ht="14.25" customHeight="1">
      <c r="A82" s="2" t="s">
        <v>101</v>
      </c>
      <c r="B82" s="3">
        <v>23899.2778</v>
      </c>
      <c r="C82" s="3">
        <v>30643.5089</v>
      </c>
      <c r="D82" s="3">
        <v>35710.8578</v>
      </c>
      <c r="E82" s="2">
        <v>0.3864</v>
      </c>
      <c r="F82" s="2">
        <v>0.4898</v>
      </c>
      <c r="G82" s="2">
        <v>0.4885</v>
      </c>
      <c r="H82" s="2">
        <v>0.42784999999999995</v>
      </c>
      <c r="I82" s="2">
        <v>0.60567</v>
      </c>
      <c r="J82" s="2">
        <v>0.60567</v>
      </c>
      <c r="K82" s="3">
        <v>0.946</v>
      </c>
      <c r="L82" s="3">
        <v>0.959</v>
      </c>
      <c r="M82" s="3">
        <v>0.952</v>
      </c>
      <c r="N82" s="4">
        <v>0.11199999999999999</v>
      </c>
      <c r="O82" s="4">
        <v>0.368</v>
      </c>
      <c r="P82" s="4">
        <v>0.66</v>
      </c>
      <c r="Q82" s="2">
        <v>0.01576390290189611</v>
      </c>
      <c r="R82" s="2">
        <v>0.010044212528041774</v>
      </c>
      <c r="S82" s="2">
        <v>0.010203505194309681</v>
      </c>
      <c r="T82" s="2">
        <v>1.0</v>
      </c>
      <c r="U82" s="2">
        <v>1.0</v>
      </c>
      <c r="V82" s="2">
        <v>1.0</v>
      </c>
    </row>
    <row r="83" ht="14.25" customHeight="1">
      <c r="A83" s="2" t="s">
        <v>102</v>
      </c>
      <c r="B83" s="3">
        <v>18094.7388</v>
      </c>
      <c r="C83" s="3">
        <v>16125.4018</v>
      </c>
      <c r="D83" s="3">
        <v>24150.3071</v>
      </c>
      <c r="E83" s="2">
        <v>0.3104</v>
      </c>
      <c r="F83" s="2">
        <v>0.4677</v>
      </c>
      <c r="G83" s="2">
        <v>0.5203</v>
      </c>
      <c r="H83" s="2">
        <v>0.4607</v>
      </c>
      <c r="I83" s="2">
        <v>0.53829</v>
      </c>
      <c r="J83" s="2">
        <v>0.53829</v>
      </c>
      <c r="K83" s="3">
        <v>0.212</v>
      </c>
      <c r="L83" s="3">
        <v>0.42</v>
      </c>
      <c r="M83" s="3">
        <v>0.641</v>
      </c>
      <c r="N83" s="4">
        <v>0.11</v>
      </c>
      <c r="O83" s="4">
        <v>0.183</v>
      </c>
      <c r="P83" s="4">
        <v>0.57</v>
      </c>
      <c r="Q83" s="2">
        <v>-0.012713592691264486</v>
      </c>
      <c r="R83" s="2">
        <v>0.032387335903424574</v>
      </c>
      <c r="S83" s="2">
        <v>0.03282676648569516</v>
      </c>
      <c r="T83" s="2">
        <v>0.0</v>
      </c>
      <c r="U83" s="2">
        <v>0.0</v>
      </c>
      <c r="V83" s="2">
        <v>0.0</v>
      </c>
    </row>
    <row r="84" ht="14.25" customHeight="1">
      <c r="A84" s="2" t="s">
        <v>103</v>
      </c>
      <c r="B84" s="3">
        <v>22651.2726</v>
      </c>
      <c r="C84" s="3">
        <v>20989.8588</v>
      </c>
      <c r="D84" s="3">
        <v>34097.1293</v>
      </c>
      <c r="E84" s="2">
        <v>0.3026</v>
      </c>
      <c r="F84" s="2">
        <v>0.5619</v>
      </c>
      <c r="G84" s="2">
        <v>0.5491</v>
      </c>
      <c r="H84" s="2">
        <v>0.6975100000000001</v>
      </c>
      <c r="I84" s="2">
        <v>0.73687</v>
      </c>
      <c r="J84" s="2">
        <v>0.73687</v>
      </c>
      <c r="K84" s="3">
        <v>0.168</v>
      </c>
      <c r="L84" s="3">
        <v>0.269</v>
      </c>
      <c r="M84" s="3">
        <v>0.231</v>
      </c>
      <c r="N84" s="4">
        <v>0.212</v>
      </c>
      <c r="O84" s="4">
        <v>0.429</v>
      </c>
      <c r="P84" s="4">
        <v>0.75</v>
      </c>
      <c r="Q84" s="2">
        <v>-0.012600915142605196</v>
      </c>
      <c r="R84" s="2">
        <v>0.032396018375588254</v>
      </c>
      <c r="S84" s="2">
        <v>0.012174066102039749</v>
      </c>
      <c r="T84" s="2">
        <v>0.0</v>
      </c>
      <c r="U84" s="2">
        <v>0.0</v>
      </c>
      <c r="V84" s="2">
        <v>0.0</v>
      </c>
    </row>
    <row r="85" ht="14.25" customHeight="1">
      <c r="A85" s="2" t="s">
        <v>104</v>
      </c>
      <c r="B85" s="3">
        <v>5106.9194</v>
      </c>
      <c r="C85" s="3">
        <v>4938.7447</v>
      </c>
      <c r="D85" s="3">
        <v>5623.7175</v>
      </c>
      <c r="E85" s="2">
        <v>0.7003</v>
      </c>
      <c r="F85" s="2">
        <v>0.5817</v>
      </c>
      <c r="G85" s="2">
        <v>0.5722</v>
      </c>
      <c r="H85" s="2">
        <v>0.35769</v>
      </c>
      <c r="I85" s="2">
        <v>0.43773</v>
      </c>
      <c r="J85" s="2">
        <v>0.43773</v>
      </c>
      <c r="K85" s="3">
        <v>0.674</v>
      </c>
      <c r="L85" s="3">
        <v>0.683</v>
      </c>
      <c r="M85" s="3">
        <v>0.693</v>
      </c>
      <c r="N85" s="4">
        <v>0.027999999999999997</v>
      </c>
      <c r="O85" s="4">
        <v>0.034</v>
      </c>
      <c r="P85" s="4">
        <v>0.08</v>
      </c>
      <c r="Q85" s="2">
        <v>-0.0034768571969253648</v>
      </c>
      <c r="R85" s="2">
        <v>0.008800389260269492</v>
      </c>
      <c r="S85" s="2">
        <v>0.014983877535346801</v>
      </c>
      <c r="T85" s="2">
        <v>0.0</v>
      </c>
      <c r="U85" s="2">
        <v>0.0</v>
      </c>
      <c r="V85" s="2">
        <v>0.0</v>
      </c>
    </row>
    <row r="86" ht="14.25" customHeight="1">
      <c r="A86" s="2" t="s">
        <v>105</v>
      </c>
      <c r="B86" s="3">
        <v>15159.6602</v>
      </c>
      <c r="C86" s="3">
        <v>8704.0314</v>
      </c>
      <c r="D86" s="3">
        <v>15479.234</v>
      </c>
      <c r="E86" s="2">
        <v>0.403</v>
      </c>
      <c r="F86" s="2">
        <v>0.4371</v>
      </c>
      <c r="G86" s="2">
        <v>0.5316</v>
      </c>
      <c r="H86" s="2">
        <v>0.46146</v>
      </c>
      <c r="I86" s="2">
        <v>0.54993</v>
      </c>
      <c r="J86" s="2">
        <v>0.54993</v>
      </c>
      <c r="K86" s="3">
        <v>0.463</v>
      </c>
      <c r="L86" s="3">
        <v>0.253</v>
      </c>
      <c r="M86" s="3">
        <v>0.589</v>
      </c>
      <c r="N86" s="4">
        <v>0.218</v>
      </c>
      <c r="O86" s="4">
        <v>0.21100000000000002</v>
      </c>
      <c r="P86" s="4">
        <v>0.49</v>
      </c>
      <c r="Q86" s="2">
        <v>-0.04250929214727017</v>
      </c>
      <c r="R86" s="2">
        <v>0.04177450330273502</v>
      </c>
      <c r="S86" s="2">
        <v>0.028881822710962624</v>
      </c>
      <c r="T86" s="2">
        <v>0.0</v>
      </c>
      <c r="U86" s="2">
        <v>0.0</v>
      </c>
      <c r="V86" s="2">
        <v>0.0</v>
      </c>
    </row>
    <row r="87" ht="14.25" customHeight="1">
      <c r="A87" s="2" t="s">
        <v>106</v>
      </c>
      <c r="B87" s="3">
        <v>3343.7897</v>
      </c>
      <c r="C87" s="3">
        <v>2761.2556</v>
      </c>
      <c r="D87" s="3">
        <v>2557.0269</v>
      </c>
      <c r="E87" s="2">
        <v>0.5777</v>
      </c>
      <c r="F87" s="2">
        <v>0.5777</v>
      </c>
      <c r="G87" s="2">
        <v>0.5263</v>
      </c>
      <c r="H87" s="2">
        <v>0.29819</v>
      </c>
      <c r="I87" s="2">
        <v>0.38856</v>
      </c>
      <c r="J87" s="2">
        <v>0.38856</v>
      </c>
      <c r="K87" s="3">
        <v>0.179</v>
      </c>
      <c r="L87" s="3">
        <v>0.084</v>
      </c>
      <c r="M87" s="3">
        <v>0.392</v>
      </c>
      <c r="N87" s="4">
        <v>0.006999999999999999</v>
      </c>
      <c r="O87" s="4">
        <v>0.015</v>
      </c>
      <c r="P87" s="4">
        <v>0.0318</v>
      </c>
      <c r="Q87" s="2">
        <v>-0.006169327209078035</v>
      </c>
      <c r="R87" s="2">
        <v>-0.007065936563393493</v>
      </c>
      <c r="S87" s="2">
        <v>0.04141655725590221</v>
      </c>
      <c r="T87" s="2">
        <v>0.0</v>
      </c>
      <c r="U87" s="2">
        <v>0.0</v>
      </c>
      <c r="V87" s="2">
        <v>0.0</v>
      </c>
    </row>
    <row r="88" ht="14.25" customHeight="1">
      <c r="A88" s="2" t="s">
        <v>107</v>
      </c>
      <c r="B88" s="3">
        <v>18770.1914</v>
      </c>
      <c r="C88" s="3">
        <v>15093.8791</v>
      </c>
      <c r="D88" s="3">
        <v>18160.33</v>
      </c>
      <c r="E88" s="2">
        <v>0.5441</v>
      </c>
      <c r="F88" s="2">
        <v>0.5607</v>
      </c>
      <c r="G88" s="2">
        <v>0.6903</v>
      </c>
      <c r="H88" s="2">
        <v>0.48424999999999996</v>
      </c>
      <c r="I88" s="2">
        <v>0.6221800000000001</v>
      </c>
      <c r="J88" s="2">
        <v>0.6221800000000001</v>
      </c>
      <c r="K88" s="3">
        <v>0.399</v>
      </c>
      <c r="L88" s="3">
        <v>0.752</v>
      </c>
      <c r="M88" s="3">
        <v>0.749</v>
      </c>
      <c r="N88" s="4">
        <v>0.07</v>
      </c>
      <c r="O88" s="4">
        <v>0.17300000000000001</v>
      </c>
      <c r="P88" s="4">
        <v>0.1925</v>
      </c>
      <c r="Q88" s="2">
        <v>-0.01774850706658826</v>
      </c>
      <c r="R88" s="2">
        <v>0.012626897897814349</v>
      </c>
      <c r="S88" s="2">
        <v>-0.010411183255992551</v>
      </c>
      <c r="T88" s="2">
        <v>0.0</v>
      </c>
      <c r="U88" s="2">
        <v>0.0</v>
      </c>
      <c r="V88" s="2">
        <v>0.0</v>
      </c>
    </row>
    <row r="89" ht="14.25" customHeight="1">
      <c r="A89" s="2" t="s">
        <v>108</v>
      </c>
      <c r="B89" s="3">
        <v>28832.9061</v>
      </c>
      <c r="C89" s="3">
        <v>33766.7377</v>
      </c>
      <c r="D89" s="3">
        <v>40845.2826</v>
      </c>
      <c r="E89" s="2">
        <v>0.4533</v>
      </c>
      <c r="F89" s="2">
        <v>0.464</v>
      </c>
      <c r="G89" s="2">
        <v>0.4412</v>
      </c>
      <c r="H89" s="2">
        <v>0.72789</v>
      </c>
      <c r="I89" s="2">
        <v>0.7844199999999999</v>
      </c>
      <c r="J89" s="2">
        <v>0.7844199999999999</v>
      </c>
      <c r="K89" s="3">
        <v>0.986</v>
      </c>
      <c r="L89" s="3">
        <v>0.987</v>
      </c>
      <c r="M89" s="3">
        <v>0.988</v>
      </c>
      <c r="N89" s="4">
        <v>0.242</v>
      </c>
      <c r="O89" s="4">
        <v>0.486</v>
      </c>
      <c r="P89" s="4">
        <v>0.78</v>
      </c>
      <c r="Q89" s="2">
        <v>0.010477052991477054</v>
      </c>
      <c r="R89" s="2">
        <v>0.013885601729582753</v>
      </c>
      <c r="S89" s="2">
        <v>0.009188554522936432</v>
      </c>
      <c r="T89" s="2">
        <v>1.0</v>
      </c>
      <c r="U89" s="2">
        <v>1.0</v>
      </c>
      <c r="V89" s="2">
        <v>1.0</v>
      </c>
    </row>
    <row r="90" ht="14.25" customHeight="1">
      <c r="A90" s="2" t="s">
        <v>109</v>
      </c>
      <c r="B90" s="3">
        <v>4678.796</v>
      </c>
      <c r="C90" s="3">
        <v>6848.9679</v>
      </c>
      <c r="D90" s="3">
        <v>11392.8525</v>
      </c>
      <c r="E90" s="2">
        <v>0.5058</v>
      </c>
      <c r="F90" s="2">
        <v>0.5356</v>
      </c>
      <c r="G90" s="2">
        <v>0.5589</v>
      </c>
      <c r="H90" s="2">
        <v>0.18606999999999999</v>
      </c>
      <c r="I90" s="2">
        <v>0.18225999999999998</v>
      </c>
      <c r="J90" s="2">
        <v>0.18225999999999998</v>
      </c>
      <c r="K90" s="3">
        <v>0.671</v>
      </c>
      <c r="L90" s="3">
        <v>0.592</v>
      </c>
      <c r="M90" s="3">
        <v>0.39</v>
      </c>
      <c r="N90" s="4">
        <v>0.027999999999999997</v>
      </c>
      <c r="O90" s="4">
        <v>0.051</v>
      </c>
      <c r="P90" s="4">
        <v>0.16</v>
      </c>
      <c r="Q90" s="2">
        <v>0.02556573939986362</v>
      </c>
      <c r="R90" s="2">
        <v>0.0313119521535119</v>
      </c>
      <c r="S90" s="2">
        <v>0.014337700932613329</v>
      </c>
      <c r="T90" s="2">
        <v>0.0</v>
      </c>
      <c r="U90" s="2">
        <v>0.0</v>
      </c>
      <c r="V90" s="2">
        <v>0.0</v>
      </c>
    </row>
    <row r="91" ht="14.25" customHeight="1">
      <c r="A91" s="2" t="s">
        <v>110</v>
      </c>
      <c r="B91" s="3">
        <v>933.7728</v>
      </c>
      <c r="C91" s="3">
        <v>1125.1039</v>
      </c>
      <c r="D91" s="3">
        <v>1351.6441</v>
      </c>
      <c r="E91" s="2">
        <v>0.5256</v>
      </c>
      <c r="F91" s="2">
        <v>0.5256</v>
      </c>
      <c r="G91" s="2">
        <v>0.5269</v>
      </c>
      <c r="H91" s="2">
        <v>0.19959</v>
      </c>
      <c r="I91" s="2">
        <v>0.33088999999999996</v>
      </c>
      <c r="J91" s="2">
        <v>0.33088999999999996</v>
      </c>
      <c r="K91" s="3">
        <v>0.349</v>
      </c>
      <c r="L91" s="3">
        <v>0.042</v>
      </c>
      <c r="M91" s="3">
        <v>0.124</v>
      </c>
      <c r="N91" s="4">
        <v>0.018000000000000002</v>
      </c>
      <c r="O91" s="4">
        <v>0.04</v>
      </c>
      <c r="P91" s="4">
        <v>0.098</v>
      </c>
      <c r="Q91" s="2">
        <v>0.016645061987068388</v>
      </c>
      <c r="R91" s="2">
        <v>0.026627873774126565</v>
      </c>
      <c r="S91" s="2">
        <v>-0.006454685980773034</v>
      </c>
      <c r="T91" s="2">
        <v>0.0</v>
      </c>
      <c r="U91" s="2">
        <v>0.0</v>
      </c>
      <c r="V91" s="2">
        <v>0.0</v>
      </c>
    </row>
    <row r="92" ht="14.25" customHeight="1">
      <c r="A92" s="2" t="s">
        <v>111</v>
      </c>
      <c r="B92" s="3">
        <v>8197.3697</v>
      </c>
      <c r="C92" s="3">
        <v>11046.3121</v>
      </c>
      <c r="D92" s="3">
        <v>12818.3973</v>
      </c>
      <c r="E92" s="2">
        <v>0.7495</v>
      </c>
      <c r="F92" s="2">
        <v>0.7407</v>
      </c>
      <c r="G92" s="2">
        <v>0.6741</v>
      </c>
      <c r="H92" s="2">
        <v>0.16478</v>
      </c>
      <c r="I92" s="2">
        <v>0.2248</v>
      </c>
      <c r="J92" s="2">
        <v>0.2248</v>
      </c>
      <c r="K92" s="3">
        <v>0.367</v>
      </c>
      <c r="L92" s="3">
        <v>0.322</v>
      </c>
      <c r="M92" s="3">
        <v>0.267</v>
      </c>
      <c r="N92" s="4">
        <v>0.039</v>
      </c>
      <c r="O92" s="4">
        <v>0.06</v>
      </c>
      <c r="P92" s="4">
        <v>0.06</v>
      </c>
      <c r="Q92" s="2">
        <v>0.01695370954283093</v>
      </c>
      <c r="R92" s="2">
        <v>0.00944801294178399</v>
      </c>
      <c r="S92" s="2">
        <v>0.005430793850360827</v>
      </c>
      <c r="T92" s="2">
        <v>0.0</v>
      </c>
      <c r="U92" s="2">
        <v>0.0</v>
      </c>
      <c r="V92" s="2">
        <v>0.0</v>
      </c>
    </row>
    <row r="93" ht="14.25" customHeight="1">
      <c r="A93" s="2" t="s">
        <v>112</v>
      </c>
      <c r="B93" s="3">
        <v>34568.8188</v>
      </c>
      <c r="C93" s="3">
        <v>40794.6387</v>
      </c>
      <c r="D93" s="3">
        <v>55966.9342</v>
      </c>
      <c r="E93" s="2">
        <v>0.3314</v>
      </c>
      <c r="F93" s="2">
        <v>0.3734</v>
      </c>
      <c r="G93" s="2">
        <v>0.4096</v>
      </c>
      <c r="H93" s="2">
        <v>0.83087</v>
      </c>
      <c r="I93" s="2">
        <v>0.85056</v>
      </c>
      <c r="J93" s="2">
        <v>0.85056</v>
      </c>
      <c r="K93" s="3">
        <v>0.994</v>
      </c>
      <c r="L93" s="3">
        <v>0.995</v>
      </c>
      <c r="M93" s="3">
        <v>0.995</v>
      </c>
      <c r="N93" s="4">
        <v>0.308</v>
      </c>
      <c r="O93" s="4">
        <v>0.425</v>
      </c>
      <c r="P93" s="4">
        <v>0.75</v>
      </c>
      <c r="Q93" s="2">
        <v>0.009535485830641122</v>
      </c>
      <c r="R93" s="2">
        <v>0.019438310578642426</v>
      </c>
      <c r="S93" s="2">
        <v>0.008207584790372202</v>
      </c>
      <c r="T93" s="2">
        <v>1.0</v>
      </c>
      <c r="U93" s="2">
        <v>1.0</v>
      </c>
      <c r="V93" s="2">
        <v>1.0</v>
      </c>
    </row>
    <row r="94" ht="14.25" customHeight="1">
      <c r="A94" s="2" t="s">
        <v>113</v>
      </c>
      <c r="B94" s="3">
        <v>58477.4549</v>
      </c>
      <c r="C94" s="3">
        <v>62014.9051</v>
      </c>
      <c r="D94" s="3">
        <v>72645.996</v>
      </c>
      <c r="E94" s="2">
        <v>0.3836</v>
      </c>
      <c r="F94" s="2">
        <v>0.3802</v>
      </c>
      <c r="G94" s="2">
        <v>0.4183</v>
      </c>
      <c r="H94" s="2">
        <v>0.74477</v>
      </c>
      <c r="I94" s="2">
        <v>0.73607</v>
      </c>
      <c r="J94" s="2">
        <v>0.73607</v>
      </c>
      <c r="K94" s="3">
        <v>0.992</v>
      </c>
      <c r="L94" s="3">
        <v>0.993</v>
      </c>
      <c r="M94" s="3">
        <v>0.993</v>
      </c>
      <c r="N94" s="4">
        <v>0.182</v>
      </c>
      <c r="O94" s="4">
        <v>0.318</v>
      </c>
      <c r="P94" s="4">
        <v>0.53</v>
      </c>
      <c r="Q94" s="2">
        <v>0.004317492743244111</v>
      </c>
      <c r="R94" s="2">
        <v>0.010126850181824132</v>
      </c>
      <c r="S94" s="2">
        <v>0.0067677227337636925</v>
      </c>
      <c r="T94" s="2">
        <v>1.0</v>
      </c>
      <c r="U94" s="2">
        <v>1.0</v>
      </c>
      <c r="V94" s="2">
        <v>1.0</v>
      </c>
    </row>
    <row r="95" ht="14.25" customHeight="1">
      <c r="A95" s="2" t="s">
        <v>114</v>
      </c>
      <c r="B95" s="3">
        <v>13085.1598</v>
      </c>
      <c r="C95" s="3">
        <v>11943.8735</v>
      </c>
      <c r="D95" s="3">
        <v>12692.729</v>
      </c>
      <c r="E95" s="2">
        <v>0.6178</v>
      </c>
      <c r="F95" s="2">
        <v>0.6178</v>
      </c>
      <c r="G95" s="2">
        <v>0.6382</v>
      </c>
      <c r="H95" s="2">
        <v>0.46708</v>
      </c>
      <c r="I95" s="2">
        <v>0.556</v>
      </c>
      <c r="J95" s="2">
        <v>0.556</v>
      </c>
      <c r="K95" s="3">
        <v>0.081</v>
      </c>
      <c r="L95" s="3">
        <v>0.092</v>
      </c>
      <c r="M95" s="3">
        <v>0.094</v>
      </c>
      <c r="N95" s="4">
        <v>0.17600000000000002</v>
      </c>
      <c r="O95" s="4">
        <v>0.179</v>
      </c>
      <c r="P95" s="4">
        <v>0.26</v>
      </c>
      <c r="Q95" s="2">
        <v>-0.008540705418533245</v>
      </c>
      <c r="R95" s="2">
        <v>0.002845552615693192</v>
      </c>
      <c r="S95" s="2">
        <v>-0.06624159549843278</v>
      </c>
      <c r="T95" s="2">
        <v>0.0</v>
      </c>
      <c r="U95" s="2">
        <v>0.0</v>
      </c>
      <c r="V95" s="2">
        <v>0.0</v>
      </c>
    </row>
    <row r="96" ht="14.25" customHeight="1">
      <c r="A96" s="2" t="s">
        <v>115</v>
      </c>
      <c r="B96" s="3">
        <v>7514.7009</v>
      </c>
      <c r="C96" s="3">
        <v>14449.1199</v>
      </c>
      <c r="D96" s="3">
        <v>17836.0995</v>
      </c>
      <c r="E96" s="2">
        <v>0.6687</v>
      </c>
      <c r="F96" s="2">
        <v>0.6613</v>
      </c>
      <c r="G96" s="2">
        <v>0.6469</v>
      </c>
      <c r="H96" s="2">
        <v>0.26791</v>
      </c>
      <c r="I96" s="2">
        <v>0.43856</v>
      </c>
      <c r="J96" s="2">
        <v>0.43856</v>
      </c>
      <c r="K96" s="3">
        <v>0.363</v>
      </c>
      <c r="L96" s="3">
        <v>0.429</v>
      </c>
      <c r="M96" s="3">
        <v>0.505</v>
      </c>
      <c r="N96" s="4">
        <v>0.131</v>
      </c>
      <c r="O96" s="4">
        <v>0.201</v>
      </c>
      <c r="P96" s="4">
        <v>0.5</v>
      </c>
      <c r="Q96" s="2">
        <v>0.04394238964779973</v>
      </c>
      <c r="R96" s="2">
        <v>0.010865430107020124</v>
      </c>
      <c r="S96" s="2">
        <v>0.012496379299358207</v>
      </c>
      <c r="T96" s="2">
        <v>0.0</v>
      </c>
      <c r="U96" s="2">
        <v>0.0</v>
      </c>
      <c r="V96" s="2">
        <v>0.0</v>
      </c>
    </row>
    <row r="97" ht="14.25" customHeight="1">
      <c r="A97" s="2" t="s">
        <v>116</v>
      </c>
      <c r="B97" s="3">
        <v>3667.5433</v>
      </c>
      <c r="C97" s="3">
        <v>2671.4184</v>
      </c>
      <c r="D97" s="3">
        <v>3183.8552</v>
      </c>
      <c r="E97" s="2">
        <v>0.5934</v>
      </c>
      <c r="F97" s="2">
        <v>0.5934</v>
      </c>
      <c r="G97" s="2">
        <v>0.616</v>
      </c>
      <c r="H97" s="2">
        <v>0.24663000000000002</v>
      </c>
      <c r="I97" s="2">
        <v>0.37533</v>
      </c>
      <c r="J97" s="2">
        <v>0.37533</v>
      </c>
      <c r="K97" s="3">
        <v>0.142</v>
      </c>
      <c r="L97" s="3">
        <v>0.141</v>
      </c>
      <c r="M97" s="3">
        <v>0.236</v>
      </c>
      <c r="N97" s="4">
        <v>0.022000000000000002</v>
      </c>
      <c r="O97" s="4">
        <v>0.032</v>
      </c>
      <c r="P97" s="4">
        <v>0.09</v>
      </c>
      <c r="Q97" s="2">
        <v>-0.023565570756343912</v>
      </c>
      <c r="R97" s="2">
        <v>0.01053321603435986</v>
      </c>
      <c r="S97" s="2">
        <v>0.02229906946845084</v>
      </c>
      <c r="T97" s="2">
        <v>0.0</v>
      </c>
      <c r="U97" s="2">
        <v>0.0</v>
      </c>
      <c r="V97" s="2">
        <v>0.0</v>
      </c>
    </row>
    <row r="98" ht="14.25" customHeight="1">
      <c r="A98" s="2" t="s">
        <v>117</v>
      </c>
      <c r="B98" s="3">
        <v>28955.0743</v>
      </c>
      <c r="C98" s="3">
        <v>19043.9577</v>
      </c>
      <c r="D98" s="3">
        <v>37876.0983</v>
      </c>
      <c r="E98" s="2">
        <v>0.682</v>
      </c>
      <c r="F98" s="2">
        <v>0.682</v>
      </c>
      <c r="G98" s="2">
        <v>0.6678</v>
      </c>
      <c r="H98" s="2">
        <v>0.52284</v>
      </c>
      <c r="I98" s="2">
        <v>0.54025</v>
      </c>
      <c r="J98" s="2">
        <v>0.54025</v>
      </c>
      <c r="K98" s="3">
        <v>0.87</v>
      </c>
      <c r="L98" s="3">
        <v>0.854</v>
      </c>
      <c r="M98" s="3">
        <v>0.854</v>
      </c>
      <c r="N98" s="4">
        <v>0.05</v>
      </c>
      <c r="O98" s="4">
        <v>0.077</v>
      </c>
      <c r="P98" s="4">
        <v>0.1521</v>
      </c>
      <c r="Q98" s="2">
        <v>-0.031143832235237978</v>
      </c>
      <c r="R98" s="2">
        <v>0.04899091284988333</v>
      </c>
      <c r="S98" s="2">
        <v>-0.01857365798446009</v>
      </c>
      <c r="T98" s="2">
        <v>0.0</v>
      </c>
      <c r="U98" s="2">
        <v>0.0</v>
      </c>
      <c r="V98" s="2">
        <v>0.0</v>
      </c>
    </row>
    <row r="99" ht="14.25" customHeight="1">
      <c r="A99" s="2" t="s">
        <v>118</v>
      </c>
      <c r="B99" s="3">
        <v>8777.0742</v>
      </c>
      <c r="C99" s="3">
        <v>9248.5741</v>
      </c>
      <c r="D99" s="3">
        <v>12812.3524</v>
      </c>
      <c r="E99" s="2">
        <v>0.6405</v>
      </c>
      <c r="F99" s="2">
        <v>0.6405</v>
      </c>
      <c r="G99" s="2">
        <v>0.6123</v>
      </c>
      <c r="H99" s="2">
        <v>0.50569</v>
      </c>
      <c r="I99" s="2">
        <v>0.66657</v>
      </c>
      <c r="J99" s="2">
        <v>0.66657</v>
      </c>
      <c r="K99" s="3">
        <v>0.531</v>
      </c>
      <c r="L99" s="3">
        <v>0.153</v>
      </c>
      <c r="M99" s="3">
        <v>0.197</v>
      </c>
      <c r="N99" s="4">
        <v>0.051</v>
      </c>
      <c r="O99" s="4">
        <v>0.129</v>
      </c>
      <c r="P99" s="4">
        <v>0.36</v>
      </c>
      <c r="Q99" s="2">
        <v>0.0042215665821088155</v>
      </c>
      <c r="R99" s="2">
        <v>0.022242735294698113</v>
      </c>
      <c r="S99" s="2">
        <v>0.00967396450454383</v>
      </c>
      <c r="T99" s="2">
        <v>0.0</v>
      </c>
      <c r="U99" s="2">
        <v>0.0</v>
      </c>
      <c r="V99" s="2">
        <v>0.0</v>
      </c>
    </row>
    <row r="100" ht="14.25" customHeight="1">
      <c r="A100" s="2" t="s">
        <v>119</v>
      </c>
      <c r="B100" s="3">
        <v>13863.5298</v>
      </c>
      <c r="C100" s="3">
        <v>17658.1172</v>
      </c>
      <c r="D100" s="3">
        <v>22984.5653</v>
      </c>
      <c r="E100" s="2">
        <v>0.6607</v>
      </c>
      <c r="F100" s="2">
        <v>0.6172</v>
      </c>
      <c r="G100" s="2">
        <v>0.5677</v>
      </c>
      <c r="H100" s="2">
        <v>0.4378</v>
      </c>
      <c r="I100" s="2">
        <v>0.70825</v>
      </c>
      <c r="J100" s="2">
        <v>0.70825</v>
      </c>
      <c r="K100" s="3">
        <v>0.612</v>
      </c>
      <c r="L100" s="3">
        <v>0.659</v>
      </c>
      <c r="M100" s="3">
        <v>0.535</v>
      </c>
      <c r="N100" s="4">
        <v>0.061</v>
      </c>
      <c r="O100" s="4">
        <v>0.182</v>
      </c>
      <c r="P100" s="4">
        <v>0.56</v>
      </c>
      <c r="Q100" s="2">
        <v>0.01429986521206339</v>
      </c>
      <c r="R100" s="2">
        <v>0.0145448319366841</v>
      </c>
      <c r="S100" s="2">
        <v>0.02880705764340208</v>
      </c>
      <c r="T100" s="2">
        <v>1.0</v>
      </c>
      <c r="U100" s="2">
        <v>1.0</v>
      </c>
      <c r="V100" s="2">
        <v>1.0</v>
      </c>
    </row>
    <row r="101" ht="14.25" customHeight="1">
      <c r="A101" s="2" t="s">
        <v>120</v>
      </c>
      <c r="B101" s="3">
        <v>1636.9578</v>
      </c>
      <c r="C101" s="3">
        <v>2314.8675</v>
      </c>
      <c r="D101" s="3">
        <v>4928.7855</v>
      </c>
      <c r="E101" s="2">
        <v>0.6096</v>
      </c>
      <c r="F101" s="2">
        <v>0.5807</v>
      </c>
      <c r="G101" s="2">
        <v>0.6129</v>
      </c>
      <c r="H101" s="2">
        <v>0.07534</v>
      </c>
      <c r="I101" s="2">
        <v>0.19383</v>
      </c>
      <c r="J101" s="2">
        <v>0.19383</v>
      </c>
      <c r="K101" s="3">
        <v>0.138</v>
      </c>
      <c r="L101" s="3">
        <v>0.522</v>
      </c>
      <c r="M101" s="3">
        <v>0.416</v>
      </c>
      <c r="N101" s="4">
        <v>0.005</v>
      </c>
      <c r="O101" s="4">
        <v>0.017</v>
      </c>
      <c r="P101" s="4">
        <v>0.04</v>
      </c>
      <c r="Q101" s="2">
        <v>0.019938198489710457</v>
      </c>
      <c r="R101" s="2">
        <v>0.044247952648189814</v>
      </c>
      <c r="S101" s="2">
        <v>0.0028898219295570016</v>
      </c>
      <c r="T101" s="2">
        <v>0.0</v>
      </c>
      <c r="U101" s="2">
        <v>0.0</v>
      </c>
      <c r="V101" s="2">
        <v>0.0</v>
      </c>
    </row>
    <row r="102" ht="14.25" customHeight="1">
      <c r="A102" s="2" t="s">
        <v>121</v>
      </c>
      <c r="B102" s="3">
        <v>29048.428</v>
      </c>
      <c r="C102" s="3">
        <v>37910.1633</v>
      </c>
      <c r="D102" s="3">
        <v>47647.1512</v>
      </c>
      <c r="E102" s="2">
        <v>0.3847</v>
      </c>
      <c r="F102" s="2">
        <v>0.455</v>
      </c>
      <c r="G102" s="2">
        <v>0.4532</v>
      </c>
      <c r="H102" s="2">
        <v>0.7848099999999999</v>
      </c>
      <c r="I102" s="2">
        <v>0.8130200000000001</v>
      </c>
      <c r="J102" s="2">
        <v>0.8130200000000001</v>
      </c>
      <c r="K102" s="3">
        <v>0.978</v>
      </c>
      <c r="L102" s="3">
        <v>0.981</v>
      </c>
      <c r="M102" s="3">
        <v>0.975</v>
      </c>
      <c r="N102" s="4">
        <v>0.201</v>
      </c>
      <c r="O102" s="4">
        <v>0.483</v>
      </c>
      <c r="P102" s="4">
        <v>0.61</v>
      </c>
      <c r="Q102" s="2">
        <v>0.018903200650433716</v>
      </c>
      <c r="R102" s="2">
        <v>0.015521109719128567</v>
      </c>
      <c r="S102" s="2">
        <v>0.0068409314235828855</v>
      </c>
      <c r="T102" s="2">
        <v>1.0</v>
      </c>
      <c r="U102" s="2">
        <v>1.0</v>
      </c>
      <c r="V102" s="2">
        <v>1.0</v>
      </c>
    </row>
    <row r="103" ht="14.25" customHeight="1">
      <c r="A103" s="2" t="s">
        <v>122</v>
      </c>
      <c r="B103" s="3">
        <v>15995.2579</v>
      </c>
      <c r="C103" s="3">
        <v>18334.018</v>
      </c>
      <c r="D103" s="3">
        <v>25336.3117</v>
      </c>
      <c r="E103" s="2">
        <v>0.5953</v>
      </c>
      <c r="F103" s="2">
        <v>0.5953</v>
      </c>
      <c r="G103" s="2">
        <v>0.5778</v>
      </c>
      <c r="H103" s="2">
        <v>0.85394</v>
      </c>
      <c r="I103" s="2">
        <v>0.94414</v>
      </c>
      <c r="J103" s="2">
        <v>0.94414</v>
      </c>
      <c r="K103" s="3">
        <v>0.32</v>
      </c>
      <c r="L103" s="3">
        <v>0.959</v>
      </c>
      <c r="M103" s="3">
        <v>0.963</v>
      </c>
      <c r="N103" s="4">
        <v>0.17300000000000001</v>
      </c>
      <c r="O103" s="4">
        <v>0.294</v>
      </c>
      <c r="P103" s="4">
        <v>0.63</v>
      </c>
      <c r="Q103" s="2">
        <v>0.01151847317546717</v>
      </c>
      <c r="R103" s="2">
        <v>0.018471628933875772</v>
      </c>
      <c r="S103" s="2">
        <v>0.015040981285161292</v>
      </c>
      <c r="T103" s="2">
        <v>0.0</v>
      </c>
      <c r="U103" s="2">
        <v>0.0</v>
      </c>
      <c r="V103" s="2">
        <v>0.0</v>
      </c>
    </row>
    <row r="104" ht="14.25" customHeight="1">
      <c r="A104" s="2" t="s">
        <v>123</v>
      </c>
      <c r="B104" s="3">
        <v>14036.6285</v>
      </c>
      <c r="C104" s="3">
        <v>10821.4951</v>
      </c>
      <c r="D104" s="3">
        <v>10384.0976</v>
      </c>
      <c r="E104" s="2">
        <v>0.682</v>
      </c>
      <c r="F104" s="2">
        <v>0.682</v>
      </c>
      <c r="G104" s="2">
        <v>0.6678</v>
      </c>
      <c r="H104" s="2">
        <v>0.79185</v>
      </c>
      <c r="I104" s="2">
        <v>0.88083</v>
      </c>
      <c r="J104" s="2">
        <v>0.88083</v>
      </c>
      <c r="K104" s="3">
        <v>0.565</v>
      </c>
      <c r="L104" s="3">
        <v>0.55</v>
      </c>
      <c r="M104" s="3">
        <v>0.056</v>
      </c>
      <c r="N104" s="4">
        <v>0.214</v>
      </c>
      <c r="O104" s="4">
        <v>0.32</v>
      </c>
      <c r="P104" s="4">
        <v>0.78</v>
      </c>
      <c r="Q104" s="2">
        <v>-0.019055459567460797</v>
      </c>
      <c r="R104" s="2">
        <v>-2.773359767705985E-4</v>
      </c>
      <c r="S104" s="2">
        <v>-0.07883483259788437</v>
      </c>
      <c r="T104" s="2">
        <v>0.0</v>
      </c>
      <c r="U104" s="2">
        <v>0.0</v>
      </c>
      <c r="V104" s="2">
        <v>0.0</v>
      </c>
    </row>
    <row r="105" ht="14.25" customHeight="1">
      <c r="A105" s="2" t="s">
        <v>124</v>
      </c>
      <c r="B105" s="3">
        <v>4202.1759</v>
      </c>
      <c r="C105" s="3">
        <v>5491.8579</v>
      </c>
      <c r="D105" s="3">
        <v>6835.6296</v>
      </c>
      <c r="E105" s="2">
        <v>0.6564</v>
      </c>
      <c r="F105" s="2">
        <v>0.6564</v>
      </c>
      <c r="G105" s="2">
        <v>0.6842</v>
      </c>
      <c r="H105" s="2">
        <v>0.16534</v>
      </c>
      <c r="I105" s="2">
        <v>0.31776</v>
      </c>
      <c r="J105" s="2">
        <v>0.31776</v>
      </c>
      <c r="K105" s="3">
        <v>0.387</v>
      </c>
      <c r="L105" s="3">
        <v>0.126</v>
      </c>
      <c r="M105" s="3">
        <v>0.117</v>
      </c>
      <c r="N105" s="4">
        <v>0.012</v>
      </c>
      <c r="O105" s="4">
        <v>0.042</v>
      </c>
      <c r="P105" s="4">
        <v>0.11</v>
      </c>
      <c r="Q105" s="2">
        <v>0.010882870787911392</v>
      </c>
      <c r="R105" s="2">
        <v>0.016135406201720492</v>
      </c>
      <c r="S105" s="2">
        <v>-0.0869731493946011</v>
      </c>
      <c r="T105" s="2">
        <v>0.0</v>
      </c>
      <c r="U105" s="2">
        <v>0.0</v>
      </c>
      <c r="V105" s="2">
        <v>0.0</v>
      </c>
    </row>
    <row r="106" ht="14.25" customHeight="1">
      <c r="A106" s="2" t="s">
        <v>125</v>
      </c>
      <c r="B106" s="3">
        <v>5779.5547</v>
      </c>
      <c r="C106" s="3">
        <v>4158.2041</v>
      </c>
      <c r="D106" s="3">
        <v>5994.5601</v>
      </c>
      <c r="E106" s="2">
        <v>0.7169</v>
      </c>
      <c r="F106" s="2">
        <v>0.6557</v>
      </c>
      <c r="G106" s="2">
        <v>0.6781</v>
      </c>
      <c r="H106" s="2">
        <v>0.39815</v>
      </c>
      <c r="I106" s="2">
        <v>0.39354999999999996</v>
      </c>
      <c r="J106" s="2">
        <v>0.39354999999999996</v>
      </c>
      <c r="K106" s="3">
        <v>0.69</v>
      </c>
      <c r="L106" s="3">
        <v>0.604</v>
      </c>
      <c r="M106" s="3">
        <v>0.693</v>
      </c>
      <c r="N106" s="4">
        <v>0.016</v>
      </c>
      <c r="O106" s="4">
        <v>0.025</v>
      </c>
      <c r="P106" s="4">
        <v>0.0294</v>
      </c>
      <c r="Q106" s="2">
        <v>-0.023514485449515732</v>
      </c>
      <c r="R106" s="2">
        <v>0.022234427389223876</v>
      </c>
      <c r="S106" s="2">
        <v>0.0012107616999159632</v>
      </c>
      <c r="T106" s="2">
        <v>0.0</v>
      </c>
      <c r="U106" s="2">
        <v>0.0</v>
      </c>
      <c r="V106" s="2">
        <v>0.0</v>
      </c>
    </row>
    <row r="107" ht="14.25" customHeight="1">
      <c r="A107" s="2" t="s">
        <v>126</v>
      </c>
      <c r="B107" s="3">
        <v>2805.8921</v>
      </c>
      <c r="C107" s="3">
        <v>2892.056</v>
      </c>
      <c r="D107" s="3">
        <v>2855.3826</v>
      </c>
      <c r="E107" s="2">
        <v>0.6066</v>
      </c>
      <c r="F107" s="2">
        <v>0.6066</v>
      </c>
      <c r="G107" s="2">
        <v>0.6066</v>
      </c>
      <c r="H107" s="2">
        <v>0.22371</v>
      </c>
      <c r="I107" s="2">
        <v>0.33196</v>
      </c>
      <c r="J107" s="2">
        <v>0.33196</v>
      </c>
      <c r="K107" s="3">
        <v>0.639</v>
      </c>
      <c r="L107" s="3">
        <v>0.619</v>
      </c>
      <c r="M107" s="3">
        <v>0.317</v>
      </c>
      <c r="N107" s="4">
        <v>0.013000000000000001</v>
      </c>
      <c r="O107" s="4">
        <v>0.063</v>
      </c>
      <c r="P107" s="4">
        <v>0.06</v>
      </c>
      <c r="Q107" s="2">
        <v>0.003181834206598122</v>
      </c>
      <c r="R107" s="2">
        <v>-0.012713989446691554</v>
      </c>
      <c r="S107" s="2">
        <v>0.01769363796604262</v>
      </c>
      <c r="T107" s="2">
        <v>0.0</v>
      </c>
      <c r="U107" s="2">
        <v>0.0</v>
      </c>
      <c r="V107" s="2">
        <v>0.0</v>
      </c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6" t="s">
        <v>127</v>
      </c>
      <c r="B1" s="6" t="s">
        <v>128</v>
      </c>
      <c r="D1" s="7" t="s">
        <v>127</v>
      </c>
      <c r="E1" s="7" t="s">
        <v>129</v>
      </c>
      <c r="F1" s="7" t="s">
        <v>130</v>
      </c>
      <c r="G1" s="7" t="s">
        <v>131</v>
      </c>
    </row>
    <row r="2" ht="14.25" customHeight="1">
      <c r="A2" s="2" t="s">
        <v>132</v>
      </c>
      <c r="B2" s="2" t="s">
        <v>133</v>
      </c>
      <c r="D2" s="2" t="s">
        <v>132</v>
      </c>
      <c r="E2" s="2">
        <v>37.0</v>
      </c>
      <c r="F2" s="2">
        <f t="shared" ref="F2:F8" si="1">COUNTIF(A:A,D2)</f>
        <v>12</v>
      </c>
      <c r="G2" s="2">
        <f t="shared" ref="G2:G8" si="2">F2/E2</f>
        <v>0.3243243243</v>
      </c>
    </row>
    <row r="3" ht="14.25" customHeight="1">
      <c r="A3" s="2" t="s">
        <v>132</v>
      </c>
      <c r="B3" s="2" t="s">
        <v>134</v>
      </c>
      <c r="D3" s="2" t="s">
        <v>135</v>
      </c>
      <c r="E3" s="2">
        <v>58.0</v>
      </c>
      <c r="F3" s="2">
        <f t="shared" si="1"/>
        <v>28</v>
      </c>
      <c r="G3" s="2">
        <f t="shared" si="2"/>
        <v>0.4827586207</v>
      </c>
    </row>
    <row r="4" ht="14.25" customHeight="1">
      <c r="A4" s="2" t="s">
        <v>132</v>
      </c>
      <c r="B4" s="2" t="s">
        <v>136</v>
      </c>
      <c r="D4" s="2" t="s">
        <v>137</v>
      </c>
      <c r="E4" s="2">
        <v>42.0</v>
      </c>
      <c r="F4" s="2">
        <f t="shared" si="1"/>
        <v>23</v>
      </c>
      <c r="G4" s="2">
        <f t="shared" si="2"/>
        <v>0.5476190476</v>
      </c>
    </row>
    <row r="5" ht="14.25" customHeight="1">
      <c r="A5" s="2" t="s">
        <v>132</v>
      </c>
      <c r="B5" s="2" t="s">
        <v>136</v>
      </c>
      <c r="D5" s="2" t="s">
        <v>138</v>
      </c>
      <c r="E5" s="2">
        <v>23.0</v>
      </c>
      <c r="F5" s="2">
        <f t="shared" si="1"/>
        <v>14</v>
      </c>
      <c r="G5" s="2">
        <f t="shared" si="2"/>
        <v>0.6086956522</v>
      </c>
    </row>
    <row r="6" ht="14.25" customHeight="1">
      <c r="A6" s="2" t="s">
        <v>132</v>
      </c>
      <c r="B6" s="2" t="s">
        <v>133</v>
      </c>
      <c r="D6" s="2" t="s">
        <v>139</v>
      </c>
      <c r="E6" s="2">
        <v>3.0</v>
      </c>
      <c r="F6" s="2">
        <f t="shared" si="1"/>
        <v>1</v>
      </c>
      <c r="G6" s="2">
        <f t="shared" si="2"/>
        <v>0.3333333333</v>
      </c>
    </row>
    <row r="7" ht="14.25" customHeight="1">
      <c r="A7" s="2" t="s">
        <v>132</v>
      </c>
      <c r="B7" s="2" t="s">
        <v>136</v>
      </c>
      <c r="D7" s="2" t="s">
        <v>140</v>
      </c>
      <c r="E7" s="2">
        <v>6.0</v>
      </c>
      <c r="F7" s="2">
        <f t="shared" si="1"/>
        <v>4</v>
      </c>
      <c r="G7" s="2">
        <f t="shared" si="2"/>
        <v>0.6666666667</v>
      </c>
    </row>
    <row r="8" ht="14.25" customHeight="1">
      <c r="A8" s="2" t="s">
        <v>132</v>
      </c>
      <c r="B8" s="2" t="s">
        <v>133</v>
      </c>
      <c r="D8" s="2" t="s">
        <v>141</v>
      </c>
      <c r="E8" s="2">
        <v>48.0</v>
      </c>
      <c r="F8" s="2">
        <f t="shared" si="1"/>
        <v>23</v>
      </c>
      <c r="G8" s="2">
        <f t="shared" si="2"/>
        <v>0.4791666667</v>
      </c>
    </row>
    <row r="9" ht="14.25" customHeight="1">
      <c r="A9" s="2" t="s">
        <v>132</v>
      </c>
      <c r="B9" s="2" t="s">
        <v>136</v>
      </c>
      <c r="D9" s="7" t="s">
        <v>128</v>
      </c>
      <c r="E9" s="7" t="s">
        <v>129</v>
      </c>
      <c r="F9" s="7" t="s">
        <v>130</v>
      </c>
      <c r="G9" s="7" t="s">
        <v>131</v>
      </c>
    </row>
    <row r="10" ht="14.25" customHeight="1">
      <c r="A10" s="2" t="s">
        <v>132</v>
      </c>
      <c r="B10" s="2" t="s">
        <v>134</v>
      </c>
      <c r="D10" s="2" t="s">
        <v>133</v>
      </c>
      <c r="E10" s="2">
        <v>87.0</v>
      </c>
      <c r="F10" s="2">
        <f t="shared" ref="F10:F13" si="3">COUNTIF(B:B,D10)</f>
        <v>39</v>
      </c>
      <c r="G10" s="2">
        <f t="shared" ref="G10:G14" si="4">F10/E10</f>
        <v>0.4482758621</v>
      </c>
    </row>
    <row r="11" ht="14.25" customHeight="1">
      <c r="A11" s="2" t="s">
        <v>132</v>
      </c>
      <c r="B11" s="2" t="s">
        <v>133</v>
      </c>
      <c r="D11" s="2" t="s">
        <v>136</v>
      </c>
      <c r="E11" s="2">
        <v>55.0</v>
      </c>
      <c r="F11" s="2">
        <f t="shared" si="3"/>
        <v>25</v>
      </c>
      <c r="G11" s="2">
        <f t="shared" si="4"/>
        <v>0.4545454545</v>
      </c>
    </row>
    <row r="12" ht="14.25" customHeight="1">
      <c r="A12" s="2" t="s">
        <v>132</v>
      </c>
      <c r="B12" s="2" t="s">
        <v>134</v>
      </c>
      <c r="D12" s="2" t="s">
        <v>134</v>
      </c>
      <c r="E12" s="2">
        <v>50.0</v>
      </c>
      <c r="F12" s="2">
        <f t="shared" si="3"/>
        <v>27</v>
      </c>
      <c r="G12" s="2">
        <f t="shared" si="4"/>
        <v>0.54</v>
      </c>
    </row>
    <row r="13" ht="14.25" customHeight="1">
      <c r="A13" s="2" t="s">
        <v>132</v>
      </c>
      <c r="B13" s="2" t="s">
        <v>136</v>
      </c>
      <c r="D13" s="2" t="s">
        <v>142</v>
      </c>
      <c r="E13" s="2">
        <v>25.0</v>
      </c>
      <c r="F13" s="2">
        <f t="shared" si="3"/>
        <v>14</v>
      </c>
      <c r="G13" s="2">
        <f t="shared" si="4"/>
        <v>0.56</v>
      </c>
    </row>
    <row r="14" ht="14.25" customHeight="1">
      <c r="A14" s="2" t="s">
        <v>135</v>
      </c>
      <c r="B14" s="2" t="s">
        <v>136</v>
      </c>
      <c r="D14" s="8" t="s">
        <v>129</v>
      </c>
      <c r="E14" s="8">
        <f t="shared" ref="E14:F14" si="5">SUM(E2:E8)</f>
        <v>217</v>
      </c>
      <c r="F14" s="8">
        <f t="shared" si="5"/>
        <v>105</v>
      </c>
      <c r="G14" s="8">
        <f t="shared" si="4"/>
        <v>0.4838709677</v>
      </c>
    </row>
    <row r="15" ht="14.25" customHeight="1">
      <c r="A15" s="2" t="s">
        <v>135</v>
      </c>
      <c r="B15" s="2" t="s">
        <v>133</v>
      </c>
    </row>
    <row r="16" ht="14.25" customHeight="1">
      <c r="A16" s="2" t="s">
        <v>135</v>
      </c>
      <c r="B16" s="2" t="s">
        <v>133</v>
      </c>
    </row>
    <row r="17" ht="14.25" customHeight="1">
      <c r="A17" s="2" t="s">
        <v>135</v>
      </c>
      <c r="B17" s="2" t="s">
        <v>133</v>
      </c>
    </row>
    <row r="18" ht="14.25" customHeight="1">
      <c r="A18" s="2" t="s">
        <v>135</v>
      </c>
      <c r="B18" s="2" t="s">
        <v>133</v>
      </c>
    </row>
    <row r="19" ht="14.25" customHeight="1">
      <c r="A19" s="2" t="s">
        <v>135</v>
      </c>
      <c r="B19" s="2" t="s">
        <v>133</v>
      </c>
    </row>
    <row r="20" ht="14.25" customHeight="1">
      <c r="A20" s="2" t="s">
        <v>135</v>
      </c>
      <c r="B20" s="2" t="s">
        <v>133</v>
      </c>
    </row>
    <row r="21" ht="14.25" customHeight="1">
      <c r="A21" s="2" t="s">
        <v>135</v>
      </c>
      <c r="B21" s="2" t="s">
        <v>133</v>
      </c>
    </row>
    <row r="22" ht="14.25" customHeight="1">
      <c r="A22" s="2" t="s">
        <v>135</v>
      </c>
      <c r="B22" s="2" t="s">
        <v>133</v>
      </c>
    </row>
    <row r="23" ht="14.25" customHeight="1">
      <c r="A23" s="2" t="s">
        <v>135</v>
      </c>
      <c r="B23" s="2" t="s">
        <v>133</v>
      </c>
    </row>
    <row r="24" ht="14.25" customHeight="1">
      <c r="A24" s="2" t="s">
        <v>135</v>
      </c>
      <c r="B24" s="2" t="s">
        <v>133</v>
      </c>
    </row>
    <row r="25" ht="14.25" customHeight="1">
      <c r="A25" s="2" t="s">
        <v>135</v>
      </c>
      <c r="B25" s="2" t="s">
        <v>133</v>
      </c>
    </row>
    <row r="26" ht="14.25" customHeight="1">
      <c r="A26" s="2" t="s">
        <v>135</v>
      </c>
      <c r="B26" s="2" t="s">
        <v>133</v>
      </c>
    </row>
    <row r="27" ht="14.25" customHeight="1">
      <c r="A27" s="2" t="s">
        <v>135</v>
      </c>
      <c r="B27" s="2" t="s">
        <v>133</v>
      </c>
    </row>
    <row r="28" ht="14.25" customHeight="1">
      <c r="A28" s="2" t="s">
        <v>135</v>
      </c>
      <c r="B28" s="2" t="s">
        <v>133</v>
      </c>
    </row>
    <row r="29" ht="14.25" customHeight="1">
      <c r="A29" s="2" t="s">
        <v>135</v>
      </c>
      <c r="B29" s="2" t="s">
        <v>133</v>
      </c>
    </row>
    <row r="30" ht="14.25" customHeight="1">
      <c r="A30" s="2" t="s">
        <v>135</v>
      </c>
      <c r="B30" s="2" t="s">
        <v>133</v>
      </c>
    </row>
    <row r="31" ht="14.25" customHeight="1">
      <c r="A31" s="2" t="s">
        <v>135</v>
      </c>
      <c r="B31" s="2" t="s">
        <v>133</v>
      </c>
    </row>
    <row r="32" ht="14.25" customHeight="1">
      <c r="A32" s="2" t="s">
        <v>135</v>
      </c>
      <c r="B32" s="2" t="s">
        <v>133</v>
      </c>
    </row>
    <row r="33" ht="14.25" customHeight="1">
      <c r="A33" s="2" t="s">
        <v>135</v>
      </c>
      <c r="B33" s="2" t="s">
        <v>133</v>
      </c>
    </row>
    <row r="34" ht="14.25" customHeight="1">
      <c r="A34" s="2" t="s">
        <v>135</v>
      </c>
      <c r="B34" s="2" t="s">
        <v>133</v>
      </c>
    </row>
    <row r="35" ht="14.25" customHeight="1">
      <c r="A35" s="2" t="s">
        <v>135</v>
      </c>
      <c r="B35" s="2" t="s">
        <v>133</v>
      </c>
    </row>
    <row r="36" ht="14.25" customHeight="1">
      <c r="A36" s="2" t="s">
        <v>135</v>
      </c>
      <c r="B36" s="2" t="s">
        <v>136</v>
      </c>
    </row>
    <row r="37" ht="14.25" customHeight="1">
      <c r="A37" s="2" t="s">
        <v>135</v>
      </c>
      <c r="B37" s="2" t="s">
        <v>133</v>
      </c>
    </row>
    <row r="38" ht="14.25" customHeight="1">
      <c r="A38" s="2" t="s">
        <v>135</v>
      </c>
      <c r="B38" s="2" t="s">
        <v>133</v>
      </c>
    </row>
    <row r="39" ht="14.25" customHeight="1">
      <c r="A39" s="2" t="s">
        <v>135</v>
      </c>
      <c r="B39" s="2" t="s">
        <v>133</v>
      </c>
    </row>
    <row r="40" ht="14.25" customHeight="1">
      <c r="A40" s="2" t="s">
        <v>135</v>
      </c>
      <c r="B40" s="2" t="s">
        <v>136</v>
      </c>
    </row>
    <row r="41" ht="14.25" customHeight="1">
      <c r="A41" s="2" t="s">
        <v>135</v>
      </c>
      <c r="B41" s="2" t="s">
        <v>133</v>
      </c>
    </row>
    <row r="42" ht="14.25" customHeight="1">
      <c r="A42" s="2" t="s">
        <v>137</v>
      </c>
      <c r="B42" s="2" t="s">
        <v>136</v>
      </c>
    </row>
    <row r="43" ht="14.25" customHeight="1">
      <c r="A43" s="2" t="s">
        <v>137</v>
      </c>
      <c r="B43" s="2" t="s">
        <v>133</v>
      </c>
    </row>
    <row r="44" ht="14.25" customHeight="1">
      <c r="A44" s="2" t="s">
        <v>137</v>
      </c>
      <c r="B44" s="2" t="s">
        <v>134</v>
      </c>
    </row>
    <row r="45" ht="14.25" customHeight="1">
      <c r="A45" s="2" t="s">
        <v>137</v>
      </c>
      <c r="B45" s="2" t="s">
        <v>133</v>
      </c>
    </row>
    <row r="46" ht="14.25" customHeight="1">
      <c r="A46" s="2" t="s">
        <v>137</v>
      </c>
      <c r="B46" s="2" t="s">
        <v>136</v>
      </c>
    </row>
    <row r="47" ht="14.25" customHeight="1">
      <c r="A47" s="2" t="s">
        <v>137</v>
      </c>
      <c r="B47" s="2" t="s">
        <v>133</v>
      </c>
    </row>
    <row r="48" ht="14.25" customHeight="1">
      <c r="A48" s="2" t="s">
        <v>137</v>
      </c>
      <c r="B48" s="2" t="s">
        <v>136</v>
      </c>
    </row>
    <row r="49" ht="14.25" customHeight="1">
      <c r="A49" s="2" t="s">
        <v>137</v>
      </c>
      <c r="B49" s="2" t="s">
        <v>136</v>
      </c>
    </row>
    <row r="50" ht="14.25" customHeight="1">
      <c r="A50" s="2" t="s">
        <v>137</v>
      </c>
      <c r="B50" s="2" t="s">
        <v>136</v>
      </c>
    </row>
    <row r="51" ht="14.25" customHeight="1">
      <c r="A51" s="2" t="s">
        <v>137</v>
      </c>
      <c r="B51" s="2" t="s">
        <v>136</v>
      </c>
    </row>
    <row r="52" ht="14.25" customHeight="1">
      <c r="A52" s="2" t="s">
        <v>137</v>
      </c>
      <c r="B52" s="2" t="s">
        <v>136</v>
      </c>
    </row>
    <row r="53" ht="14.25" customHeight="1">
      <c r="A53" s="2" t="s">
        <v>137</v>
      </c>
      <c r="B53" s="2" t="s">
        <v>133</v>
      </c>
    </row>
    <row r="54" ht="14.25" customHeight="1">
      <c r="A54" s="2" t="s">
        <v>137</v>
      </c>
      <c r="B54" s="2" t="s">
        <v>134</v>
      </c>
    </row>
    <row r="55" ht="14.25" customHeight="1">
      <c r="A55" s="2" t="s">
        <v>137</v>
      </c>
      <c r="B55" s="2" t="s">
        <v>134</v>
      </c>
    </row>
    <row r="56" ht="14.25" customHeight="1">
      <c r="A56" s="2" t="s">
        <v>137</v>
      </c>
      <c r="B56" s="2" t="s">
        <v>136</v>
      </c>
    </row>
    <row r="57" ht="14.25" customHeight="1">
      <c r="A57" s="2" t="s">
        <v>137</v>
      </c>
      <c r="B57" s="2" t="s">
        <v>136</v>
      </c>
    </row>
    <row r="58" ht="14.25" customHeight="1">
      <c r="A58" s="2" t="s">
        <v>137</v>
      </c>
      <c r="B58" s="2" t="s">
        <v>134</v>
      </c>
    </row>
    <row r="59" ht="14.25" customHeight="1">
      <c r="A59" s="2" t="s">
        <v>137</v>
      </c>
      <c r="B59" s="2" t="s">
        <v>133</v>
      </c>
    </row>
    <row r="60" ht="14.25" customHeight="1">
      <c r="A60" s="2" t="s">
        <v>137</v>
      </c>
      <c r="B60" s="2" t="s">
        <v>136</v>
      </c>
    </row>
    <row r="61" ht="14.25" customHeight="1">
      <c r="A61" s="2" t="s">
        <v>137</v>
      </c>
      <c r="B61" s="2" t="s">
        <v>136</v>
      </c>
    </row>
    <row r="62" ht="14.25" customHeight="1">
      <c r="A62" s="2" t="s">
        <v>137</v>
      </c>
      <c r="B62" s="2" t="s">
        <v>133</v>
      </c>
    </row>
    <row r="63" ht="14.25" customHeight="1">
      <c r="A63" s="2" t="s">
        <v>137</v>
      </c>
      <c r="B63" s="2" t="s">
        <v>133</v>
      </c>
    </row>
    <row r="64" ht="14.25" customHeight="1">
      <c r="A64" s="2" t="s">
        <v>137</v>
      </c>
      <c r="B64" s="2" t="s">
        <v>134</v>
      </c>
    </row>
    <row r="65" ht="14.25" customHeight="1">
      <c r="A65" s="2" t="s">
        <v>138</v>
      </c>
      <c r="B65" s="2" t="s">
        <v>142</v>
      </c>
    </row>
    <row r="66" ht="14.25" customHeight="1">
      <c r="A66" s="2" t="s">
        <v>138</v>
      </c>
      <c r="B66" s="2" t="s">
        <v>136</v>
      </c>
    </row>
    <row r="67" ht="14.25" customHeight="1">
      <c r="A67" s="2" t="s">
        <v>138</v>
      </c>
      <c r="B67" s="2" t="s">
        <v>134</v>
      </c>
    </row>
    <row r="68" ht="14.25" customHeight="1">
      <c r="A68" s="2" t="s">
        <v>138</v>
      </c>
      <c r="B68" s="2" t="s">
        <v>136</v>
      </c>
    </row>
    <row r="69" ht="14.25" customHeight="1">
      <c r="A69" s="2" t="s">
        <v>138</v>
      </c>
      <c r="B69" s="2" t="s">
        <v>136</v>
      </c>
    </row>
    <row r="70" ht="14.25" customHeight="1">
      <c r="A70" s="2" t="s">
        <v>138</v>
      </c>
      <c r="B70" s="2" t="s">
        <v>134</v>
      </c>
    </row>
    <row r="71" ht="14.25" customHeight="1">
      <c r="A71" s="2" t="s">
        <v>138</v>
      </c>
      <c r="B71" s="2" t="s">
        <v>133</v>
      </c>
    </row>
    <row r="72" ht="14.25" customHeight="1">
      <c r="A72" s="2" t="s">
        <v>138</v>
      </c>
      <c r="B72" s="2" t="s">
        <v>136</v>
      </c>
    </row>
    <row r="73" ht="14.25" customHeight="1">
      <c r="A73" s="2" t="s">
        <v>138</v>
      </c>
      <c r="B73" s="2" t="s">
        <v>133</v>
      </c>
    </row>
    <row r="74" ht="14.25" customHeight="1">
      <c r="A74" s="2" t="s">
        <v>138</v>
      </c>
      <c r="B74" s="2" t="s">
        <v>134</v>
      </c>
    </row>
    <row r="75" ht="14.25" customHeight="1">
      <c r="A75" s="2" t="s">
        <v>138</v>
      </c>
      <c r="B75" s="2" t="s">
        <v>134</v>
      </c>
    </row>
    <row r="76" ht="14.25" customHeight="1">
      <c r="A76" s="2" t="s">
        <v>138</v>
      </c>
      <c r="B76" s="2" t="s">
        <v>142</v>
      </c>
    </row>
    <row r="77" ht="14.25" customHeight="1">
      <c r="A77" s="2" t="s">
        <v>138</v>
      </c>
      <c r="B77" s="2" t="s">
        <v>134</v>
      </c>
    </row>
    <row r="78" ht="14.25" customHeight="1">
      <c r="A78" s="2" t="s">
        <v>138</v>
      </c>
      <c r="B78" s="2" t="s">
        <v>142</v>
      </c>
    </row>
    <row r="79" ht="14.25" customHeight="1">
      <c r="A79" s="2" t="s">
        <v>139</v>
      </c>
      <c r="B79" s="2" t="s">
        <v>133</v>
      </c>
    </row>
    <row r="80" ht="14.25" customHeight="1">
      <c r="A80" s="2" t="s">
        <v>140</v>
      </c>
      <c r="B80" s="2" t="s">
        <v>134</v>
      </c>
    </row>
    <row r="81" ht="14.25" customHeight="1">
      <c r="A81" s="2" t="s">
        <v>140</v>
      </c>
      <c r="B81" s="2" t="s">
        <v>134</v>
      </c>
    </row>
    <row r="82" ht="14.25" customHeight="1">
      <c r="A82" s="2" t="s">
        <v>140</v>
      </c>
      <c r="B82" s="2" t="s">
        <v>134</v>
      </c>
    </row>
    <row r="83" ht="14.25" customHeight="1">
      <c r="A83" s="2" t="s">
        <v>140</v>
      </c>
      <c r="B83" s="2" t="s">
        <v>134</v>
      </c>
    </row>
    <row r="84" ht="14.25" customHeight="1">
      <c r="A84" s="2" t="s">
        <v>141</v>
      </c>
      <c r="B84" s="2" t="s">
        <v>134</v>
      </c>
    </row>
    <row r="85" ht="14.25" customHeight="1">
      <c r="A85" s="2" t="s">
        <v>141</v>
      </c>
      <c r="B85" s="2" t="s">
        <v>134</v>
      </c>
    </row>
    <row r="86" ht="14.25" customHeight="1">
      <c r="A86" s="2" t="s">
        <v>141</v>
      </c>
      <c r="B86" s="2" t="s">
        <v>134</v>
      </c>
    </row>
    <row r="87" ht="14.25" customHeight="1">
      <c r="A87" s="2" t="s">
        <v>141</v>
      </c>
      <c r="B87" s="2" t="s">
        <v>142</v>
      </c>
    </row>
    <row r="88" ht="14.25" customHeight="1">
      <c r="A88" s="2" t="s">
        <v>141</v>
      </c>
      <c r="B88" s="2" t="s">
        <v>142</v>
      </c>
    </row>
    <row r="89" ht="14.25" customHeight="1">
      <c r="A89" s="2" t="s">
        <v>141</v>
      </c>
      <c r="B89" s="2" t="s">
        <v>134</v>
      </c>
    </row>
    <row r="90" ht="14.25" customHeight="1">
      <c r="A90" s="2" t="s">
        <v>141</v>
      </c>
      <c r="B90" s="2" t="s">
        <v>134</v>
      </c>
    </row>
    <row r="91" ht="14.25" customHeight="1">
      <c r="A91" s="2" t="s">
        <v>141</v>
      </c>
      <c r="B91" s="2" t="s">
        <v>134</v>
      </c>
    </row>
    <row r="92" ht="14.25" customHeight="1">
      <c r="A92" s="2" t="s">
        <v>141</v>
      </c>
      <c r="B92" s="2" t="s">
        <v>142</v>
      </c>
    </row>
    <row r="93" ht="14.25" customHeight="1">
      <c r="A93" s="2" t="s">
        <v>141</v>
      </c>
      <c r="B93" s="2" t="s">
        <v>142</v>
      </c>
    </row>
    <row r="94" ht="14.25" customHeight="1">
      <c r="A94" s="2" t="s">
        <v>141</v>
      </c>
      <c r="B94" s="2" t="s">
        <v>142</v>
      </c>
    </row>
    <row r="95" ht="14.25" customHeight="1">
      <c r="A95" s="2" t="s">
        <v>141</v>
      </c>
      <c r="B95" s="2" t="s">
        <v>136</v>
      </c>
    </row>
    <row r="96" ht="14.25" customHeight="1">
      <c r="A96" s="2" t="s">
        <v>141</v>
      </c>
      <c r="B96" s="2" t="s">
        <v>142</v>
      </c>
    </row>
    <row r="97" ht="14.25" customHeight="1">
      <c r="A97" s="2" t="s">
        <v>141</v>
      </c>
      <c r="B97" s="2" t="s">
        <v>142</v>
      </c>
    </row>
    <row r="98" ht="14.25" customHeight="1">
      <c r="A98" s="2" t="s">
        <v>141</v>
      </c>
      <c r="B98" s="2" t="s">
        <v>134</v>
      </c>
    </row>
    <row r="99" ht="14.25" customHeight="1">
      <c r="A99" s="2" t="s">
        <v>141</v>
      </c>
      <c r="B99" s="2" t="s">
        <v>142</v>
      </c>
    </row>
    <row r="100" ht="14.25" customHeight="1">
      <c r="A100" s="2" t="s">
        <v>141</v>
      </c>
      <c r="B100" s="2" t="s">
        <v>136</v>
      </c>
    </row>
    <row r="101" ht="14.25" customHeight="1">
      <c r="A101" s="2" t="s">
        <v>141</v>
      </c>
      <c r="B101" s="2" t="s">
        <v>142</v>
      </c>
    </row>
    <row r="102" ht="14.25" customHeight="1">
      <c r="A102" s="2" t="s">
        <v>141</v>
      </c>
      <c r="B102" s="2" t="s">
        <v>134</v>
      </c>
    </row>
    <row r="103" ht="14.25" customHeight="1">
      <c r="A103" s="2" t="s">
        <v>141</v>
      </c>
      <c r="B103" s="2" t="s">
        <v>142</v>
      </c>
    </row>
    <row r="104" ht="14.25" customHeight="1">
      <c r="A104" s="2" t="s">
        <v>141</v>
      </c>
      <c r="B104" s="2" t="s">
        <v>142</v>
      </c>
    </row>
    <row r="105" ht="14.25" customHeight="1">
      <c r="A105" s="2" t="s">
        <v>141</v>
      </c>
      <c r="B105" s="2" t="s">
        <v>134</v>
      </c>
    </row>
    <row r="106" ht="14.25" customHeight="1">
      <c r="A106" s="2" t="s">
        <v>141</v>
      </c>
      <c r="B106" s="2" t="s">
        <v>134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8.71"/>
  </cols>
  <sheetData>
    <row r="1" ht="14.25" customHeight="1">
      <c r="A1" s="1" t="s">
        <v>0</v>
      </c>
      <c r="B1" s="1">
        <v>1980.0</v>
      </c>
      <c r="C1" s="1">
        <f>1981</f>
        <v>1981</v>
      </c>
      <c r="D1" s="1">
        <f t="shared" ref="D1:AT1" si="1">C1+1</f>
        <v>1982</v>
      </c>
      <c r="E1" s="1">
        <f t="shared" si="1"/>
        <v>1983</v>
      </c>
      <c r="F1" s="1">
        <f t="shared" si="1"/>
        <v>1984</v>
      </c>
      <c r="G1" s="1">
        <f t="shared" si="1"/>
        <v>1985</v>
      </c>
      <c r="H1" s="1">
        <f t="shared" si="1"/>
        <v>1986</v>
      </c>
      <c r="I1" s="1">
        <f t="shared" si="1"/>
        <v>1987</v>
      </c>
      <c r="J1" s="1">
        <f t="shared" si="1"/>
        <v>1988</v>
      </c>
      <c r="K1" s="1">
        <f t="shared" si="1"/>
        <v>1989</v>
      </c>
      <c r="L1" s="1">
        <f t="shared" si="1"/>
        <v>1990</v>
      </c>
      <c r="M1" s="1">
        <f t="shared" si="1"/>
        <v>1991</v>
      </c>
      <c r="N1" s="1">
        <f t="shared" si="1"/>
        <v>1992</v>
      </c>
      <c r="O1" s="1">
        <f t="shared" si="1"/>
        <v>1993</v>
      </c>
      <c r="P1" s="1">
        <f t="shared" si="1"/>
        <v>1994</v>
      </c>
      <c r="Q1" s="1">
        <f t="shared" si="1"/>
        <v>1995</v>
      </c>
      <c r="R1" s="1">
        <f t="shared" si="1"/>
        <v>1996</v>
      </c>
      <c r="S1" s="1">
        <f t="shared" si="1"/>
        <v>1997</v>
      </c>
      <c r="T1" s="1">
        <f t="shared" si="1"/>
        <v>1998</v>
      </c>
      <c r="U1" s="1">
        <f t="shared" si="1"/>
        <v>1999</v>
      </c>
      <c r="V1" s="1">
        <f t="shared" si="1"/>
        <v>2000</v>
      </c>
      <c r="W1" s="1">
        <f t="shared" si="1"/>
        <v>2001</v>
      </c>
      <c r="X1" s="1">
        <f t="shared" si="1"/>
        <v>2002</v>
      </c>
      <c r="Y1" s="1">
        <f t="shared" si="1"/>
        <v>2003</v>
      </c>
      <c r="Z1" s="1">
        <f t="shared" si="1"/>
        <v>2004</v>
      </c>
      <c r="AA1" s="1">
        <f t="shared" si="1"/>
        <v>2005</v>
      </c>
      <c r="AB1" s="1">
        <f t="shared" si="1"/>
        <v>2006</v>
      </c>
      <c r="AC1" s="1">
        <f t="shared" si="1"/>
        <v>2007</v>
      </c>
      <c r="AD1" s="1">
        <f t="shared" si="1"/>
        <v>2008</v>
      </c>
      <c r="AE1" s="1">
        <f t="shared" si="1"/>
        <v>2009</v>
      </c>
      <c r="AF1" s="1">
        <f t="shared" si="1"/>
        <v>2010</v>
      </c>
      <c r="AG1" s="1">
        <f t="shared" si="1"/>
        <v>2011</v>
      </c>
      <c r="AH1" s="1">
        <f t="shared" si="1"/>
        <v>2012</v>
      </c>
      <c r="AI1" s="1">
        <f t="shared" si="1"/>
        <v>2013</v>
      </c>
      <c r="AJ1" s="1">
        <f t="shared" si="1"/>
        <v>2014</v>
      </c>
      <c r="AK1" s="1">
        <f t="shared" si="1"/>
        <v>2015</v>
      </c>
      <c r="AL1" s="1">
        <f t="shared" si="1"/>
        <v>2016</v>
      </c>
      <c r="AM1" s="1">
        <f t="shared" si="1"/>
        <v>2017</v>
      </c>
      <c r="AN1" s="1">
        <f t="shared" si="1"/>
        <v>2018</v>
      </c>
      <c r="AO1" s="1">
        <f t="shared" si="1"/>
        <v>2019</v>
      </c>
      <c r="AP1" s="1">
        <f t="shared" si="1"/>
        <v>2020</v>
      </c>
      <c r="AQ1" s="1">
        <f t="shared" si="1"/>
        <v>2021</v>
      </c>
      <c r="AR1" s="1">
        <f t="shared" si="1"/>
        <v>2022</v>
      </c>
      <c r="AS1" s="1">
        <f t="shared" si="1"/>
        <v>2023</v>
      </c>
      <c r="AT1" s="1">
        <f t="shared" si="1"/>
        <v>2024</v>
      </c>
      <c r="AU1" s="2" t="s">
        <v>143</v>
      </c>
      <c r="AV1" s="2" t="s">
        <v>144</v>
      </c>
      <c r="AW1" s="2" t="s">
        <v>145</v>
      </c>
      <c r="AX1" s="4" t="s">
        <v>16</v>
      </c>
      <c r="AY1" s="4" t="s">
        <v>17</v>
      </c>
      <c r="AZ1" s="4" t="s">
        <v>18</v>
      </c>
    </row>
    <row r="2" ht="14.25" customHeight="1">
      <c r="A2" s="2" t="s">
        <v>146</v>
      </c>
      <c r="B2" s="3">
        <v>6910.0819</v>
      </c>
      <c r="C2" s="3">
        <v>7734.9534</v>
      </c>
      <c r="D2" s="3">
        <v>8625.0751</v>
      </c>
      <c r="E2" s="3">
        <v>9102.8114</v>
      </c>
      <c r="F2" s="3">
        <v>9160.4458</v>
      </c>
      <c r="G2" s="3">
        <v>9086.4775</v>
      </c>
      <c r="H2" s="3">
        <v>9362.7501</v>
      </c>
      <c r="I2" s="3">
        <v>8740.7164</v>
      </c>
      <c r="J2" s="3">
        <v>7908.209</v>
      </c>
      <c r="K2" s="3">
        <v>7109.2151</v>
      </c>
      <c r="L2" s="3">
        <v>6766.8466</v>
      </c>
      <c r="M2" s="3">
        <v>6069.9285</v>
      </c>
      <c r="N2" s="3">
        <v>5541.8364</v>
      </c>
      <c r="O2" s="3">
        <v>3989.2715</v>
      </c>
      <c r="P2" s="3">
        <v>2694.798</v>
      </c>
      <c r="Q2" s="3">
        <v>3671.0844</v>
      </c>
      <c r="R2" s="3">
        <v>3515.4967</v>
      </c>
      <c r="S2" s="3">
        <v>3241.3633</v>
      </c>
      <c r="T2" s="3">
        <v>2992.8912</v>
      </c>
      <c r="U2" s="3">
        <v>2728.2713</v>
      </c>
      <c r="V2" s="3">
        <v>2578.4017</v>
      </c>
      <c r="W2" s="3">
        <v>2428.0791</v>
      </c>
      <c r="X2" s="3">
        <v>3345.1959</v>
      </c>
      <c r="Y2" s="3">
        <v>3756.7356</v>
      </c>
      <c r="Z2" s="3">
        <v>3726.4889</v>
      </c>
      <c r="AA2" s="3">
        <v>3870.2678</v>
      </c>
      <c r="AB2" s="3">
        <v>4020.5552</v>
      </c>
      <c r="AC2" s="3">
        <v>4834.3377</v>
      </c>
      <c r="AD2" s="3">
        <v>4632.26</v>
      </c>
      <c r="AE2" s="3">
        <v>4929.0544</v>
      </c>
      <c r="AF2" s="3">
        <v>5012.8533</v>
      </c>
      <c r="AG2" s="3">
        <v>5122.706</v>
      </c>
      <c r="AH2" s="3">
        <v>5352.1412</v>
      </c>
      <c r="AI2" s="3">
        <v>5455.6566</v>
      </c>
      <c r="AJ2" s="3">
        <v>5362.7872</v>
      </c>
      <c r="AK2" s="3">
        <v>5064.0196</v>
      </c>
      <c r="AL2" s="3">
        <v>4963.8515</v>
      </c>
      <c r="AM2" s="3">
        <v>4872.5727</v>
      </c>
      <c r="AN2" s="3">
        <v>4765.106</v>
      </c>
      <c r="AO2" s="3">
        <v>4977.12</v>
      </c>
      <c r="AP2" s="3">
        <v>4792.6497</v>
      </c>
      <c r="AQ2" s="3">
        <v>3829.662</v>
      </c>
      <c r="AR2" s="3">
        <v>3279.2661</v>
      </c>
      <c r="AS2" s="3">
        <v>3343.6757</v>
      </c>
      <c r="AT2" s="3">
        <v>3621.2671</v>
      </c>
      <c r="AU2" s="3">
        <f t="shared" ref="AU2:AU262" si="2">AVERAGE(B2:P2)</f>
        <v>7253.561113</v>
      </c>
      <c r="AV2" s="3">
        <f t="shared" ref="AV2:AV262" si="3">AVERAGE(R2:AE2)</f>
        <v>3614.242771</v>
      </c>
      <c r="AW2" s="3">
        <f t="shared" ref="AW2:AW262" si="4">AVERAGE(AF2:AT2)</f>
        <v>4654.355647</v>
      </c>
      <c r="AX2" s="4">
        <f t="shared" ref="AX2:AX262" si="5">(P2/B2)^(1/14)-1</f>
        <v>-0.06504913606</v>
      </c>
      <c r="AY2" s="4">
        <f t="shared" ref="AY2:AY262" si="6">(AE2/Q2)^(1/14)-1</f>
        <v>0.02127020114</v>
      </c>
      <c r="AZ2" s="4">
        <f t="shared" ref="AZ2:AZ262" si="7">(AT2/AG2)^(1/14)-1</f>
        <v>-0.02447123333</v>
      </c>
    </row>
    <row r="3" ht="14.25" customHeight="1">
      <c r="A3" s="2" t="s">
        <v>147</v>
      </c>
      <c r="B3" s="3">
        <v>8391.2832</v>
      </c>
      <c r="C3" s="3">
        <v>8591.7306</v>
      </c>
      <c r="D3" s="3">
        <v>8577.9303</v>
      </c>
      <c r="E3" s="3">
        <v>8407.474</v>
      </c>
      <c r="F3" s="3">
        <v>8049.7378</v>
      </c>
      <c r="G3" s="3">
        <v>7961.062</v>
      </c>
      <c r="H3" s="3">
        <v>8181.7016</v>
      </c>
      <c r="I3" s="3">
        <v>7894.9035</v>
      </c>
      <c r="J3" s="3">
        <v>7566.1661</v>
      </c>
      <c r="K3" s="3">
        <v>8118.2853</v>
      </c>
      <c r="L3" s="3">
        <v>7254.7365</v>
      </c>
      <c r="M3" s="3">
        <v>5166.7321</v>
      </c>
      <c r="N3" s="3">
        <v>4749.6576</v>
      </c>
      <c r="O3" s="3">
        <v>5168.7216</v>
      </c>
      <c r="P3" s="3">
        <v>5573.8288</v>
      </c>
      <c r="Q3" s="3">
        <v>6298.9035</v>
      </c>
      <c r="R3" s="3">
        <v>6741.8751</v>
      </c>
      <c r="S3" s="3">
        <v>6013.9431</v>
      </c>
      <c r="T3" s="3">
        <v>6562.6602</v>
      </c>
      <c r="U3" s="3">
        <v>7421.6292</v>
      </c>
      <c r="V3" s="3">
        <v>7998.2169</v>
      </c>
      <c r="W3" s="3">
        <v>8622.468</v>
      </c>
      <c r="X3" s="3">
        <v>9001.8889</v>
      </c>
      <c r="Y3" s="3">
        <v>9419.0305</v>
      </c>
      <c r="Z3" s="3">
        <v>9846.5559</v>
      </c>
      <c r="AA3" s="3">
        <v>10336.2767</v>
      </c>
      <c r="AB3" s="3">
        <v>10917.2062</v>
      </c>
      <c r="AC3" s="3">
        <v>11524.3092</v>
      </c>
      <c r="AD3" s="3">
        <v>12396.2443</v>
      </c>
      <c r="AE3" s="3">
        <v>12761.1763</v>
      </c>
      <c r="AF3" s="3">
        <v>13144.9214</v>
      </c>
      <c r="AG3" s="3">
        <v>13459.662</v>
      </c>
      <c r="AH3" s="3">
        <v>13472.0161</v>
      </c>
      <c r="AI3" s="3">
        <v>13473.6669</v>
      </c>
      <c r="AJ3" s="3">
        <v>13610.7794</v>
      </c>
      <c r="AK3" s="3">
        <v>13781.3907</v>
      </c>
      <c r="AL3" s="3">
        <v>14087.0276</v>
      </c>
      <c r="AM3" s="3">
        <v>14480.1753</v>
      </c>
      <c r="AN3" s="3">
        <v>14921.6687</v>
      </c>
      <c r="AO3" s="3">
        <v>15156.5721</v>
      </c>
      <c r="AP3" s="3">
        <v>14579.0799</v>
      </c>
      <c r="AQ3" s="3">
        <v>15888.9033</v>
      </c>
      <c r="AR3" s="3">
        <v>16760.824</v>
      </c>
      <c r="AS3" s="3">
        <v>17480.0757</v>
      </c>
      <c r="AT3" s="3">
        <v>18304.576</v>
      </c>
      <c r="AU3" s="3">
        <f t="shared" si="2"/>
        <v>7310.2634</v>
      </c>
      <c r="AV3" s="3">
        <f t="shared" si="3"/>
        <v>9254.534321</v>
      </c>
      <c r="AW3" s="3">
        <f t="shared" si="4"/>
        <v>14840.08927</v>
      </c>
      <c r="AX3" s="4">
        <f t="shared" si="5"/>
        <v>-0.02879939069</v>
      </c>
      <c r="AY3" s="4">
        <f t="shared" si="6"/>
        <v>0.05172413333</v>
      </c>
      <c r="AZ3" s="4">
        <f t="shared" si="7"/>
        <v>0.0222039083</v>
      </c>
    </row>
    <row r="4" ht="14.25" customHeight="1">
      <c r="A4" s="2" t="s">
        <v>148</v>
      </c>
      <c r="B4" s="3">
        <v>19560.3061</v>
      </c>
      <c r="C4" s="3">
        <v>19401.0781</v>
      </c>
      <c r="D4" s="3">
        <v>19833.9018</v>
      </c>
      <c r="E4" s="3">
        <v>20047.9196</v>
      </c>
      <c r="F4" s="3">
        <v>20276.8184</v>
      </c>
      <c r="G4" s="3">
        <v>20125.4336</v>
      </c>
      <c r="H4" s="3">
        <v>19346.5071</v>
      </c>
      <c r="I4" s="3">
        <v>18438.2969</v>
      </c>
      <c r="J4" s="3">
        <v>17552.7935</v>
      </c>
      <c r="K4" s="3">
        <v>17641.9194</v>
      </c>
      <c r="L4" s="3">
        <v>17139.2521</v>
      </c>
      <c r="M4" s="3">
        <v>16329.7613</v>
      </c>
      <c r="N4" s="3">
        <v>16051.2095</v>
      </c>
      <c r="O4" s="3">
        <v>15185.8825</v>
      </c>
      <c r="P4" s="3">
        <v>14551.3901</v>
      </c>
      <c r="Q4" s="3">
        <v>14617.3462</v>
      </c>
      <c r="R4" s="3">
        <v>14733.3803</v>
      </c>
      <c r="S4" s="3">
        <v>14417.7163</v>
      </c>
      <c r="T4" s="3">
        <v>14649.8542</v>
      </c>
      <c r="U4" s="3">
        <v>14598.6284</v>
      </c>
      <c r="V4" s="3">
        <v>14627.4661</v>
      </c>
      <c r="W4" s="3">
        <v>14550.7575</v>
      </c>
      <c r="X4" s="3">
        <v>14850.6335</v>
      </c>
      <c r="Y4" s="3">
        <v>15399.2344</v>
      </c>
      <c r="Z4" s="3">
        <v>15548.3028</v>
      </c>
      <c r="AA4" s="3">
        <v>15957.4969</v>
      </c>
      <c r="AB4" s="3">
        <v>15746.3599</v>
      </c>
      <c r="AC4" s="3">
        <v>15808.5363</v>
      </c>
      <c r="AD4" s="3">
        <v>15725.1292</v>
      </c>
      <c r="AE4" s="3">
        <v>15534.6362</v>
      </c>
      <c r="AF4" s="3">
        <v>15671.8741</v>
      </c>
      <c r="AG4" s="3">
        <v>15728.855</v>
      </c>
      <c r="AH4" s="3">
        <v>15886.6957</v>
      </c>
      <c r="AI4" s="3">
        <v>15974.8925</v>
      </c>
      <c r="AJ4" s="3">
        <v>16241.7056</v>
      </c>
      <c r="AK4" s="3">
        <v>16517.6129</v>
      </c>
      <c r="AL4" s="3">
        <v>16732.2442</v>
      </c>
      <c r="AM4" s="3">
        <v>16655.1012</v>
      </c>
      <c r="AN4" s="3">
        <v>16600.833</v>
      </c>
      <c r="AO4" s="3">
        <v>16542.1302</v>
      </c>
      <c r="AP4" s="3">
        <v>15501.5622</v>
      </c>
      <c r="AQ4" s="3">
        <v>15827.7456</v>
      </c>
      <c r="AR4" s="3">
        <v>16101.2937</v>
      </c>
      <c r="AS4" s="3">
        <v>16528.8648</v>
      </c>
      <c r="AT4" s="3">
        <v>16548.3293</v>
      </c>
      <c r="AU4" s="3">
        <f t="shared" si="2"/>
        <v>18098.83133</v>
      </c>
      <c r="AV4" s="3">
        <f t="shared" si="3"/>
        <v>15153.438</v>
      </c>
      <c r="AW4" s="3">
        <f t="shared" si="4"/>
        <v>16203.98267</v>
      </c>
      <c r="AX4" s="4">
        <f t="shared" si="5"/>
        <v>-0.02090803086</v>
      </c>
      <c r="AY4" s="4">
        <f t="shared" si="6"/>
        <v>0.004356835323</v>
      </c>
      <c r="AZ4" s="4">
        <f t="shared" si="7"/>
        <v>0.0036343185</v>
      </c>
    </row>
    <row r="5" ht="14.25" customHeight="1">
      <c r="A5" s="2" t="s">
        <v>149</v>
      </c>
      <c r="B5" s="3">
        <v>65173.9953</v>
      </c>
      <c r="C5" s="3">
        <v>61176.9931</v>
      </c>
      <c r="D5" s="3">
        <v>58676.7289</v>
      </c>
      <c r="E5" s="3">
        <v>56860.9463</v>
      </c>
      <c r="F5" s="3">
        <v>55149.239</v>
      </c>
      <c r="G5" s="3">
        <v>53800.9564</v>
      </c>
      <c r="H5" s="3">
        <v>52754.1678</v>
      </c>
      <c r="I5" s="3">
        <v>53176.8405</v>
      </c>
      <c r="J5" s="3">
        <v>53407.9076</v>
      </c>
      <c r="K5" s="3">
        <v>54335.9767</v>
      </c>
      <c r="L5" s="3">
        <v>53942.7044</v>
      </c>
      <c r="M5" s="3">
        <v>50726.9929</v>
      </c>
      <c r="N5" s="3">
        <v>47642.9685</v>
      </c>
      <c r="O5" s="3">
        <v>44404.3404</v>
      </c>
      <c r="P5" s="3">
        <v>44199.6554</v>
      </c>
      <c r="Q5" s="3">
        <v>45753.4054</v>
      </c>
      <c r="R5" s="3">
        <v>46825.1229</v>
      </c>
      <c r="S5" s="3">
        <v>50359.0966</v>
      </c>
      <c r="T5" s="3">
        <v>51264.249</v>
      </c>
      <c r="U5" s="3">
        <v>52981.3222</v>
      </c>
      <c r="V5" s="3">
        <v>53534.5641</v>
      </c>
      <c r="W5" s="3">
        <v>57535.8142</v>
      </c>
      <c r="X5" s="3">
        <v>59311.3529</v>
      </c>
      <c r="Y5" s="3">
        <v>61419.9098</v>
      </c>
      <c r="Z5" s="3">
        <v>61947.9993</v>
      </c>
      <c r="AA5" s="3">
        <v>62742.9281</v>
      </c>
      <c r="AB5" s="3">
        <v>63945.4383</v>
      </c>
      <c r="AC5" s="3">
        <v>62973.5481</v>
      </c>
      <c r="AD5" s="3">
        <v>58209.2289</v>
      </c>
      <c r="AE5" s="3">
        <v>54748.5885</v>
      </c>
      <c r="AF5" s="3">
        <v>56132.3081</v>
      </c>
      <c r="AG5" s="3">
        <v>58584.615</v>
      </c>
      <c r="AH5" s="3">
        <v>56507.5825</v>
      </c>
      <c r="AI5" s="3">
        <v>55720.5906</v>
      </c>
      <c r="AJ5" s="3">
        <v>58284.0154</v>
      </c>
      <c r="AK5" s="3">
        <v>60407.5521</v>
      </c>
      <c r="AL5" s="3">
        <v>62596.2615</v>
      </c>
      <c r="AM5" s="3">
        <v>61094.1578</v>
      </c>
      <c r="AN5" s="3">
        <v>60464.3407</v>
      </c>
      <c r="AO5" s="3">
        <v>60109.9708</v>
      </c>
      <c r="AP5" s="3">
        <v>52425.2856</v>
      </c>
      <c r="AQ5" s="3">
        <v>55645.5804</v>
      </c>
      <c r="AR5" s="3">
        <v>59343.548</v>
      </c>
      <c r="AS5" s="3">
        <v>60508.9444</v>
      </c>
      <c r="AT5" s="3">
        <v>61492.2371</v>
      </c>
      <c r="AU5" s="3">
        <f t="shared" si="2"/>
        <v>53695.36088</v>
      </c>
      <c r="AV5" s="3">
        <f t="shared" si="3"/>
        <v>56985.65449</v>
      </c>
      <c r="AW5" s="3">
        <f t="shared" si="4"/>
        <v>58621.13267</v>
      </c>
      <c r="AX5" s="4">
        <f t="shared" si="5"/>
        <v>-0.02735763661</v>
      </c>
      <c r="AY5" s="4">
        <f t="shared" si="6"/>
        <v>0.01290291655</v>
      </c>
      <c r="AZ5" s="4">
        <f t="shared" si="7"/>
        <v>0.003465908231</v>
      </c>
    </row>
    <row r="6" ht="14.25" customHeight="1">
      <c r="A6" s="2" t="s">
        <v>150</v>
      </c>
      <c r="B6" s="3">
        <v>14141.6264</v>
      </c>
      <c r="C6" s="3">
        <v>12991.3075</v>
      </c>
      <c r="D6" s="3">
        <v>12473.5355</v>
      </c>
      <c r="E6" s="3">
        <v>12483.9014</v>
      </c>
      <c r="F6" s="3">
        <v>12730.1207</v>
      </c>
      <c r="G6" s="3">
        <v>12682.3429</v>
      </c>
      <c r="H6" s="3">
        <v>12629.2342</v>
      </c>
      <c r="I6" s="3">
        <v>13076.6342</v>
      </c>
      <c r="J6" s="3">
        <v>13362.8738</v>
      </c>
      <c r="K6" s="3">
        <v>12984.3691</v>
      </c>
      <c r="L6" s="3">
        <v>12517.1127</v>
      </c>
      <c r="M6" s="3">
        <v>12257.4961</v>
      </c>
      <c r="N6" s="3">
        <v>11210.2953</v>
      </c>
      <c r="O6" s="3">
        <v>8285.7193</v>
      </c>
      <c r="P6" s="3">
        <v>8162.0732</v>
      </c>
      <c r="Q6" s="3">
        <v>9099.026</v>
      </c>
      <c r="R6" s="3">
        <v>9995.1469</v>
      </c>
      <c r="S6" s="3">
        <v>10374.11</v>
      </c>
      <c r="T6" s="3">
        <v>10511.6474</v>
      </c>
      <c r="U6" s="3">
        <v>10398.2711</v>
      </c>
      <c r="V6" s="3">
        <v>10375.0296</v>
      </c>
      <c r="W6" s="3">
        <v>10353.3339</v>
      </c>
      <c r="X6" s="3">
        <v>11460.1447</v>
      </c>
      <c r="Y6" s="3">
        <v>11389.797</v>
      </c>
      <c r="Z6" s="3">
        <v>12179.9383</v>
      </c>
      <c r="AA6" s="3">
        <v>13496.8166</v>
      </c>
      <c r="AB6" s="3">
        <v>14513.9131</v>
      </c>
      <c r="AC6" s="3">
        <v>15922.1246</v>
      </c>
      <c r="AD6" s="3">
        <v>16942.0295</v>
      </c>
      <c r="AE6" s="3">
        <v>16436.0936</v>
      </c>
      <c r="AF6" s="3">
        <v>16566.1153</v>
      </c>
      <c r="AG6" s="3">
        <v>16473.4887</v>
      </c>
      <c r="AH6" s="3">
        <v>17193.1171</v>
      </c>
      <c r="AI6" s="3">
        <v>17343.5271</v>
      </c>
      <c r="AJ6" s="3">
        <v>17481.3909</v>
      </c>
      <c r="AK6" s="3">
        <v>16967.6924</v>
      </c>
      <c r="AL6" s="3">
        <v>15963.1485</v>
      </c>
      <c r="AM6" s="3">
        <v>15380.9354</v>
      </c>
      <c r="AN6" s="3">
        <v>14656.5926</v>
      </c>
      <c r="AO6" s="3">
        <v>14086.7257</v>
      </c>
      <c r="AP6" s="3">
        <v>12857.7762</v>
      </c>
      <c r="AQ6" s="3">
        <v>12651.2888</v>
      </c>
      <c r="AR6" s="3">
        <v>12553.9401</v>
      </c>
      <c r="AS6" s="3">
        <v>12346.5234</v>
      </c>
      <c r="AT6" s="3">
        <v>12498.2498</v>
      </c>
      <c r="AU6" s="3">
        <f t="shared" si="2"/>
        <v>12132.57615</v>
      </c>
      <c r="AV6" s="3">
        <f t="shared" si="3"/>
        <v>12453.45688</v>
      </c>
      <c r="AW6" s="3">
        <f t="shared" si="4"/>
        <v>15001.36747</v>
      </c>
      <c r="AX6" s="4">
        <f t="shared" si="5"/>
        <v>-0.03849824694</v>
      </c>
      <c r="AY6" s="4">
        <f t="shared" si="6"/>
        <v>0.04314125462</v>
      </c>
      <c r="AZ6" s="4">
        <f t="shared" si="7"/>
        <v>-0.01953269618</v>
      </c>
    </row>
    <row r="7" ht="14.25" customHeight="1">
      <c r="A7" s="2" t="s">
        <v>151</v>
      </c>
      <c r="B7" s="3">
        <v>63800.8897</v>
      </c>
      <c r="C7" s="3">
        <v>64754.496</v>
      </c>
      <c r="D7" s="3">
        <v>62881.5154</v>
      </c>
      <c r="E7" s="3">
        <v>61965.6788</v>
      </c>
      <c r="F7" s="3">
        <v>63019.1719</v>
      </c>
      <c r="G7" s="3">
        <v>67712.6003</v>
      </c>
      <c r="H7" s="3">
        <v>72305.8298</v>
      </c>
      <c r="I7" s="3">
        <v>75732.6736</v>
      </c>
      <c r="J7" s="3">
        <v>83024.614</v>
      </c>
      <c r="K7" s="3">
        <v>85386.7275</v>
      </c>
      <c r="L7" s="3">
        <v>101784.0731</v>
      </c>
      <c r="M7" s="3">
        <v>79540.4395</v>
      </c>
      <c r="N7" s="3">
        <v>98173.3754</v>
      </c>
      <c r="O7" s="3">
        <v>101550.9</v>
      </c>
      <c r="P7" s="3">
        <v>106068.6943</v>
      </c>
      <c r="Q7" s="3">
        <v>100343.3109</v>
      </c>
      <c r="R7" s="3">
        <v>99801.3213</v>
      </c>
      <c r="S7" s="3">
        <v>107302.2956</v>
      </c>
      <c r="T7" s="3">
        <v>115360.5547</v>
      </c>
      <c r="U7" s="3">
        <v>116504.2579</v>
      </c>
      <c r="V7" s="3">
        <v>114889.9425</v>
      </c>
      <c r="W7" s="3">
        <v>112616.0623</v>
      </c>
      <c r="X7" s="3">
        <v>104203.7255</v>
      </c>
      <c r="Y7" s="3">
        <v>107238.0975</v>
      </c>
      <c r="Z7" s="3">
        <v>118641.7302</v>
      </c>
      <c r="AA7" s="3">
        <v>128470.3779</v>
      </c>
      <c r="AB7" s="3">
        <v>147582.458</v>
      </c>
      <c r="AC7" s="3">
        <v>161718.0972</v>
      </c>
      <c r="AD7" s="3">
        <v>155791.8999</v>
      </c>
      <c r="AE7" s="3">
        <v>126216.267</v>
      </c>
      <c r="AF7" s="3">
        <v>117416.5569</v>
      </c>
      <c r="AG7" s="3">
        <v>118628.3079</v>
      </c>
      <c r="AH7" s="3">
        <v>115196.2618</v>
      </c>
      <c r="AI7" s="3">
        <v>115494.1532</v>
      </c>
      <c r="AJ7" s="3">
        <v>114234.2276</v>
      </c>
      <c r="AK7" s="3">
        <v>113611.8083</v>
      </c>
      <c r="AL7" s="3">
        <v>106970.3802</v>
      </c>
      <c r="AM7" s="3">
        <v>99278.9968</v>
      </c>
      <c r="AN7" s="3">
        <v>103601.0755</v>
      </c>
      <c r="AO7" s="3">
        <v>108916.1949</v>
      </c>
      <c r="AP7" s="3">
        <v>77023.0854</v>
      </c>
      <c r="AQ7" s="3">
        <v>87738.1239</v>
      </c>
      <c r="AR7" s="3">
        <v>112742.8977</v>
      </c>
      <c r="AS7" s="3">
        <v>112830.6107</v>
      </c>
      <c r="AT7" s="3">
        <v>113100.7211</v>
      </c>
      <c r="AU7" s="3">
        <f t="shared" si="2"/>
        <v>79180.11195</v>
      </c>
      <c r="AV7" s="3">
        <f t="shared" si="3"/>
        <v>122595.5063</v>
      </c>
      <c r="AW7" s="3">
        <f t="shared" si="4"/>
        <v>107785.5601</v>
      </c>
      <c r="AX7" s="4">
        <f t="shared" si="5"/>
        <v>0.03697576402</v>
      </c>
      <c r="AY7" s="4">
        <f t="shared" si="6"/>
        <v>0.01652065461</v>
      </c>
      <c r="AZ7" s="4">
        <f t="shared" si="7"/>
        <v>-0.003402511367</v>
      </c>
    </row>
    <row r="8" ht="14.25" customHeight="1">
      <c r="A8" s="2" t="s">
        <v>152</v>
      </c>
      <c r="B8" s="3">
        <v>14413.6259</v>
      </c>
      <c r="C8" s="3">
        <v>14716.981</v>
      </c>
      <c r="D8" s="3">
        <v>14427.6131</v>
      </c>
      <c r="E8" s="3">
        <v>15052.4603</v>
      </c>
      <c r="F8" s="3">
        <v>15935.5529</v>
      </c>
      <c r="G8" s="3">
        <v>17042.3699</v>
      </c>
      <c r="H8" s="3">
        <v>18455.1534</v>
      </c>
      <c r="I8" s="3">
        <v>20062.8283</v>
      </c>
      <c r="J8" s="3">
        <v>21641.9563</v>
      </c>
      <c r="K8" s="3">
        <v>22864.2486</v>
      </c>
      <c r="L8" s="3">
        <v>23675.9382</v>
      </c>
      <c r="M8" s="3">
        <v>24047.906</v>
      </c>
      <c r="N8" s="3">
        <v>23783.7223</v>
      </c>
      <c r="O8" s="3">
        <v>24448.9214</v>
      </c>
      <c r="P8" s="3">
        <v>25484.7647</v>
      </c>
      <c r="Q8" s="3">
        <v>23796.3859</v>
      </c>
      <c r="R8" s="3">
        <v>24739.9706</v>
      </c>
      <c r="S8" s="3">
        <v>25471.7076</v>
      </c>
      <c r="T8" s="3">
        <v>26093.836</v>
      </c>
      <c r="U8" s="3">
        <v>26479.1113</v>
      </c>
      <c r="V8" s="3">
        <v>26244.5835</v>
      </c>
      <c r="W8" s="3">
        <v>24951.8899</v>
      </c>
      <c r="X8" s="3">
        <v>25245.9441</v>
      </c>
      <c r="Y8" s="3">
        <v>26284.9354</v>
      </c>
      <c r="Z8" s="3">
        <v>27194.3212</v>
      </c>
      <c r="AA8" s="3">
        <v>28800.744</v>
      </c>
      <c r="AB8" s="3">
        <v>31837.7296</v>
      </c>
      <c r="AC8" s="3">
        <v>34875.4663</v>
      </c>
      <c r="AD8" s="3">
        <v>35194.5616</v>
      </c>
      <c r="AE8" s="3">
        <v>31122.8059</v>
      </c>
      <c r="AF8" s="3">
        <v>28725.7638</v>
      </c>
      <c r="AG8" s="3">
        <v>28254.7048</v>
      </c>
      <c r="AH8" s="3">
        <v>28679.7597</v>
      </c>
      <c r="AI8" s="3">
        <v>27979.6461</v>
      </c>
      <c r="AJ8" s="3">
        <v>28127.9252</v>
      </c>
      <c r="AK8" s="3">
        <v>28133.2554</v>
      </c>
      <c r="AL8" s="3">
        <v>28848.0717</v>
      </c>
      <c r="AM8" s="3">
        <v>29076.0173</v>
      </c>
      <c r="AN8" s="3">
        <v>30709.0195</v>
      </c>
      <c r="AO8" s="3">
        <v>31298.7376</v>
      </c>
      <c r="AP8" s="3">
        <v>25151.0025</v>
      </c>
      <c r="AQ8" s="3">
        <v>26738.8949</v>
      </c>
      <c r="AR8" s="3">
        <v>28982.9717</v>
      </c>
      <c r="AS8" s="3">
        <v>29853.9014</v>
      </c>
      <c r="AT8" s="3">
        <v>30858.6938</v>
      </c>
      <c r="AU8" s="3">
        <f t="shared" si="2"/>
        <v>19736.93615</v>
      </c>
      <c r="AV8" s="3">
        <f t="shared" si="3"/>
        <v>28181.25764</v>
      </c>
      <c r="AW8" s="3">
        <f t="shared" si="4"/>
        <v>28761.22436</v>
      </c>
      <c r="AX8" s="4">
        <f t="shared" si="5"/>
        <v>0.04154754292</v>
      </c>
      <c r="AY8" s="4">
        <f t="shared" si="6"/>
        <v>0.01935690053</v>
      </c>
      <c r="AZ8" s="4">
        <f t="shared" si="7"/>
        <v>0.006316906175</v>
      </c>
    </row>
    <row r="9" ht="14.25" customHeight="1">
      <c r="A9" s="2" t="s">
        <v>153</v>
      </c>
      <c r="B9" s="3">
        <v>27645.567</v>
      </c>
      <c r="C9" s="3">
        <v>25766.4187</v>
      </c>
      <c r="D9" s="3">
        <v>24579.169</v>
      </c>
      <c r="E9" s="3">
        <v>25198.7911</v>
      </c>
      <c r="F9" s="3">
        <v>25309.4393</v>
      </c>
      <c r="G9" s="3">
        <v>23192.1711</v>
      </c>
      <c r="H9" s="3">
        <v>24477.8259</v>
      </c>
      <c r="I9" s="3">
        <v>24722.4849</v>
      </c>
      <c r="J9" s="3">
        <v>23868.125</v>
      </c>
      <c r="K9" s="3">
        <v>21850.2105</v>
      </c>
      <c r="L9" s="3">
        <v>21226.4878</v>
      </c>
      <c r="M9" s="3">
        <v>23100.7298</v>
      </c>
      <c r="N9" s="3">
        <v>25099.3435</v>
      </c>
      <c r="O9" s="3">
        <v>26266.4118</v>
      </c>
      <c r="P9" s="3">
        <v>27366.7114</v>
      </c>
      <c r="Q9" s="3">
        <v>26162.7436</v>
      </c>
      <c r="R9" s="3">
        <v>27159.1773</v>
      </c>
      <c r="S9" s="3">
        <v>28870.8641</v>
      </c>
      <c r="T9" s="3">
        <v>29478.5367</v>
      </c>
      <c r="U9" s="3">
        <v>28008.6179</v>
      </c>
      <c r="V9" s="3">
        <v>27335.49</v>
      </c>
      <c r="W9" s="3">
        <v>25715.2624</v>
      </c>
      <c r="X9" s="3">
        <v>22558.8418</v>
      </c>
      <c r="Y9" s="3">
        <v>24187.3466</v>
      </c>
      <c r="Z9" s="3">
        <v>25988.8209</v>
      </c>
      <c r="AA9" s="3">
        <v>27880.483</v>
      </c>
      <c r="AB9" s="3">
        <v>29693.2113</v>
      </c>
      <c r="AC9" s="3">
        <v>31919.5226</v>
      </c>
      <c r="AD9" s="3">
        <v>32752.7687</v>
      </c>
      <c r="AE9" s="3">
        <v>30372.828</v>
      </c>
      <c r="AF9" s="3">
        <v>32968.9967</v>
      </c>
      <c r="AG9" s="3">
        <v>34442.93</v>
      </c>
      <c r="AH9" s="3">
        <v>33600.3868</v>
      </c>
      <c r="AI9" s="3">
        <v>33925.7924</v>
      </c>
      <c r="AJ9" s="3">
        <v>32608.1476</v>
      </c>
      <c r="AK9" s="3">
        <v>33030.8784</v>
      </c>
      <c r="AL9" s="3">
        <v>31917.525</v>
      </c>
      <c r="AM9" s="3">
        <v>32408.2438</v>
      </c>
      <c r="AN9" s="3">
        <v>31172.2098</v>
      </c>
      <c r="AO9" s="3">
        <v>30177.3862</v>
      </c>
      <c r="AP9" s="3">
        <v>26883.2792</v>
      </c>
      <c r="AQ9" s="3">
        <v>29484.4969</v>
      </c>
      <c r="AR9" s="3">
        <v>30667.1353</v>
      </c>
      <c r="AS9" s="3">
        <v>29861.7251</v>
      </c>
      <c r="AT9" s="3">
        <v>29028.8779</v>
      </c>
      <c r="AU9" s="3">
        <f t="shared" si="2"/>
        <v>24644.65912</v>
      </c>
      <c r="AV9" s="3">
        <f t="shared" si="3"/>
        <v>27994.41224</v>
      </c>
      <c r="AW9" s="3">
        <f t="shared" si="4"/>
        <v>31478.53407</v>
      </c>
      <c r="AX9" s="4">
        <f t="shared" si="5"/>
        <v>-0.000723882673</v>
      </c>
      <c r="AY9" s="4">
        <f t="shared" si="6"/>
        <v>0.01071499838</v>
      </c>
      <c r="AZ9" s="4">
        <f t="shared" si="7"/>
        <v>-0.0121408851</v>
      </c>
    </row>
    <row r="10" ht="14.25" customHeight="1">
      <c r="A10" s="2" t="s">
        <v>154</v>
      </c>
      <c r="B10" s="3">
        <v>8217.5935</v>
      </c>
      <c r="C10" s="3">
        <v>8112.1035</v>
      </c>
      <c r="D10" s="3">
        <v>8033.698</v>
      </c>
      <c r="E10" s="3">
        <v>7977.6237</v>
      </c>
      <c r="F10" s="3">
        <v>7931.0188</v>
      </c>
      <c r="G10" s="3">
        <v>7900.3186</v>
      </c>
      <c r="H10" s="3">
        <v>7890.8581</v>
      </c>
      <c r="I10" s="3">
        <v>7893.931</v>
      </c>
      <c r="J10" s="3">
        <v>7918.615</v>
      </c>
      <c r="K10" s="3">
        <v>7775.0121</v>
      </c>
      <c r="L10" s="3">
        <v>7587.7808</v>
      </c>
      <c r="M10" s="3">
        <v>6583.9352</v>
      </c>
      <c r="N10" s="3">
        <v>3902.1972</v>
      </c>
      <c r="O10" s="3">
        <v>3717.7959</v>
      </c>
      <c r="P10" s="3">
        <v>4045.4263</v>
      </c>
      <c r="Q10" s="3">
        <v>4410.0612</v>
      </c>
      <c r="R10" s="3">
        <v>4706.3215</v>
      </c>
      <c r="S10" s="3">
        <v>4900.8752</v>
      </c>
      <c r="T10" s="3">
        <v>5257.012</v>
      </c>
      <c r="U10" s="3">
        <v>5374.0034</v>
      </c>
      <c r="V10" s="3">
        <v>5627.6968</v>
      </c>
      <c r="W10" s="3">
        <v>6124.2584</v>
      </c>
      <c r="X10" s="3">
        <v>7017.3065</v>
      </c>
      <c r="Y10" s="3">
        <v>7952.7666</v>
      </c>
      <c r="Z10" s="3">
        <v>8728.9618</v>
      </c>
      <c r="AA10" s="3">
        <v>9871.7715</v>
      </c>
      <c r="AB10" s="3">
        <v>11099.3841</v>
      </c>
      <c r="AC10" s="3">
        <v>12548.2303</v>
      </c>
      <c r="AD10" s="3">
        <v>13352.7948</v>
      </c>
      <c r="AE10" s="3">
        <v>11418.9187</v>
      </c>
      <c r="AF10" s="3">
        <v>11627.5175</v>
      </c>
      <c r="AG10" s="3">
        <v>12094.6379</v>
      </c>
      <c r="AH10" s="3">
        <v>12873.2795</v>
      </c>
      <c r="AI10" s="3">
        <v>13239.6582</v>
      </c>
      <c r="AJ10" s="3">
        <v>13692.9801</v>
      </c>
      <c r="AK10" s="3">
        <v>14122.449</v>
      </c>
      <c r="AL10" s="3">
        <v>14141.5291</v>
      </c>
      <c r="AM10" s="3">
        <v>15285.9973</v>
      </c>
      <c r="AN10" s="3">
        <v>16055.9321</v>
      </c>
      <c r="AO10" s="3">
        <v>17261.6678</v>
      </c>
      <c r="AP10" s="3">
        <v>16069.8728</v>
      </c>
      <c r="AQ10" s="3">
        <v>17244.9724</v>
      </c>
      <c r="AR10" s="3">
        <v>19328.7236</v>
      </c>
      <c r="AS10" s="3">
        <v>20398.757</v>
      </c>
      <c r="AT10" s="3">
        <v>21529.1858</v>
      </c>
      <c r="AU10" s="3">
        <f t="shared" si="2"/>
        <v>7032.52718</v>
      </c>
      <c r="AV10" s="3">
        <f t="shared" si="3"/>
        <v>8141.450114</v>
      </c>
      <c r="AW10" s="3">
        <f t="shared" si="4"/>
        <v>15664.47734</v>
      </c>
      <c r="AX10" s="4">
        <f t="shared" si="5"/>
        <v>-0.04936086592</v>
      </c>
      <c r="AY10" s="4">
        <f t="shared" si="6"/>
        <v>0.07031813302</v>
      </c>
      <c r="AZ10" s="4">
        <f t="shared" si="7"/>
        <v>0.04204913007</v>
      </c>
    </row>
    <row r="11" ht="14.25" customHeight="1">
      <c r="A11" s="2" t="s">
        <v>155</v>
      </c>
      <c r="B11" s="3">
        <v>17270.0554</v>
      </c>
      <c r="C11" s="3">
        <v>18447.9213</v>
      </c>
      <c r="D11" s="3">
        <v>19671.9631</v>
      </c>
      <c r="E11" s="3">
        <v>20925.4907</v>
      </c>
      <c r="F11" s="3">
        <v>22324.374</v>
      </c>
      <c r="G11" s="3">
        <v>23840.1891</v>
      </c>
      <c r="H11" s="3">
        <v>25621.5285</v>
      </c>
      <c r="I11" s="3">
        <v>29335.7837</v>
      </c>
      <c r="J11" s="3">
        <v>34435.2161</v>
      </c>
      <c r="K11" s="3">
        <v>38312.9332</v>
      </c>
      <c r="L11" s="3">
        <v>39682.8869</v>
      </c>
      <c r="M11" s="3">
        <v>42903.5704</v>
      </c>
      <c r="N11" s="3">
        <v>44759.9141</v>
      </c>
      <c r="O11" s="3">
        <v>46413.2455</v>
      </c>
      <c r="P11" s="3">
        <v>48422.7335</v>
      </c>
      <c r="Q11" s="3">
        <v>47564.5589</v>
      </c>
      <c r="R11" s="3">
        <v>45925.2877</v>
      </c>
      <c r="S11" s="3">
        <v>47348.9532</v>
      </c>
      <c r="T11" s="3">
        <v>48420.1541</v>
      </c>
      <c r="U11" s="3">
        <v>47031.3861</v>
      </c>
      <c r="V11" s="3">
        <v>47655.9499</v>
      </c>
      <c r="W11" s="3">
        <v>45984.8157</v>
      </c>
      <c r="X11" s="3">
        <v>45318.729</v>
      </c>
      <c r="Y11" s="3">
        <v>44883.3703</v>
      </c>
      <c r="Z11" s="3">
        <v>47572.9546</v>
      </c>
      <c r="AA11" s="3">
        <v>47356.6408</v>
      </c>
      <c r="AB11" s="3">
        <v>47002.3555</v>
      </c>
      <c r="AC11" s="3">
        <v>47816.7312</v>
      </c>
      <c r="AD11" s="3">
        <v>46536.0948</v>
      </c>
      <c r="AE11" s="3">
        <v>41548.8401</v>
      </c>
      <c r="AF11" s="3">
        <v>39808.8213</v>
      </c>
      <c r="AG11" s="3">
        <v>39621.3359</v>
      </c>
      <c r="AH11" s="3">
        <v>38327.2462</v>
      </c>
      <c r="AI11" s="3">
        <v>40197.5995</v>
      </c>
      <c r="AJ11" s="3">
        <v>38977.5532</v>
      </c>
      <c r="AK11" s="3">
        <v>38298.9742</v>
      </c>
      <c r="AL11" s="3">
        <v>38521.256</v>
      </c>
      <c r="AM11" s="3">
        <v>40776.0379</v>
      </c>
      <c r="AN11" s="3">
        <v>41451.38</v>
      </c>
      <c r="AO11" s="3">
        <v>40262.9943</v>
      </c>
      <c r="AP11" s="3">
        <v>29656.9417</v>
      </c>
      <c r="AQ11" s="3">
        <v>36466.6035</v>
      </c>
      <c r="AR11" s="3">
        <v>39337.3513</v>
      </c>
      <c r="AS11" s="3">
        <v>40812.8067</v>
      </c>
      <c r="AT11" s="3">
        <v>43186.24</v>
      </c>
      <c r="AU11" s="3">
        <f t="shared" si="2"/>
        <v>31491.18703</v>
      </c>
      <c r="AV11" s="3">
        <f t="shared" si="3"/>
        <v>46457.3045</v>
      </c>
      <c r="AW11" s="3">
        <f t="shared" si="4"/>
        <v>39046.87611</v>
      </c>
      <c r="AX11" s="4">
        <f t="shared" si="5"/>
        <v>0.07642193923</v>
      </c>
      <c r="AY11" s="4">
        <f t="shared" si="6"/>
        <v>-0.009611958238</v>
      </c>
      <c r="AZ11" s="4">
        <f t="shared" si="7"/>
        <v>0.006172843059</v>
      </c>
    </row>
    <row r="12" ht="14.25" customHeight="1">
      <c r="A12" s="2" t="s">
        <v>156</v>
      </c>
      <c r="B12" s="3">
        <v>37281.5643</v>
      </c>
      <c r="C12" s="3">
        <v>37655.5478</v>
      </c>
      <c r="D12" s="3">
        <v>36914.0903</v>
      </c>
      <c r="E12" s="3">
        <v>36594.9796</v>
      </c>
      <c r="F12" s="3">
        <v>37647.5435</v>
      </c>
      <c r="G12" s="3">
        <v>38627.2973</v>
      </c>
      <c r="H12" s="3">
        <v>39094.632</v>
      </c>
      <c r="I12" s="3">
        <v>39932.2374</v>
      </c>
      <c r="J12" s="3">
        <v>40967.5391</v>
      </c>
      <c r="K12" s="3">
        <v>41591.9218</v>
      </c>
      <c r="L12" s="3">
        <v>41372.286</v>
      </c>
      <c r="M12" s="3">
        <v>40605.5138</v>
      </c>
      <c r="N12" s="3">
        <v>40823.8476</v>
      </c>
      <c r="O12" s="3">
        <v>41848.3965</v>
      </c>
      <c r="P12" s="3">
        <v>42907.711</v>
      </c>
      <c r="Q12" s="3">
        <v>43941.3733</v>
      </c>
      <c r="R12" s="3">
        <v>44985.5472</v>
      </c>
      <c r="S12" s="3">
        <v>46273.4661</v>
      </c>
      <c r="T12" s="3">
        <v>47876.8311</v>
      </c>
      <c r="U12" s="3">
        <v>49367.9915</v>
      </c>
      <c r="V12" s="3">
        <v>50143.2502</v>
      </c>
      <c r="W12" s="3">
        <v>50922.6557</v>
      </c>
      <c r="X12" s="3">
        <v>51944.5526</v>
      </c>
      <c r="Y12" s="3">
        <v>53071.0839</v>
      </c>
      <c r="Z12" s="3">
        <v>54222.4959</v>
      </c>
      <c r="AA12" s="3">
        <v>54975.8634</v>
      </c>
      <c r="AB12" s="3">
        <v>55818.2906</v>
      </c>
      <c r="AC12" s="3">
        <v>56745.8719</v>
      </c>
      <c r="AD12" s="3">
        <v>57028.3365</v>
      </c>
      <c r="AE12" s="3">
        <v>56942.9414</v>
      </c>
      <c r="AF12" s="3">
        <v>57165.9042</v>
      </c>
      <c r="AG12" s="3">
        <v>57928.9154</v>
      </c>
      <c r="AH12" s="3">
        <v>58724.4742</v>
      </c>
      <c r="AI12" s="3">
        <v>59193.3519</v>
      </c>
      <c r="AJ12" s="3">
        <v>59605.3316</v>
      </c>
      <c r="AK12" s="3">
        <v>60113.2664</v>
      </c>
      <c r="AL12" s="3">
        <v>60615.8971</v>
      </c>
      <c r="AM12" s="3">
        <v>61093.9364</v>
      </c>
      <c r="AN12" s="3">
        <v>61557.8958</v>
      </c>
      <c r="AO12" s="3">
        <v>61076.6741</v>
      </c>
      <c r="AP12" s="3">
        <v>60858.6296</v>
      </c>
      <c r="AQ12" s="3">
        <v>62200.698</v>
      </c>
      <c r="AR12" s="3">
        <v>63745.815</v>
      </c>
      <c r="AS12" s="3">
        <v>64560.8541</v>
      </c>
      <c r="AT12" s="3">
        <v>64518.0842</v>
      </c>
      <c r="AU12" s="3">
        <f t="shared" si="2"/>
        <v>39591.0072</v>
      </c>
      <c r="AV12" s="3">
        <f t="shared" si="3"/>
        <v>52165.65557</v>
      </c>
      <c r="AW12" s="3">
        <f t="shared" si="4"/>
        <v>60863.98187</v>
      </c>
      <c r="AX12" s="4">
        <f t="shared" si="5"/>
        <v>0.01009003625</v>
      </c>
      <c r="AY12" s="4">
        <f t="shared" si="6"/>
        <v>0.0186862588</v>
      </c>
      <c r="AZ12" s="4">
        <f t="shared" si="7"/>
        <v>0.007724603231</v>
      </c>
    </row>
    <row r="13" ht="14.25" customHeight="1">
      <c r="A13" s="2" t="s">
        <v>157</v>
      </c>
      <c r="B13" s="3">
        <v>38523.4918</v>
      </c>
      <c r="C13" s="3">
        <v>38142.4784</v>
      </c>
      <c r="D13" s="3">
        <v>38628.3544</v>
      </c>
      <c r="E13" s="3">
        <v>39537.2261</v>
      </c>
      <c r="F13" s="3">
        <v>39248.6673</v>
      </c>
      <c r="G13" s="3">
        <v>39904.1521</v>
      </c>
      <c r="H13" s="3">
        <v>40494.7041</v>
      </c>
      <c r="I13" s="3">
        <v>40726.0736</v>
      </c>
      <c r="J13" s="3">
        <v>41722.1754</v>
      </c>
      <c r="K13" s="3">
        <v>42893.7635</v>
      </c>
      <c r="L13" s="3">
        <v>44213.9692</v>
      </c>
      <c r="M13" s="3">
        <v>45145.6047</v>
      </c>
      <c r="N13" s="3">
        <v>45510.8513</v>
      </c>
      <c r="O13" s="3">
        <v>45325.1959</v>
      </c>
      <c r="P13" s="3">
        <v>46172.1203</v>
      </c>
      <c r="Q13" s="3">
        <v>47275.0439</v>
      </c>
      <c r="R13" s="3">
        <v>48285.3264</v>
      </c>
      <c r="S13" s="3">
        <v>49271.3524</v>
      </c>
      <c r="T13" s="3">
        <v>50899.3355</v>
      </c>
      <c r="U13" s="3">
        <v>52650.0005</v>
      </c>
      <c r="V13" s="3">
        <v>54078.8938</v>
      </c>
      <c r="W13" s="3">
        <v>54371.8375</v>
      </c>
      <c r="X13" s="3">
        <v>54725.5157</v>
      </c>
      <c r="Y13" s="3">
        <v>54917.6084</v>
      </c>
      <c r="Z13" s="3">
        <v>55837.5821</v>
      </c>
      <c r="AA13" s="3">
        <v>56571.1541</v>
      </c>
      <c r="AB13" s="3">
        <v>57932.4092</v>
      </c>
      <c r="AC13" s="3">
        <v>59728.3218</v>
      </c>
      <c r="AD13" s="3">
        <v>60217.4631</v>
      </c>
      <c r="AE13" s="3">
        <v>57686.0193</v>
      </c>
      <c r="AF13" s="3">
        <v>58345.7023</v>
      </c>
      <c r="AG13" s="3">
        <v>59517.477</v>
      </c>
      <c r="AH13" s="3">
        <v>59533.0571</v>
      </c>
      <c r="AI13" s="3">
        <v>58784.838</v>
      </c>
      <c r="AJ13" s="3">
        <v>58553.8416</v>
      </c>
      <c r="AK13" s="3">
        <v>58563.7308</v>
      </c>
      <c r="AL13" s="3">
        <v>59189.4547</v>
      </c>
      <c r="AM13" s="3">
        <v>59958.8517</v>
      </c>
      <c r="AN13" s="3">
        <v>61095.9209</v>
      </c>
      <c r="AO13" s="3">
        <v>61773.8896</v>
      </c>
      <c r="AP13" s="3">
        <v>57459.5944</v>
      </c>
      <c r="AQ13" s="3">
        <v>59718.9924</v>
      </c>
      <c r="AR13" s="3">
        <v>61849.831</v>
      </c>
      <c r="AS13" s="3">
        <v>61498.9517</v>
      </c>
      <c r="AT13" s="3">
        <v>60776.575</v>
      </c>
      <c r="AU13" s="3">
        <f t="shared" si="2"/>
        <v>41745.92187</v>
      </c>
      <c r="AV13" s="3">
        <f t="shared" si="3"/>
        <v>54798.05856</v>
      </c>
      <c r="AW13" s="3">
        <f t="shared" si="4"/>
        <v>59774.71388</v>
      </c>
      <c r="AX13" s="4">
        <f t="shared" si="5"/>
        <v>0.01302031618</v>
      </c>
      <c r="AY13" s="4">
        <f t="shared" si="6"/>
        <v>0.01431812929</v>
      </c>
      <c r="AZ13" s="4">
        <f t="shared" si="7"/>
        <v>0.001496435302</v>
      </c>
    </row>
    <row r="14" ht="14.25" customHeight="1">
      <c r="A14" s="2" t="s">
        <v>158</v>
      </c>
      <c r="B14" s="3">
        <v>14980.3259</v>
      </c>
      <c r="C14" s="3">
        <v>14751.7896</v>
      </c>
      <c r="D14" s="3">
        <v>14554.0363</v>
      </c>
      <c r="E14" s="3">
        <v>14371.9494</v>
      </c>
      <c r="F14" s="3">
        <v>14216.7976</v>
      </c>
      <c r="G14" s="3">
        <v>14106.8583</v>
      </c>
      <c r="H14" s="3">
        <v>14034.9855</v>
      </c>
      <c r="I14" s="3">
        <v>14003.9277</v>
      </c>
      <c r="J14" s="3">
        <v>13961.601</v>
      </c>
      <c r="K14" s="3">
        <v>14006.1264</v>
      </c>
      <c r="L14" s="3">
        <v>14095.8644</v>
      </c>
      <c r="M14" s="3">
        <v>13825.0015</v>
      </c>
      <c r="N14" s="3">
        <v>10561.1792</v>
      </c>
      <c r="O14" s="3">
        <v>7998.7695</v>
      </c>
      <c r="P14" s="3">
        <v>6322.333</v>
      </c>
      <c r="Q14" s="3">
        <v>5478.4116</v>
      </c>
      <c r="R14" s="3">
        <v>5445.2924</v>
      </c>
      <c r="S14" s="3">
        <v>5655.4138</v>
      </c>
      <c r="T14" s="3">
        <v>6104.7906</v>
      </c>
      <c r="U14" s="3">
        <v>6428.6992</v>
      </c>
      <c r="V14" s="3">
        <v>6988.4276</v>
      </c>
      <c r="W14" s="3">
        <v>7503.3556</v>
      </c>
      <c r="X14" s="3">
        <v>8104.8609</v>
      </c>
      <c r="Y14" s="3">
        <v>8799.6771</v>
      </c>
      <c r="Z14" s="3">
        <v>9464.5349</v>
      </c>
      <c r="AA14" s="3">
        <v>11673.215</v>
      </c>
      <c r="AB14" s="3">
        <v>15300.6614</v>
      </c>
      <c r="AC14" s="3">
        <v>18658.0695</v>
      </c>
      <c r="AD14" s="3">
        <v>20164.5125</v>
      </c>
      <c r="AE14" s="3">
        <v>21531.0577</v>
      </c>
      <c r="AF14" s="3">
        <v>22098.6192</v>
      </c>
      <c r="AG14" s="3">
        <v>21639.2104</v>
      </c>
      <c r="AH14" s="3">
        <v>21671.6425</v>
      </c>
      <c r="AI14" s="3">
        <v>22507.5933</v>
      </c>
      <c r="AJ14" s="3">
        <v>22722.1123</v>
      </c>
      <c r="AK14" s="3">
        <v>22615.1964</v>
      </c>
      <c r="AL14" s="3">
        <v>21626.2926</v>
      </c>
      <c r="AM14" s="3">
        <v>21543.151</v>
      </c>
      <c r="AN14" s="3">
        <v>21662.4351</v>
      </c>
      <c r="AO14" s="3">
        <v>21973.2884</v>
      </c>
      <c r="AP14" s="3">
        <v>20850.8084</v>
      </c>
      <c r="AQ14" s="3">
        <v>22061.1024</v>
      </c>
      <c r="AR14" s="3">
        <v>22916.43</v>
      </c>
      <c r="AS14" s="3">
        <v>22884.2727</v>
      </c>
      <c r="AT14" s="3">
        <v>23692.189</v>
      </c>
      <c r="AU14" s="3">
        <f t="shared" si="2"/>
        <v>13052.76969</v>
      </c>
      <c r="AV14" s="3">
        <f t="shared" si="3"/>
        <v>10844.46916</v>
      </c>
      <c r="AW14" s="3">
        <f t="shared" si="4"/>
        <v>22164.28958</v>
      </c>
      <c r="AX14" s="4">
        <f t="shared" si="5"/>
        <v>-0.05975783796</v>
      </c>
      <c r="AY14" s="4">
        <f t="shared" si="6"/>
        <v>0.1027013534</v>
      </c>
      <c r="AZ14" s="4">
        <f t="shared" si="7"/>
        <v>0.006495177803</v>
      </c>
    </row>
    <row r="15" ht="14.25" customHeight="1">
      <c r="A15" s="2" t="s">
        <v>159</v>
      </c>
      <c r="B15" s="3">
        <v>39798.1334</v>
      </c>
      <c r="C15" s="3">
        <v>35058.6808</v>
      </c>
      <c r="D15" s="3">
        <v>36377.8655</v>
      </c>
      <c r="E15" s="3">
        <v>36560.2308</v>
      </c>
      <c r="F15" s="3">
        <v>40479.3922</v>
      </c>
      <c r="G15" s="3">
        <v>41068.2685</v>
      </c>
      <c r="H15" s="3">
        <v>40606.1446</v>
      </c>
      <c r="I15" s="3">
        <v>40600.6397</v>
      </c>
      <c r="J15" s="3">
        <v>40371.2715</v>
      </c>
      <c r="K15" s="3">
        <v>41839.722</v>
      </c>
      <c r="L15" s="3">
        <v>40010.6342</v>
      </c>
      <c r="M15" s="3">
        <v>37393.649</v>
      </c>
      <c r="N15" s="3">
        <v>35077.242</v>
      </c>
      <c r="O15" s="3">
        <v>34342.2757</v>
      </c>
      <c r="P15" s="3">
        <v>34631.9854</v>
      </c>
      <c r="Q15" s="3">
        <v>35383.1839</v>
      </c>
      <c r="R15" s="3">
        <v>36144.1922</v>
      </c>
      <c r="S15" s="3">
        <v>37635.2972</v>
      </c>
      <c r="T15" s="3">
        <v>38725.6783</v>
      </c>
      <c r="U15" s="3">
        <v>40771.2191</v>
      </c>
      <c r="V15" s="3">
        <v>41731.6013</v>
      </c>
      <c r="W15" s="3">
        <v>42148.0634</v>
      </c>
      <c r="X15" s="3">
        <v>42604.9648</v>
      </c>
      <c r="Y15" s="3">
        <v>41337.4409</v>
      </c>
      <c r="Z15" s="3">
        <v>40956.6192</v>
      </c>
      <c r="AA15" s="3">
        <v>41597.9326</v>
      </c>
      <c r="AB15" s="3">
        <v>41854.8956</v>
      </c>
      <c r="AC15" s="3">
        <v>41617.9053</v>
      </c>
      <c r="AD15" s="3">
        <v>39831.5153</v>
      </c>
      <c r="AE15" s="3">
        <v>37503.1105</v>
      </c>
      <c r="AF15" s="3">
        <v>37282.7054</v>
      </c>
      <c r="AG15" s="3">
        <v>36757.064</v>
      </c>
      <c r="AH15" s="3">
        <v>37146.8488</v>
      </c>
      <c r="AI15" s="3">
        <v>35373.868</v>
      </c>
      <c r="AJ15" s="3">
        <v>35420.0945</v>
      </c>
      <c r="AK15" s="3">
        <v>35278.1685</v>
      </c>
      <c r="AL15" s="3">
        <v>34418.5671</v>
      </c>
      <c r="AM15" s="3">
        <v>34819.9967</v>
      </c>
      <c r="AN15" s="3">
        <v>35280.6386</v>
      </c>
      <c r="AO15" s="3">
        <v>34396.2655</v>
      </c>
      <c r="AP15" s="3">
        <v>26856.4743</v>
      </c>
      <c r="AQ15" s="3">
        <v>30635.2623</v>
      </c>
      <c r="AR15" s="3">
        <v>33677.0374</v>
      </c>
      <c r="AS15" s="3">
        <v>34279.1113</v>
      </c>
      <c r="AT15" s="3">
        <v>34643.4185</v>
      </c>
      <c r="AU15" s="3">
        <f t="shared" si="2"/>
        <v>38281.07569</v>
      </c>
      <c r="AV15" s="3">
        <f t="shared" si="3"/>
        <v>40318.60255</v>
      </c>
      <c r="AW15" s="3">
        <f t="shared" si="4"/>
        <v>34417.70139</v>
      </c>
      <c r="AX15" s="4">
        <f t="shared" si="5"/>
        <v>-0.00988243909</v>
      </c>
      <c r="AY15" s="4">
        <f t="shared" si="6"/>
        <v>0.004164877668</v>
      </c>
      <c r="AZ15" s="4">
        <f t="shared" si="7"/>
        <v>-0.004221255318</v>
      </c>
    </row>
    <row r="16" ht="14.25" customHeight="1">
      <c r="A16" s="2" t="s">
        <v>160</v>
      </c>
      <c r="B16" s="3">
        <v>89941.3315</v>
      </c>
      <c r="C16" s="3">
        <v>79447.389</v>
      </c>
      <c r="D16" s="3">
        <v>70396.1489</v>
      </c>
      <c r="E16" s="3">
        <v>73235.8837</v>
      </c>
      <c r="F16" s="3">
        <v>73541.1308</v>
      </c>
      <c r="G16" s="3">
        <v>59012.6179</v>
      </c>
      <c r="H16" s="3">
        <v>57039.051</v>
      </c>
      <c r="I16" s="3">
        <v>55550.6786</v>
      </c>
      <c r="J16" s="3">
        <v>57952.4502</v>
      </c>
      <c r="K16" s="3">
        <v>56920.3872</v>
      </c>
      <c r="L16" s="3">
        <v>57261.1553</v>
      </c>
      <c r="M16" s="3">
        <v>57798.6557</v>
      </c>
      <c r="N16" s="3">
        <v>60632.1451</v>
      </c>
      <c r="O16" s="3">
        <v>66831.5497</v>
      </c>
      <c r="P16" s="3">
        <v>63640.5075</v>
      </c>
      <c r="Q16" s="3">
        <v>62827.0357</v>
      </c>
      <c r="R16" s="3">
        <v>62691.5871</v>
      </c>
      <c r="S16" s="3">
        <v>61874.9926</v>
      </c>
      <c r="T16" s="3">
        <v>62581.5108</v>
      </c>
      <c r="U16" s="3">
        <v>64007.4285</v>
      </c>
      <c r="V16" s="3">
        <v>66274.142</v>
      </c>
      <c r="W16" s="3">
        <v>64507.8464</v>
      </c>
      <c r="X16" s="3">
        <v>61551.0091</v>
      </c>
      <c r="Y16" s="3">
        <v>59734.7498</v>
      </c>
      <c r="Z16" s="3">
        <v>58228.4217</v>
      </c>
      <c r="AA16" s="3">
        <v>56718.1902</v>
      </c>
      <c r="AB16" s="3">
        <v>55298.9083</v>
      </c>
      <c r="AC16" s="3">
        <v>55093.1983</v>
      </c>
      <c r="AD16" s="3">
        <v>54179.7991</v>
      </c>
      <c r="AE16" s="3">
        <v>51710.4983</v>
      </c>
      <c r="AF16" s="3">
        <v>52341.6806</v>
      </c>
      <c r="AG16" s="3">
        <v>53625.1237</v>
      </c>
      <c r="AH16" s="3">
        <v>54667.726</v>
      </c>
      <c r="AI16" s="3">
        <v>55527.6485</v>
      </c>
      <c r="AJ16" s="3">
        <v>55858.2678</v>
      </c>
      <c r="AK16" s="3">
        <v>54956.9691</v>
      </c>
      <c r="AL16" s="3">
        <v>54090.4108</v>
      </c>
      <c r="AM16" s="3">
        <v>54082.604</v>
      </c>
      <c r="AN16" s="3">
        <v>54679.0459</v>
      </c>
      <c r="AO16" s="3">
        <v>56298.5731</v>
      </c>
      <c r="AP16" s="3">
        <v>54551.4042</v>
      </c>
      <c r="AQ16" s="3">
        <v>54039.2761</v>
      </c>
      <c r="AR16" s="3">
        <v>55538.578</v>
      </c>
      <c r="AS16" s="3">
        <v>55765.7568</v>
      </c>
      <c r="AT16" s="3">
        <v>54686.4624</v>
      </c>
      <c r="AU16" s="3">
        <f t="shared" si="2"/>
        <v>65280.07214</v>
      </c>
      <c r="AV16" s="3">
        <f t="shared" si="3"/>
        <v>59603.73444</v>
      </c>
      <c r="AW16" s="3">
        <f t="shared" si="4"/>
        <v>54713.96847</v>
      </c>
      <c r="AX16" s="4">
        <f t="shared" si="5"/>
        <v>-0.02440493587</v>
      </c>
      <c r="AY16" s="4">
        <f t="shared" si="6"/>
        <v>-0.01381262258</v>
      </c>
      <c r="AZ16" s="4">
        <f t="shared" si="7"/>
        <v>0.001400873642</v>
      </c>
    </row>
    <row r="17" ht="14.25" customHeight="1">
      <c r="A17" s="2" t="s">
        <v>161</v>
      </c>
      <c r="B17" s="3">
        <v>2626.4911</v>
      </c>
      <c r="C17" s="3">
        <v>2613.7059</v>
      </c>
      <c r="D17" s="3">
        <v>2619.9257</v>
      </c>
      <c r="E17" s="3">
        <v>2679.1805</v>
      </c>
      <c r="F17" s="3">
        <v>2710.5999</v>
      </c>
      <c r="G17" s="3">
        <v>2733.8507</v>
      </c>
      <c r="H17" s="3">
        <v>2772.7793</v>
      </c>
      <c r="I17" s="3">
        <v>2790.6245</v>
      </c>
      <c r="J17" s="3">
        <v>2788.4072</v>
      </c>
      <c r="K17" s="3">
        <v>2840.0528</v>
      </c>
      <c r="L17" s="3">
        <v>2902.9621</v>
      </c>
      <c r="M17" s="3">
        <v>2935.4345</v>
      </c>
      <c r="N17" s="3">
        <v>2983.8531</v>
      </c>
      <c r="O17" s="3">
        <v>3031.3871</v>
      </c>
      <c r="P17" s="3">
        <v>3084.7405</v>
      </c>
      <c r="Q17" s="3">
        <v>3142.6468</v>
      </c>
      <c r="R17" s="3">
        <v>3209.3608</v>
      </c>
      <c r="S17" s="3">
        <v>3286.4244</v>
      </c>
      <c r="T17" s="3">
        <v>3354.2914</v>
      </c>
      <c r="U17" s="3">
        <v>3433.2812</v>
      </c>
      <c r="V17" s="3">
        <v>3520.3896</v>
      </c>
      <c r="W17" s="3">
        <v>3595.6726</v>
      </c>
      <c r="X17" s="3">
        <v>3685.1416</v>
      </c>
      <c r="Y17" s="3">
        <v>3813.5256</v>
      </c>
      <c r="Z17" s="3">
        <v>3963.1022</v>
      </c>
      <c r="AA17" s="3">
        <v>4139.4864</v>
      </c>
      <c r="AB17" s="3">
        <v>4372.3282</v>
      </c>
      <c r="AC17" s="3">
        <v>4656.6131</v>
      </c>
      <c r="AD17" s="3">
        <v>4913.6517</v>
      </c>
      <c r="AE17" s="3">
        <v>5178.6384</v>
      </c>
      <c r="AF17" s="3">
        <v>5494.568</v>
      </c>
      <c r="AG17" s="3">
        <v>5847.8343</v>
      </c>
      <c r="AH17" s="3">
        <v>6203.5567</v>
      </c>
      <c r="AI17" s="3">
        <v>6571.7322</v>
      </c>
      <c r="AJ17" s="3">
        <v>6985.6474</v>
      </c>
      <c r="AK17" s="3">
        <v>7465.6081</v>
      </c>
      <c r="AL17" s="3">
        <v>7899.0103</v>
      </c>
      <c r="AM17" s="3">
        <v>8309.7326</v>
      </c>
      <c r="AN17" s="3">
        <v>8799.613</v>
      </c>
      <c r="AO17" s="3">
        <v>9147.7921</v>
      </c>
      <c r="AP17" s="3">
        <v>9498.7684</v>
      </c>
      <c r="AQ17" s="3">
        <v>10047.1418</v>
      </c>
      <c r="AR17" s="3">
        <v>10587.8604</v>
      </c>
      <c r="AS17" s="3">
        <v>10968.803</v>
      </c>
      <c r="AT17" s="3">
        <v>11197.308</v>
      </c>
      <c r="AU17" s="3">
        <f t="shared" si="2"/>
        <v>2807.59966</v>
      </c>
      <c r="AV17" s="3">
        <f t="shared" si="3"/>
        <v>3937.279086</v>
      </c>
      <c r="AW17" s="3">
        <f t="shared" si="4"/>
        <v>8334.99842</v>
      </c>
      <c r="AX17" s="4">
        <f t="shared" si="5"/>
        <v>0.01155328415</v>
      </c>
      <c r="AY17" s="4">
        <f t="shared" si="6"/>
        <v>0.03632097114</v>
      </c>
      <c r="AZ17" s="4">
        <f t="shared" si="7"/>
        <v>0.04749347449</v>
      </c>
    </row>
    <row r="18" ht="14.25" customHeight="1">
      <c r="A18" s="2" t="s">
        <v>162</v>
      </c>
      <c r="B18" s="3">
        <v>17775.5877</v>
      </c>
      <c r="C18" s="3">
        <v>17089.5179</v>
      </c>
      <c r="D18" s="3">
        <v>15994.1541</v>
      </c>
      <c r="E18" s="3">
        <v>15792.868</v>
      </c>
      <c r="F18" s="3">
        <v>16094.2193</v>
      </c>
      <c r="G18" s="3">
        <v>16009.8178</v>
      </c>
      <c r="H18" s="3">
        <v>16642.2357</v>
      </c>
      <c r="I18" s="3">
        <v>16903.9867</v>
      </c>
      <c r="J18" s="3">
        <v>17368.3316</v>
      </c>
      <c r="K18" s="3">
        <v>17874.1626</v>
      </c>
      <c r="L18" s="3">
        <v>17135.6877</v>
      </c>
      <c r="M18" s="3">
        <v>16303.687</v>
      </c>
      <c r="N18" s="3">
        <v>14986.872</v>
      </c>
      <c r="O18" s="3">
        <v>14997.2435</v>
      </c>
      <c r="P18" s="3">
        <v>15412.9549</v>
      </c>
      <c r="Q18" s="3">
        <v>15592.0685</v>
      </c>
      <c r="R18" s="3">
        <v>16099.2681</v>
      </c>
      <c r="S18" s="3">
        <v>16779.2854</v>
      </c>
      <c r="T18" s="3">
        <v>17341.4144</v>
      </c>
      <c r="U18" s="3">
        <v>17332.7766</v>
      </c>
      <c r="V18" s="3">
        <v>18102.8829</v>
      </c>
      <c r="W18" s="3">
        <v>17636.1656</v>
      </c>
      <c r="X18" s="3">
        <v>17613.6586</v>
      </c>
      <c r="Y18" s="3">
        <v>17804.6948</v>
      </c>
      <c r="Z18" s="3">
        <v>17862.544</v>
      </c>
      <c r="AA18" s="3">
        <v>18380.1456</v>
      </c>
      <c r="AB18" s="3">
        <v>19242.7438</v>
      </c>
      <c r="AC18" s="3">
        <v>20180.4973</v>
      </c>
      <c r="AD18" s="3">
        <v>20844.6988</v>
      </c>
      <c r="AE18" s="3">
        <v>20360.4017</v>
      </c>
      <c r="AF18" s="3">
        <v>20403.1347</v>
      </c>
      <c r="AG18" s="3">
        <v>20087.7317</v>
      </c>
      <c r="AH18" s="3">
        <v>19884.8944</v>
      </c>
      <c r="AI18" s="3">
        <v>19544.46</v>
      </c>
      <c r="AJ18" s="3">
        <v>19469.913</v>
      </c>
      <c r="AK18" s="3">
        <v>19260.354</v>
      </c>
      <c r="AL18" s="3">
        <v>19521.4055</v>
      </c>
      <c r="AM18" s="3">
        <v>19419.9716</v>
      </c>
      <c r="AN18" s="3">
        <v>19108.1272</v>
      </c>
      <c r="AO18" s="3">
        <v>19138.7855</v>
      </c>
      <c r="AP18" s="3">
        <v>16209.7656</v>
      </c>
      <c r="AQ18" s="3">
        <v>15992.2988</v>
      </c>
      <c r="AR18" s="3">
        <v>18769.2135</v>
      </c>
      <c r="AS18" s="3">
        <v>19510.2128</v>
      </c>
      <c r="AT18" s="3">
        <v>20226.8801</v>
      </c>
      <c r="AU18" s="3">
        <f t="shared" si="2"/>
        <v>16425.42177</v>
      </c>
      <c r="AV18" s="3">
        <f t="shared" si="3"/>
        <v>18255.7984</v>
      </c>
      <c r="AW18" s="3">
        <f t="shared" si="4"/>
        <v>19103.14323</v>
      </c>
      <c r="AX18" s="4">
        <f t="shared" si="5"/>
        <v>-0.01013526389</v>
      </c>
      <c r="AY18" s="4">
        <f t="shared" si="6"/>
        <v>0.01924204172</v>
      </c>
      <c r="AZ18" s="4">
        <f t="shared" si="7"/>
        <v>0.0004932038922</v>
      </c>
    </row>
    <row r="19" ht="14.25" customHeight="1">
      <c r="A19" s="2" t="s">
        <v>163</v>
      </c>
      <c r="B19" s="3">
        <v>11871.3256</v>
      </c>
      <c r="C19" s="3">
        <v>11984.8462</v>
      </c>
      <c r="D19" s="3">
        <v>12111.1808</v>
      </c>
      <c r="E19" s="3">
        <v>12260.2195</v>
      </c>
      <c r="F19" s="3">
        <v>12425.5983</v>
      </c>
      <c r="G19" s="3">
        <v>12609.9832</v>
      </c>
      <c r="H19" s="3">
        <v>12805.4622</v>
      </c>
      <c r="I19" s="3">
        <v>13001.3711</v>
      </c>
      <c r="J19" s="3">
        <v>13212.6741</v>
      </c>
      <c r="K19" s="3">
        <v>13440.1452</v>
      </c>
      <c r="L19" s="3">
        <v>13685.6764</v>
      </c>
      <c r="M19" s="3">
        <v>13471.6214</v>
      </c>
      <c r="N19" s="3">
        <v>12107.5688</v>
      </c>
      <c r="O19" s="3">
        <v>11130.69</v>
      </c>
      <c r="P19" s="3">
        <v>9802.5856</v>
      </c>
      <c r="Q19" s="3">
        <v>8762.5825</v>
      </c>
      <c r="R19" s="3">
        <v>8983.3456</v>
      </c>
      <c r="S19" s="3">
        <v>9989.2925</v>
      </c>
      <c r="T19" s="3">
        <v>10799.6744</v>
      </c>
      <c r="U19" s="3">
        <v>11135.0761</v>
      </c>
      <c r="V19" s="3">
        <v>11754.6231</v>
      </c>
      <c r="W19" s="3">
        <v>12287.9116</v>
      </c>
      <c r="X19" s="3">
        <v>12892.6666</v>
      </c>
      <c r="Y19" s="3">
        <v>13777.4389</v>
      </c>
      <c r="Z19" s="3">
        <v>15320.2004</v>
      </c>
      <c r="AA19" s="3">
        <v>16739.6373</v>
      </c>
      <c r="AB19" s="3">
        <v>18376.8272</v>
      </c>
      <c r="AC19" s="3">
        <v>19904.1946</v>
      </c>
      <c r="AD19" s="3">
        <v>21892.1803</v>
      </c>
      <c r="AE19" s="3">
        <v>21861.9941</v>
      </c>
      <c r="AF19" s="3">
        <v>23485.424</v>
      </c>
      <c r="AG19" s="3">
        <v>24748.0821</v>
      </c>
      <c r="AH19" s="3">
        <v>25156.9281</v>
      </c>
      <c r="AI19" s="3">
        <v>25387.0652</v>
      </c>
      <c r="AJ19" s="3">
        <v>25831.2574</v>
      </c>
      <c r="AK19" s="3">
        <v>24849.3046</v>
      </c>
      <c r="AL19" s="3">
        <v>24269.4038</v>
      </c>
      <c r="AM19" s="3">
        <v>25078.2377</v>
      </c>
      <c r="AN19" s="3">
        <v>25906.1638</v>
      </c>
      <c r="AO19" s="3">
        <v>26390.7761</v>
      </c>
      <c r="AP19" s="3">
        <v>26447.7084</v>
      </c>
      <c r="AQ19" s="3">
        <v>27620.8401</v>
      </c>
      <c r="AR19" s="3">
        <v>26563.6369</v>
      </c>
      <c r="AS19" s="3">
        <v>27568.6378</v>
      </c>
      <c r="AT19" s="3">
        <v>27919.6055</v>
      </c>
      <c r="AU19" s="3">
        <f t="shared" si="2"/>
        <v>12394.72989</v>
      </c>
      <c r="AV19" s="3">
        <f t="shared" si="3"/>
        <v>14693.93305</v>
      </c>
      <c r="AW19" s="3">
        <f t="shared" si="4"/>
        <v>25814.87143</v>
      </c>
      <c r="AX19" s="4">
        <f t="shared" si="5"/>
        <v>-0.01358401395</v>
      </c>
      <c r="AY19" s="4">
        <f t="shared" si="6"/>
        <v>0.06748372127</v>
      </c>
      <c r="AZ19" s="4">
        <f t="shared" si="7"/>
        <v>0.008650137584</v>
      </c>
    </row>
    <row r="20" ht="14.25" customHeight="1">
      <c r="A20" s="2" t="s">
        <v>164</v>
      </c>
      <c r="B20" s="3">
        <v>37388.1812</v>
      </c>
      <c r="C20" s="3">
        <v>37016.9049</v>
      </c>
      <c r="D20" s="3">
        <v>36990.069</v>
      </c>
      <c r="E20" s="3">
        <v>36857.3963</v>
      </c>
      <c r="F20" s="3">
        <v>37505.1291</v>
      </c>
      <c r="G20" s="3">
        <v>37865.3886</v>
      </c>
      <c r="H20" s="3">
        <v>38317.9259</v>
      </c>
      <c r="I20" s="3">
        <v>38976.0163</v>
      </c>
      <c r="J20" s="3">
        <v>40591.158</v>
      </c>
      <c r="K20" s="3">
        <v>41781.3516</v>
      </c>
      <c r="L20" s="3">
        <v>42863.1661</v>
      </c>
      <c r="M20" s="3">
        <v>43374.648</v>
      </c>
      <c r="N20" s="3">
        <v>43739.3331</v>
      </c>
      <c r="O20" s="3">
        <v>43078.4179</v>
      </c>
      <c r="P20" s="3">
        <v>44264.6567</v>
      </c>
      <c r="Q20" s="3">
        <v>45173.3093</v>
      </c>
      <c r="R20" s="3">
        <v>45698.8212</v>
      </c>
      <c r="S20" s="3">
        <v>47308.2191</v>
      </c>
      <c r="T20" s="3">
        <v>48086.3647</v>
      </c>
      <c r="U20" s="3">
        <v>49614.8784</v>
      </c>
      <c r="V20" s="3">
        <v>51249.7939</v>
      </c>
      <c r="W20" s="3">
        <v>51516.2692</v>
      </c>
      <c r="X20" s="3">
        <v>52078.2214</v>
      </c>
      <c r="Y20" s="3">
        <v>52322.9455</v>
      </c>
      <c r="Z20" s="3">
        <v>53913.982</v>
      </c>
      <c r="AA20" s="3">
        <v>54817.1733</v>
      </c>
      <c r="AB20" s="3">
        <v>55793.5275</v>
      </c>
      <c r="AC20" s="3">
        <v>57373.3589</v>
      </c>
      <c r="AD20" s="3">
        <v>57132.2129</v>
      </c>
      <c r="AE20" s="3">
        <v>55432.0439</v>
      </c>
      <c r="AF20" s="3">
        <v>56203.4099</v>
      </c>
      <c r="AG20" s="3">
        <v>56584.0082</v>
      </c>
      <c r="AH20" s="3">
        <v>56394.1798</v>
      </c>
      <c r="AI20" s="3">
        <v>56185.5193</v>
      </c>
      <c r="AJ20" s="3">
        <v>56844.8338</v>
      </c>
      <c r="AK20" s="3">
        <v>57319.2164</v>
      </c>
      <c r="AL20" s="3">
        <v>57748.4017</v>
      </c>
      <c r="AM20" s="3">
        <v>58239.7332</v>
      </c>
      <c r="AN20" s="3">
        <v>59036.3343</v>
      </c>
      <c r="AO20" s="3">
        <v>60048.7522</v>
      </c>
      <c r="AP20" s="3">
        <v>56774.3073</v>
      </c>
      <c r="AQ20" s="3">
        <v>59920.5051</v>
      </c>
      <c r="AR20" s="3">
        <v>61687.5283</v>
      </c>
      <c r="AS20" s="3">
        <v>62709.2681</v>
      </c>
      <c r="AT20" s="3">
        <v>63039.3962</v>
      </c>
      <c r="AU20" s="3">
        <f t="shared" si="2"/>
        <v>40040.64951</v>
      </c>
      <c r="AV20" s="3">
        <f t="shared" si="3"/>
        <v>52309.84371</v>
      </c>
      <c r="AW20" s="3">
        <f t="shared" si="4"/>
        <v>58582.35959</v>
      </c>
      <c r="AX20" s="4">
        <f t="shared" si="5"/>
        <v>0.01213242927</v>
      </c>
      <c r="AY20" s="4">
        <f t="shared" si="6"/>
        <v>0.01472532388</v>
      </c>
      <c r="AZ20" s="4">
        <f t="shared" si="7"/>
        <v>0.007746526191</v>
      </c>
    </row>
    <row r="21" ht="14.25" customHeight="1">
      <c r="A21" s="2" t="s">
        <v>165</v>
      </c>
      <c r="B21" s="3">
        <v>9456.94</v>
      </c>
      <c r="C21" s="3">
        <v>9264.9342</v>
      </c>
      <c r="D21" s="3">
        <v>8956.1897</v>
      </c>
      <c r="E21" s="3">
        <v>8494.0014</v>
      </c>
      <c r="F21" s="3">
        <v>8416.5677</v>
      </c>
      <c r="G21" s="3">
        <v>8263.1858</v>
      </c>
      <c r="H21" s="3">
        <v>8440.9553</v>
      </c>
      <c r="I21" s="3">
        <v>9642.9419</v>
      </c>
      <c r="J21" s="3">
        <v>10830.4445</v>
      </c>
      <c r="K21" s="3">
        <v>12589.57</v>
      </c>
      <c r="L21" s="3">
        <v>14052.5162</v>
      </c>
      <c r="M21" s="3">
        <v>15285.4515</v>
      </c>
      <c r="N21" s="3">
        <v>16720.1107</v>
      </c>
      <c r="O21" s="3">
        <v>17390.46</v>
      </c>
      <c r="P21" s="3">
        <v>16969.5574</v>
      </c>
      <c r="Q21" s="3">
        <v>16491.8948</v>
      </c>
      <c r="R21" s="3">
        <v>15948.497</v>
      </c>
      <c r="S21" s="3">
        <v>15722.6332</v>
      </c>
      <c r="T21" s="3">
        <v>15535.4553</v>
      </c>
      <c r="U21" s="3">
        <v>16142.298</v>
      </c>
      <c r="V21" s="3">
        <v>17466.7177</v>
      </c>
      <c r="W21" s="3">
        <v>17645.787</v>
      </c>
      <c r="X21" s="3">
        <v>17870.6605</v>
      </c>
      <c r="Y21" s="3">
        <v>18805.5595</v>
      </c>
      <c r="Z21" s="3">
        <v>18941.2388</v>
      </c>
      <c r="AA21" s="3">
        <v>18633.7322</v>
      </c>
      <c r="AB21" s="3">
        <v>18767.3688</v>
      </c>
      <c r="AC21" s="3">
        <v>18594.613</v>
      </c>
      <c r="AD21" s="3">
        <v>17924.635</v>
      </c>
      <c r="AE21" s="3">
        <v>17226.1842</v>
      </c>
      <c r="AF21" s="3">
        <v>17179.4516</v>
      </c>
      <c r="AG21" s="3">
        <v>16495.6086</v>
      </c>
      <c r="AH21" s="3">
        <v>16495.6705</v>
      </c>
      <c r="AI21" s="3">
        <v>16607.1478</v>
      </c>
      <c r="AJ21" s="3">
        <v>16688.1716</v>
      </c>
      <c r="AK21" s="3">
        <v>16688.4192</v>
      </c>
      <c r="AL21" s="3">
        <v>16093.7704</v>
      </c>
      <c r="AM21" s="3">
        <v>15218.2309</v>
      </c>
      <c r="AN21" s="3">
        <v>14935.6072</v>
      </c>
      <c r="AO21" s="3">
        <v>15178.4309</v>
      </c>
      <c r="AP21" s="3">
        <v>12785.4754</v>
      </c>
      <c r="AQ21" s="3">
        <v>14636.333</v>
      </c>
      <c r="AR21" s="3">
        <v>15400.2713</v>
      </c>
      <c r="AS21" s="3">
        <v>15075.8668</v>
      </c>
      <c r="AT21" s="3">
        <v>15913.2155</v>
      </c>
      <c r="AU21" s="3">
        <f t="shared" si="2"/>
        <v>11651.58842</v>
      </c>
      <c r="AV21" s="3">
        <f t="shared" si="3"/>
        <v>17516.09859</v>
      </c>
      <c r="AW21" s="3">
        <f t="shared" si="4"/>
        <v>15692.77805</v>
      </c>
      <c r="AX21" s="4">
        <f t="shared" si="5"/>
        <v>0.04264660728</v>
      </c>
      <c r="AY21" s="4">
        <f t="shared" si="6"/>
        <v>0.003116383535</v>
      </c>
      <c r="AZ21" s="4">
        <f t="shared" si="7"/>
        <v>-0.00256415496</v>
      </c>
    </row>
    <row r="22" ht="14.25" customHeight="1">
      <c r="A22" s="2" t="s">
        <v>166</v>
      </c>
      <c r="B22" s="3">
        <v>2495.6172</v>
      </c>
      <c r="C22" s="3">
        <v>2573.8998</v>
      </c>
      <c r="D22" s="3">
        <v>2779.0785</v>
      </c>
      <c r="E22" s="3">
        <v>2590.0232</v>
      </c>
      <c r="F22" s="3">
        <v>2723.3963</v>
      </c>
      <c r="G22" s="3">
        <v>2848.5576</v>
      </c>
      <c r="H22" s="3">
        <v>2831.1606</v>
      </c>
      <c r="I22" s="3">
        <v>2712.2372</v>
      </c>
      <c r="J22" s="3">
        <v>2714.5503</v>
      </c>
      <c r="K22" s="3">
        <v>2616.515</v>
      </c>
      <c r="L22" s="3">
        <v>2765.7239</v>
      </c>
      <c r="M22" s="3">
        <v>2795.045</v>
      </c>
      <c r="N22" s="3">
        <v>2790.0231</v>
      </c>
      <c r="O22" s="3">
        <v>2794.7502</v>
      </c>
      <c r="P22" s="3">
        <v>2735.9049</v>
      </c>
      <c r="Q22" s="3">
        <v>2974.2972</v>
      </c>
      <c r="R22" s="3">
        <v>3277.7694</v>
      </c>
      <c r="S22" s="3">
        <v>3640.8472</v>
      </c>
      <c r="T22" s="3">
        <v>3966.8701</v>
      </c>
      <c r="U22" s="3">
        <v>4373.9867</v>
      </c>
      <c r="V22" s="3">
        <v>4480.6828</v>
      </c>
      <c r="W22" s="3">
        <v>4564.502</v>
      </c>
      <c r="X22" s="3">
        <v>4616.9747</v>
      </c>
      <c r="Y22" s="3">
        <v>4615.3427</v>
      </c>
      <c r="Z22" s="3">
        <v>4658.1417</v>
      </c>
      <c r="AA22" s="3">
        <v>4567.6106</v>
      </c>
      <c r="AB22" s="3">
        <v>4587.5916</v>
      </c>
      <c r="AC22" s="3">
        <v>4710.4998</v>
      </c>
      <c r="AD22" s="3">
        <v>4755.7444</v>
      </c>
      <c r="AE22" s="3">
        <v>4707.1263</v>
      </c>
      <c r="AF22" s="3">
        <v>4650.6172</v>
      </c>
      <c r="AG22" s="3">
        <v>4636.0635</v>
      </c>
      <c r="AH22" s="3">
        <v>4708.4951</v>
      </c>
      <c r="AI22" s="3">
        <v>4888.0831</v>
      </c>
      <c r="AJ22" s="3">
        <v>5023.1413</v>
      </c>
      <c r="AK22" s="3">
        <v>4930.7477</v>
      </c>
      <c r="AL22" s="3">
        <v>4939.0538</v>
      </c>
      <c r="AM22" s="3">
        <v>5052.4667</v>
      </c>
      <c r="AN22" s="3">
        <v>5219.6396</v>
      </c>
      <c r="AO22" s="3">
        <v>5413.2344</v>
      </c>
      <c r="AP22" s="3">
        <v>5446.5529</v>
      </c>
      <c r="AQ22" s="3">
        <v>5682.8652</v>
      </c>
      <c r="AR22" s="3">
        <v>5829.6563</v>
      </c>
      <c r="AS22" s="3">
        <v>6043.3656</v>
      </c>
      <c r="AT22" s="3">
        <v>6245.9908</v>
      </c>
      <c r="AU22" s="3">
        <f t="shared" si="2"/>
        <v>2717.76552</v>
      </c>
      <c r="AV22" s="3">
        <f t="shared" si="3"/>
        <v>4394.549286</v>
      </c>
      <c r="AW22" s="3">
        <f t="shared" si="4"/>
        <v>5247.331547</v>
      </c>
      <c r="AX22" s="4">
        <f t="shared" si="5"/>
        <v>0.006587759242</v>
      </c>
      <c r="AY22" s="4">
        <f t="shared" si="6"/>
        <v>0.03333424113</v>
      </c>
      <c r="AZ22" s="4">
        <f t="shared" si="7"/>
        <v>0.02151928242</v>
      </c>
    </row>
    <row r="23" ht="14.25" customHeight="1">
      <c r="A23" s="2" t="s">
        <v>167</v>
      </c>
      <c r="B23" s="3">
        <v>79417.7465</v>
      </c>
      <c r="C23" s="3">
        <v>75590.5169</v>
      </c>
      <c r="D23" s="3">
        <v>74534.5579</v>
      </c>
      <c r="E23" s="3">
        <v>74128.3532</v>
      </c>
      <c r="F23" s="3">
        <v>71617.9787</v>
      </c>
      <c r="G23" s="3">
        <v>73685.3731</v>
      </c>
      <c r="H23" s="3">
        <v>76089.9319</v>
      </c>
      <c r="I23" s="3">
        <v>78068.1058</v>
      </c>
      <c r="J23" s="3">
        <v>77842.5971</v>
      </c>
      <c r="K23" s="3">
        <v>76746.7983</v>
      </c>
      <c r="L23" s="3">
        <v>73601.1832</v>
      </c>
      <c r="M23" s="3">
        <v>72944.7794</v>
      </c>
      <c r="N23" s="3">
        <v>70340.443</v>
      </c>
      <c r="O23" s="3">
        <v>71471.2246</v>
      </c>
      <c r="P23" s="3">
        <v>72084.7817</v>
      </c>
      <c r="Q23" s="3">
        <v>75511.531</v>
      </c>
      <c r="R23" s="3">
        <v>78037.055</v>
      </c>
      <c r="S23" s="3">
        <v>80924.0868</v>
      </c>
      <c r="T23" s="3">
        <v>83097.875</v>
      </c>
      <c r="U23" s="3">
        <v>84969.7129</v>
      </c>
      <c r="V23" s="3">
        <v>86819.8094</v>
      </c>
      <c r="W23" s="3">
        <v>92704.5457</v>
      </c>
      <c r="X23" s="3">
        <v>90969.5165</v>
      </c>
      <c r="Y23" s="3">
        <v>93611.4377</v>
      </c>
      <c r="Z23" s="3">
        <v>95391.2796</v>
      </c>
      <c r="AA23" s="3">
        <v>96545.7685</v>
      </c>
      <c r="AB23" s="3">
        <v>100566.3573</v>
      </c>
      <c r="AC23" s="3">
        <v>106181.1192</v>
      </c>
      <c r="AD23" s="3">
        <v>109204.844</v>
      </c>
      <c r="AE23" s="3">
        <v>104554.2185</v>
      </c>
      <c r="AF23" s="3">
        <v>104420.7636</v>
      </c>
      <c r="AG23" s="3">
        <v>100383.6375</v>
      </c>
      <c r="AH23" s="3">
        <v>94987.8503</v>
      </c>
      <c r="AI23" s="3">
        <v>94314.7357</v>
      </c>
      <c r="AJ23" s="3">
        <v>90212.0964</v>
      </c>
      <c r="AK23" s="3">
        <v>90366.8879</v>
      </c>
      <c r="AL23" s="3">
        <v>89488.0978</v>
      </c>
      <c r="AM23" s="3">
        <v>92419.7687</v>
      </c>
      <c r="AN23" s="3">
        <v>91526.2917</v>
      </c>
      <c r="AO23" s="3">
        <v>91223.127</v>
      </c>
      <c r="AP23" s="3">
        <v>84379.8053</v>
      </c>
      <c r="AQ23" s="3">
        <v>88394.9588</v>
      </c>
      <c r="AR23" s="3">
        <v>93264.0964</v>
      </c>
      <c r="AS23" s="3">
        <v>93515.8567</v>
      </c>
      <c r="AT23" s="3">
        <v>93290.1745</v>
      </c>
      <c r="AU23" s="3">
        <f t="shared" si="2"/>
        <v>74544.29142</v>
      </c>
      <c r="AV23" s="3">
        <f t="shared" si="3"/>
        <v>93112.68758</v>
      </c>
      <c r="AW23" s="3">
        <f t="shared" si="4"/>
        <v>92812.54322</v>
      </c>
      <c r="AX23" s="4">
        <f t="shared" si="5"/>
        <v>-0.006896033971</v>
      </c>
      <c r="AY23" s="4">
        <f t="shared" si="6"/>
        <v>0.0235165688</v>
      </c>
      <c r="AZ23" s="4">
        <f t="shared" si="7"/>
        <v>-0.005220925444</v>
      </c>
    </row>
    <row r="24" ht="14.25" customHeight="1">
      <c r="A24" s="2" t="s">
        <v>168</v>
      </c>
      <c r="B24" s="3">
        <v>2495.1939</v>
      </c>
      <c r="C24" s="3">
        <v>2699.173</v>
      </c>
      <c r="D24" s="3">
        <v>2680.7251</v>
      </c>
      <c r="E24" s="3">
        <v>2814.5118</v>
      </c>
      <c r="F24" s="3">
        <v>2903.652</v>
      </c>
      <c r="G24" s="3">
        <v>2982.4524</v>
      </c>
      <c r="H24" s="3">
        <v>3307.8339</v>
      </c>
      <c r="I24" s="3">
        <v>4219.2322</v>
      </c>
      <c r="J24" s="3">
        <v>4345.7403</v>
      </c>
      <c r="K24" s="3">
        <v>4539.6712</v>
      </c>
      <c r="L24" s="3">
        <v>4920.5806</v>
      </c>
      <c r="M24" s="3">
        <v>4868.0551</v>
      </c>
      <c r="N24" s="3">
        <v>5231.3427</v>
      </c>
      <c r="O24" s="3">
        <v>5544.0172</v>
      </c>
      <c r="P24" s="3">
        <v>5850.0033</v>
      </c>
      <c r="Q24" s="3">
        <v>6287.7768</v>
      </c>
      <c r="R24" s="3">
        <v>6635.9207</v>
      </c>
      <c r="S24" s="3">
        <v>6927.3012</v>
      </c>
      <c r="T24" s="3">
        <v>7227.175</v>
      </c>
      <c r="U24" s="3">
        <v>7630.7009</v>
      </c>
      <c r="V24" s="3">
        <v>8094.0482</v>
      </c>
      <c r="W24" s="3">
        <v>8365.575</v>
      </c>
      <c r="X24" s="3">
        <v>8885.1859</v>
      </c>
      <c r="Y24" s="3">
        <v>9198.277</v>
      </c>
      <c r="Z24" s="3">
        <v>9283.797</v>
      </c>
      <c r="AA24" s="3">
        <v>9568.6486</v>
      </c>
      <c r="AB24" s="3">
        <v>9815.7852</v>
      </c>
      <c r="AC24" s="3">
        <v>11103.9625</v>
      </c>
      <c r="AD24" s="3">
        <v>11301.7912</v>
      </c>
      <c r="AE24" s="3">
        <v>11841.1065</v>
      </c>
      <c r="AF24" s="3">
        <v>13018.5301</v>
      </c>
      <c r="AG24" s="3">
        <v>13755.9379</v>
      </c>
      <c r="AH24" s="3">
        <v>14098.216</v>
      </c>
      <c r="AI24" s="3">
        <v>13984.5884</v>
      </c>
      <c r="AJ24" s="3">
        <v>14455.2454</v>
      </c>
      <c r="AK24" s="3">
        <v>15068.1652</v>
      </c>
      <c r="AL24" s="3">
        <v>16007.9416</v>
      </c>
      <c r="AM24" s="3">
        <v>16020.5723</v>
      </c>
      <c r="AN24" s="3">
        <v>16229.8342</v>
      </c>
      <c r="AO24" s="3">
        <v>16809.8947</v>
      </c>
      <c r="AP24" s="3">
        <v>14773.1576</v>
      </c>
      <c r="AQ24" s="3">
        <v>14987.7439</v>
      </c>
      <c r="AR24" s="3">
        <v>15085.4608</v>
      </c>
      <c r="AS24" s="3">
        <v>16220.5321</v>
      </c>
      <c r="AT24" s="3">
        <v>16883.27</v>
      </c>
      <c r="AU24" s="3">
        <f t="shared" si="2"/>
        <v>3960.145647</v>
      </c>
      <c r="AV24" s="3">
        <f t="shared" si="3"/>
        <v>8991.376779</v>
      </c>
      <c r="AW24" s="3">
        <f t="shared" si="4"/>
        <v>15159.93935</v>
      </c>
      <c r="AX24" s="4">
        <f t="shared" si="5"/>
        <v>0.06275283513</v>
      </c>
      <c r="AY24" s="4">
        <f t="shared" si="6"/>
        <v>0.046249755</v>
      </c>
      <c r="AZ24" s="4">
        <f t="shared" si="7"/>
        <v>0.01473990606</v>
      </c>
    </row>
    <row r="25" ht="14.25" customHeight="1">
      <c r="A25" s="2" t="s">
        <v>169</v>
      </c>
      <c r="B25" s="3">
        <v>9958.1015</v>
      </c>
      <c r="C25" s="3">
        <v>9753.4787</v>
      </c>
      <c r="D25" s="3">
        <v>9174.4005</v>
      </c>
      <c r="E25" s="3">
        <v>8608.6986</v>
      </c>
      <c r="F25" s="3">
        <v>8405.0698</v>
      </c>
      <c r="G25" s="3">
        <v>8073.2429</v>
      </c>
      <c r="H25" s="3">
        <v>7708.4435</v>
      </c>
      <c r="I25" s="3">
        <v>7726.8752</v>
      </c>
      <c r="J25" s="3">
        <v>7778.961</v>
      </c>
      <c r="K25" s="3">
        <v>7885.717</v>
      </c>
      <c r="L25" s="3">
        <v>8052.5109</v>
      </c>
      <c r="M25" s="3">
        <v>8291.867</v>
      </c>
      <c r="N25" s="3">
        <v>8239.9516</v>
      </c>
      <c r="O25" s="3">
        <v>8385.4738</v>
      </c>
      <c r="P25" s="3">
        <v>8559.7652</v>
      </c>
      <c r="Q25" s="3">
        <v>8741.5828</v>
      </c>
      <c r="R25" s="3">
        <v>8903.6054</v>
      </c>
      <c r="S25" s="3">
        <v>9126.7451</v>
      </c>
      <c r="T25" s="3">
        <v>9366.8112</v>
      </c>
      <c r="U25" s="3">
        <v>9188.9981</v>
      </c>
      <c r="V25" s="3">
        <v>9207.5434</v>
      </c>
      <c r="W25" s="3">
        <v>9160.456</v>
      </c>
      <c r="X25" s="3">
        <v>9187.7769</v>
      </c>
      <c r="Y25" s="3">
        <v>9233.5863</v>
      </c>
      <c r="Z25" s="3">
        <v>9404.6118</v>
      </c>
      <c r="AA25" s="3">
        <v>9594.2109</v>
      </c>
      <c r="AB25" s="3">
        <v>9820.5598</v>
      </c>
      <c r="AC25" s="3">
        <v>10026.4322</v>
      </c>
      <c r="AD25" s="3">
        <v>10380.0988</v>
      </c>
      <c r="AE25" s="3">
        <v>10488.8144</v>
      </c>
      <c r="AF25" s="3">
        <v>10644.9582</v>
      </c>
      <c r="AG25" s="3">
        <v>10918.6501</v>
      </c>
      <c r="AH25" s="3">
        <v>11203.56</v>
      </c>
      <c r="AI25" s="3">
        <v>11672.1051</v>
      </c>
      <c r="AJ25" s="3">
        <v>12031.5369</v>
      </c>
      <c r="AK25" s="3">
        <v>12358.5074</v>
      </c>
      <c r="AL25" s="3">
        <v>12601.3851</v>
      </c>
      <c r="AM25" s="3">
        <v>12821.1168</v>
      </c>
      <c r="AN25" s="3">
        <v>13084.1586</v>
      </c>
      <c r="AO25" s="3">
        <v>13094.1839</v>
      </c>
      <c r="AP25" s="3">
        <v>11762.5878</v>
      </c>
      <c r="AQ25" s="3">
        <v>12234.2853</v>
      </c>
      <c r="AR25" s="3">
        <v>12463.0482</v>
      </c>
      <c r="AS25" s="3">
        <v>12606.3552</v>
      </c>
      <c r="AT25" s="3">
        <v>12512.4644</v>
      </c>
      <c r="AU25" s="3">
        <f t="shared" si="2"/>
        <v>8440.17048</v>
      </c>
      <c r="AV25" s="3">
        <f t="shared" si="3"/>
        <v>9506.44645</v>
      </c>
      <c r="AW25" s="3">
        <f t="shared" si="4"/>
        <v>12133.92687</v>
      </c>
      <c r="AX25" s="4">
        <f t="shared" si="5"/>
        <v>-0.01074992221</v>
      </c>
      <c r="AY25" s="4">
        <f t="shared" si="6"/>
        <v>0.01310065152</v>
      </c>
      <c r="AZ25" s="4">
        <f t="shared" si="7"/>
        <v>0.009779867228</v>
      </c>
    </row>
    <row r="26" ht="14.25" customHeight="1">
      <c r="A26" s="2" t="s">
        <v>170</v>
      </c>
      <c r="B26" s="3">
        <v>22979.7658</v>
      </c>
      <c r="C26" s="3">
        <v>26654.9196</v>
      </c>
      <c r="D26" s="3">
        <v>29005.4394</v>
      </c>
      <c r="E26" s="3">
        <v>29416.424</v>
      </c>
      <c r="F26" s="3">
        <v>30281.9519</v>
      </c>
      <c r="G26" s="3">
        <v>31372.423</v>
      </c>
      <c r="H26" s="3">
        <v>41557.1933</v>
      </c>
      <c r="I26" s="3">
        <v>41339.3061</v>
      </c>
      <c r="J26" s="3">
        <v>41051.8473</v>
      </c>
      <c r="K26" s="3">
        <v>43772.1921</v>
      </c>
      <c r="L26" s="3">
        <v>43100.9376</v>
      </c>
      <c r="M26" s="3">
        <v>42471.172</v>
      </c>
      <c r="N26" s="3">
        <v>42504.3348</v>
      </c>
      <c r="O26" s="3">
        <v>42416.6061</v>
      </c>
      <c r="P26" s="3">
        <v>42123.973</v>
      </c>
      <c r="Q26" s="3">
        <v>43989.4208</v>
      </c>
      <c r="R26" s="3">
        <v>43745.944</v>
      </c>
      <c r="S26" s="3">
        <v>43019.8414</v>
      </c>
      <c r="T26" s="3">
        <v>41929.3233</v>
      </c>
      <c r="U26" s="3">
        <v>40095.3919</v>
      </c>
      <c r="V26" s="3">
        <v>40906.1188</v>
      </c>
      <c r="W26" s="3">
        <v>39668.7431</v>
      </c>
      <c r="X26" s="3">
        <v>37360.9353</v>
      </c>
      <c r="Y26" s="3">
        <v>35180.8869</v>
      </c>
      <c r="Z26" s="3">
        <v>33387.0803</v>
      </c>
      <c r="AA26" s="3">
        <v>30061.2423</v>
      </c>
      <c r="AB26" s="3">
        <v>28959.9521</v>
      </c>
      <c r="AC26" s="3">
        <v>27704.137</v>
      </c>
      <c r="AD26" s="3">
        <v>26568.4609</v>
      </c>
      <c r="AE26" s="3">
        <v>25790.1914</v>
      </c>
      <c r="AF26" s="3">
        <v>25617.321</v>
      </c>
      <c r="AG26" s="3">
        <v>22480.2527</v>
      </c>
      <c r="AH26" s="3">
        <v>21474.0765</v>
      </c>
      <c r="AI26" s="3">
        <v>21747.1882</v>
      </c>
      <c r="AJ26" s="3">
        <v>20751.8311</v>
      </c>
      <c r="AK26" s="3">
        <v>21376.9399</v>
      </c>
      <c r="AL26" s="3">
        <v>22059.2487</v>
      </c>
      <c r="AM26" s="3">
        <v>21717.177</v>
      </c>
      <c r="AN26" s="3">
        <v>21137.6026</v>
      </c>
      <c r="AO26" s="3">
        <v>21729.031</v>
      </c>
      <c r="AP26" s="3">
        <v>18936.9038</v>
      </c>
      <c r="AQ26" s="3">
        <v>20779.8197</v>
      </c>
      <c r="AR26" s="3">
        <v>20925.0778</v>
      </c>
      <c r="AS26" s="3">
        <v>21216.1116</v>
      </c>
      <c r="AT26" s="3">
        <v>21971.661</v>
      </c>
      <c r="AU26" s="3">
        <f t="shared" si="2"/>
        <v>36669.89907</v>
      </c>
      <c r="AV26" s="3">
        <f t="shared" si="3"/>
        <v>35312.73205</v>
      </c>
      <c r="AW26" s="3">
        <f t="shared" si="4"/>
        <v>21594.68284</v>
      </c>
      <c r="AX26" s="4">
        <f t="shared" si="5"/>
        <v>0.0442364238</v>
      </c>
      <c r="AY26" s="4">
        <f t="shared" si="6"/>
        <v>-0.03742148071</v>
      </c>
      <c r="AZ26" s="4">
        <f t="shared" si="7"/>
        <v>-0.001633220515</v>
      </c>
    </row>
    <row r="27" ht="14.25" customHeight="1">
      <c r="A27" s="2" t="s">
        <v>171</v>
      </c>
      <c r="B27" s="3">
        <v>2718.9764</v>
      </c>
      <c r="C27" s="3">
        <v>2727.0683</v>
      </c>
      <c r="D27" s="3">
        <v>2736.2198</v>
      </c>
      <c r="E27" s="3">
        <v>2743.9264</v>
      </c>
      <c r="F27" s="3">
        <v>2750.8623</v>
      </c>
      <c r="G27" s="3">
        <v>2759.0505</v>
      </c>
      <c r="H27" s="3">
        <v>2772.0554</v>
      </c>
      <c r="I27" s="3">
        <v>2784.6749</v>
      </c>
      <c r="J27" s="3">
        <v>2791.9962</v>
      </c>
      <c r="K27" s="3">
        <v>2782.4593</v>
      </c>
      <c r="L27" s="3">
        <v>2772.4407</v>
      </c>
      <c r="M27" s="3">
        <v>2493.0773</v>
      </c>
      <c r="N27" s="3">
        <v>2462.829</v>
      </c>
      <c r="O27" s="3">
        <v>2637.4793</v>
      </c>
      <c r="P27" s="3">
        <v>3083.2084</v>
      </c>
      <c r="Q27" s="3">
        <v>3565.9291</v>
      </c>
      <c r="R27" s="3">
        <v>5199.8195</v>
      </c>
      <c r="S27" s="3">
        <v>6764.5434</v>
      </c>
      <c r="T27" s="3">
        <v>7662.6485</v>
      </c>
      <c r="U27" s="3">
        <v>8192.7646</v>
      </c>
      <c r="V27" s="3">
        <v>8492.1651</v>
      </c>
      <c r="W27" s="3">
        <v>8515.1885</v>
      </c>
      <c r="X27" s="3">
        <v>8870.7507</v>
      </c>
      <c r="Y27" s="3">
        <v>9122.3704</v>
      </c>
      <c r="Z27" s="3">
        <v>9658.5554</v>
      </c>
      <c r="AA27" s="3">
        <v>10049.4715</v>
      </c>
      <c r="AB27" s="3">
        <v>10602.8036</v>
      </c>
      <c r="AC27" s="3">
        <v>11259.1149</v>
      </c>
      <c r="AD27" s="3">
        <v>12010.5061</v>
      </c>
      <c r="AE27" s="3">
        <v>11745.7852</v>
      </c>
      <c r="AF27" s="3">
        <v>11920.7245</v>
      </c>
      <c r="AG27" s="3">
        <v>12247.5796</v>
      </c>
      <c r="AH27" s="3">
        <v>12294.6861</v>
      </c>
      <c r="AI27" s="3">
        <v>12744.3648</v>
      </c>
      <c r="AJ27" s="3">
        <v>13042.3203</v>
      </c>
      <c r="AK27" s="3">
        <v>13735.8158</v>
      </c>
      <c r="AL27" s="3">
        <v>14316.1209</v>
      </c>
      <c r="AM27" s="3">
        <v>14907.2153</v>
      </c>
      <c r="AN27" s="3">
        <v>15562.0816</v>
      </c>
      <c r="AO27" s="3">
        <v>16147.8777</v>
      </c>
      <c r="AP27" s="3">
        <v>15804.7424</v>
      </c>
      <c r="AQ27" s="3">
        <v>17213.3119</v>
      </c>
      <c r="AR27" s="3">
        <v>18190.1204</v>
      </c>
      <c r="AS27" s="3">
        <v>18769.7512</v>
      </c>
      <c r="AT27" s="3">
        <v>19318.9411</v>
      </c>
      <c r="AU27" s="3">
        <f t="shared" si="2"/>
        <v>2734.421613</v>
      </c>
      <c r="AV27" s="3">
        <f t="shared" si="3"/>
        <v>9153.320529</v>
      </c>
      <c r="AW27" s="3">
        <f t="shared" si="4"/>
        <v>15081.04357</v>
      </c>
      <c r="AX27" s="4">
        <f t="shared" si="5"/>
        <v>0.009020099334</v>
      </c>
      <c r="AY27" s="4">
        <f t="shared" si="6"/>
        <v>0.08887804019</v>
      </c>
      <c r="AZ27" s="4">
        <f t="shared" si="7"/>
        <v>0.03308980282</v>
      </c>
    </row>
    <row r="28" ht="14.25" customHeight="1">
      <c r="A28" s="2" t="s">
        <v>172</v>
      </c>
      <c r="B28" s="3">
        <v>8545.9</v>
      </c>
      <c r="C28" s="3">
        <v>9250.0896</v>
      </c>
      <c r="D28" s="3">
        <v>9617.1831</v>
      </c>
      <c r="E28" s="3">
        <v>10379.9831</v>
      </c>
      <c r="F28" s="3">
        <v>11381.6315</v>
      </c>
      <c r="G28" s="3">
        <v>11987.76</v>
      </c>
      <c r="H28" s="3">
        <v>12422.5444</v>
      </c>
      <c r="I28" s="3">
        <v>12989.3286</v>
      </c>
      <c r="J28" s="3">
        <v>14100.6084</v>
      </c>
      <c r="K28" s="3">
        <v>18198.2999</v>
      </c>
      <c r="L28" s="3">
        <v>18864.4634</v>
      </c>
      <c r="M28" s="3">
        <v>19612.431</v>
      </c>
      <c r="N28" s="3">
        <v>19507.9922</v>
      </c>
      <c r="O28" s="3">
        <v>19150.2853</v>
      </c>
      <c r="P28" s="3">
        <v>19122.4448</v>
      </c>
      <c r="Q28" s="3">
        <v>19718.7471</v>
      </c>
      <c r="R28" s="3">
        <v>20106.2784</v>
      </c>
      <c r="S28" s="3">
        <v>20958.7115</v>
      </c>
      <c r="T28" s="3">
        <v>20377.1749</v>
      </c>
      <c r="U28" s="3">
        <v>21548.2767</v>
      </c>
      <c r="V28" s="3">
        <v>21201.794</v>
      </c>
      <c r="W28" s="3">
        <v>20539.8379</v>
      </c>
      <c r="X28" s="3">
        <v>21003.7544</v>
      </c>
      <c r="Y28" s="3">
        <v>21210.4883</v>
      </c>
      <c r="Z28" s="3">
        <v>21034.351</v>
      </c>
      <c r="AA28" s="3">
        <v>21237.8762</v>
      </c>
      <c r="AB28" s="3">
        <v>22227.9943</v>
      </c>
      <c r="AC28" s="3">
        <v>22809.6507</v>
      </c>
      <c r="AD28" s="3">
        <v>22744.3565</v>
      </c>
      <c r="AE28" s="3">
        <v>18967.0781</v>
      </c>
      <c r="AF28" s="3">
        <v>20301.7217</v>
      </c>
      <c r="AG28" s="3">
        <v>21151.9712</v>
      </c>
      <c r="AH28" s="3">
        <v>20768.1413</v>
      </c>
      <c r="AI28" s="3">
        <v>22782.4892</v>
      </c>
      <c r="AJ28" s="3">
        <v>23712.3593</v>
      </c>
      <c r="AK28" s="3">
        <v>22159.9307</v>
      </c>
      <c r="AL28" s="3">
        <v>23403.4367</v>
      </c>
      <c r="AM28" s="3">
        <v>23946.2947</v>
      </c>
      <c r="AN28" s="3">
        <v>24486.7162</v>
      </c>
      <c r="AO28" s="3">
        <v>24769.1164</v>
      </c>
      <c r="AP28" s="3">
        <v>22124.1147</v>
      </c>
      <c r="AQ28" s="3">
        <v>24346.3816</v>
      </c>
      <c r="AR28" s="3">
        <v>25000.815</v>
      </c>
      <c r="AS28" s="3">
        <v>25206.8299</v>
      </c>
      <c r="AT28" s="3">
        <v>23826.6108</v>
      </c>
      <c r="AU28" s="3">
        <f t="shared" si="2"/>
        <v>14342.06302</v>
      </c>
      <c r="AV28" s="3">
        <f t="shared" si="3"/>
        <v>21140.54449</v>
      </c>
      <c r="AW28" s="3">
        <f t="shared" si="4"/>
        <v>23199.12863</v>
      </c>
      <c r="AX28" s="4">
        <f t="shared" si="5"/>
        <v>0.05921637558</v>
      </c>
      <c r="AY28" s="4">
        <f t="shared" si="6"/>
        <v>-0.002772226549</v>
      </c>
      <c r="AZ28" s="4">
        <f t="shared" si="7"/>
        <v>0.008541267011</v>
      </c>
    </row>
    <row r="29" ht="14.25" customHeight="1">
      <c r="A29" s="2" t="s">
        <v>173</v>
      </c>
      <c r="B29" s="3">
        <v>20318.224</v>
      </c>
      <c r="C29" s="3">
        <v>18852.619</v>
      </c>
      <c r="D29" s="3">
        <v>18431.7482</v>
      </c>
      <c r="E29" s="3">
        <v>17355.6767</v>
      </c>
      <c r="F29" s="3">
        <v>17752.9827</v>
      </c>
      <c r="G29" s="3">
        <v>18594.9167</v>
      </c>
      <c r="H29" s="3">
        <v>19431.9069</v>
      </c>
      <c r="I29" s="3">
        <v>19578.9536</v>
      </c>
      <c r="J29" s="3">
        <v>19058.7425</v>
      </c>
      <c r="K29" s="3">
        <v>19160.9665</v>
      </c>
      <c r="L29" s="3">
        <v>17864.5448</v>
      </c>
      <c r="M29" s="3">
        <v>17597.2023</v>
      </c>
      <c r="N29" s="3">
        <v>16996.0249</v>
      </c>
      <c r="O29" s="3">
        <v>17375.0119</v>
      </c>
      <c r="P29" s="3">
        <v>17945.4012</v>
      </c>
      <c r="Q29" s="3">
        <v>18252.5128</v>
      </c>
      <c r="R29" s="3">
        <v>18195.4409</v>
      </c>
      <c r="S29" s="3">
        <v>18355.4784</v>
      </c>
      <c r="T29" s="3">
        <v>17911.9765</v>
      </c>
      <c r="U29" s="3">
        <v>17515.1923</v>
      </c>
      <c r="V29" s="3">
        <v>17825.9018</v>
      </c>
      <c r="W29" s="3">
        <v>17639.9101</v>
      </c>
      <c r="X29" s="3">
        <v>17747.2426</v>
      </c>
      <c r="Y29" s="3">
        <v>17531.1494</v>
      </c>
      <c r="Z29" s="3">
        <v>18120.5718</v>
      </c>
      <c r="AA29" s="3">
        <v>18290.5516</v>
      </c>
      <c r="AB29" s="3">
        <v>18611.0385</v>
      </c>
      <c r="AC29" s="3">
        <v>19337.2906</v>
      </c>
      <c r="AD29" s="3">
        <v>19927.0701</v>
      </c>
      <c r="AE29" s="3">
        <v>19537.1246</v>
      </c>
      <c r="AF29" s="3">
        <v>20646.511</v>
      </c>
      <c r="AG29" s="3">
        <v>21114.841</v>
      </c>
      <c r="AH29" s="3">
        <v>21177.3235</v>
      </c>
      <c r="AI29" s="3">
        <v>21472.0484</v>
      </c>
      <c r="AJ29" s="3">
        <v>21247.7982</v>
      </c>
      <c r="AK29" s="3">
        <v>20185.5964</v>
      </c>
      <c r="AL29" s="3">
        <v>19234.5997</v>
      </c>
      <c r="AM29" s="3">
        <v>19206.256</v>
      </c>
      <c r="AN29" s="3">
        <v>19277.8018</v>
      </c>
      <c r="AO29" s="3">
        <v>19252.1772</v>
      </c>
      <c r="AP29" s="3">
        <v>18391.5946</v>
      </c>
      <c r="AQ29" s="3">
        <v>19112.0242</v>
      </c>
      <c r="AR29" s="3">
        <v>19486.2873</v>
      </c>
      <c r="AS29" s="3">
        <v>19930.1187</v>
      </c>
      <c r="AT29" s="3">
        <v>20414.4882</v>
      </c>
      <c r="AU29" s="3">
        <f t="shared" si="2"/>
        <v>18420.99479</v>
      </c>
      <c r="AV29" s="3">
        <f t="shared" si="3"/>
        <v>18324.70994</v>
      </c>
      <c r="AW29" s="3">
        <f t="shared" si="4"/>
        <v>20009.96441</v>
      </c>
      <c r="AX29" s="4">
        <f t="shared" si="5"/>
        <v>-0.008831084566</v>
      </c>
      <c r="AY29" s="4">
        <f t="shared" si="6"/>
        <v>0.004869942885</v>
      </c>
      <c r="AZ29" s="4">
        <f t="shared" si="7"/>
        <v>-0.002406478599</v>
      </c>
    </row>
    <row r="30" ht="14.25" customHeight="1">
      <c r="A30" s="2" t="s">
        <v>174</v>
      </c>
      <c r="B30" s="3">
        <v>14664.301</v>
      </c>
      <c r="C30" s="3">
        <v>14220.2195</v>
      </c>
      <c r="D30" s="3">
        <v>13926.8254</v>
      </c>
      <c r="E30" s="3">
        <v>14053.2277</v>
      </c>
      <c r="F30" s="3">
        <v>14125.2247</v>
      </c>
      <c r="G30" s="3">
        <v>13602.796</v>
      </c>
      <c r="H30" s="3">
        <v>13451.8512</v>
      </c>
      <c r="I30" s="3">
        <v>14676.4865</v>
      </c>
      <c r="J30" s="3">
        <v>15545.2558</v>
      </c>
      <c r="K30" s="3">
        <v>16079.6982</v>
      </c>
      <c r="L30" s="3">
        <v>19293.218</v>
      </c>
      <c r="M30" s="3">
        <v>22823.8162</v>
      </c>
      <c r="N30" s="3">
        <v>27546.5266</v>
      </c>
      <c r="O30" s="3">
        <v>35036.2724</v>
      </c>
      <c r="P30" s="3">
        <v>42538.3753</v>
      </c>
      <c r="Q30" s="3">
        <v>51221.8637</v>
      </c>
      <c r="R30" s="3">
        <v>53779.9448</v>
      </c>
      <c r="S30" s="3">
        <v>57863.9501</v>
      </c>
      <c r="T30" s="3">
        <v>62184.9705</v>
      </c>
      <c r="U30" s="3">
        <v>66310.0802</v>
      </c>
      <c r="V30" s="3">
        <v>70041.4805</v>
      </c>
      <c r="W30" s="3">
        <v>71034.5926</v>
      </c>
      <c r="X30" s="3">
        <v>65943.1444</v>
      </c>
      <c r="Y30" s="3">
        <v>55101.7202</v>
      </c>
      <c r="Z30" s="3">
        <v>54630.6076</v>
      </c>
      <c r="AA30" s="3">
        <v>59729.0925</v>
      </c>
      <c r="AB30" s="3">
        <v>57492.0372</v>
      </c>
      <c r="AC30" s="3">
        <v>55599.0915</v>
      </c>
      <c r="AD30" s="3">
        <v>53587.8098</v>
      </c>
      <c r="AE30" s="3">
        <v>51961.9995</v>
      </c>
      <c r="AF30" s="3">
        <v>51830.7059</v>
      </c>
      <c r="AG30" s="3">
        <v>48071.0731</v>
      </c>
      <c r="AH30" s="3">
        <v>44667.6496</v>
      </c>
      <c r="AI30" s="3">
        <v>43781.8035</v>
      </c>
      <c r="AJ30" s="3">
        <v>42509.5421</v>
      </c>
      <c r="AK30" s="3">
        <v>40632.386</v>
      </c>
      <c r="AL30" s="3">
        <v>43393.5003</v>
      </c>
      <c r="AM30" s="3">
        <v>44492.1623</v>
      </c>
      <c r="AN30" s="3">
        <v>43776.3115</v>
      </c>
      <c r="AO30" s="3">
        <v>44268.4482</v>
      </c>
      <c r="AP30" s="3">
        <v>41832.4787</v>
      </c>
      <c r="AQ30" s="3">
        <v>41724.1829</v>
      </c>
      <c r="AR30" s="3">
        <v>41885.2536</v>
      </c>
      <c r="AS30" s="3">
        <v>42163.5447</v>
      </c>
      <c r="AT30" s="3">
        <v>42572.0139</v>
      </c>
      <c r="AU30" s="3">
        <f t="shared" si="2"/>
        <v>19438.93963</v>
      </c>
      <c r="AV30" s="3">
        <f t="shared" si="3"/>
        <v>59661.46581</v>
      </c>
      <c r="AW30" s="3">
        <f t="shared" si="4"/>
        <v>43840.07042</v>
      </c>
      <c r="AX30" s="4">
        <f t="shared" si="5"/>
        <v>0.07903891962</v>
      </c>
      <c r="AY30" s="4">
        <f t="shared" si="6"/>
        <v>0.001025254236</v>
      </c>
      <c r="AZ30" s="4">
        <f t="shared" si="7"/>
        <v>-0.008639854267</v>
      </c>
    </row>
    <row r="31" ht="14.25" customHeight="1">
      <c r="A31" s="2" t="s">
        <v>175</v>
      </c>
      <c r="B31" s="3">
        <v>266928.5936</v>
      </c>
      <c r="C31" s="3">
        <v>204525.5251</v>
      </c>
      <c r="D31" s="3">
        <v>202683.5844</v>
      </c>
      <c r="E31" s="3">
        <v>193799.026</v>
      </c>
      <c r="F31" s="3">
        <v>185754.1859</v>
      </c>
      <c r="G31" s="3">
        <v>174619.9916</v>
      </c>
      <c r="H31" s="3">
        <v>147667.9594</v>
      </c>
      <c r="I31" s="3">
        <v>142072.9809</v>
      </c>
      <c r="J31" s="3">
        <v>136276.41</v>
      </c>
      <c r="K31" s="3">
        <v>134116.7049</v>
      </c>
      <c r="L31" s="3">
        <v>130659.0172</v>
      </c>
      <c r="M31" s="3">
        <v>130386.4915</v>
      </c>
      <c r="N31" s="3">
        <v>132525.149</v>
      </c>
      <c r="O31" s="3">
        <v>128915.3444</v>
      </c>
      <c r="P31" s="3">
        <v>128958.123</v>
      </c>
      <c r="Q31" s="3">
        <v>130599.5645</v>
      </c>
      <c r="R31" s="3">
        <v>130179.022</v>
      </c>
      <c r="S31" s="3">
        <v>124225.4139</v>
      </c>
      <c r="T31" s="3">
        <v>119601.7697</v>
      </c>
      <c r="U31" s="3">
        <v>119283.7319</v>
      </c>
      <c r="V31" s="3">
        <v>118704.7855</v>
      </c>
      <c r="W31" s="3">
        <v>118083.0605</v>
      </c>
      <c r="X31" s="3">
        <v>118870.1597</v>
      </c>
      <c r="Y31" s="3">
        <v>118665.8337</v>
      </c>
      <c r="Z31" s="3">
        <v>115803.3566</v>
      </c>
      <c r="AA31" s="3">
        <v>112942.1094</v>
      </c>
      <c r="AB31" s="3">
        <v>114631.3865</v>
      </c>
      <c r="AC31" s="3">
        <v>112110.5915</v>
      </c>
      <c r="AD31" s="3">
        <v>107628.4038</v>
      </c>
      <c r="AE31" s="3">
        <v>103371.7264</v>
      </c>
      <c r="AF31" s="3">
        <v>103839.9678</v>
      </c>
      <c r="AG31" s="3">
        <v>105404.4624</v>
      </c>
      <c r="AH31" s="3">
        <v>104177.2765</v>
      </c>
      <c r="AI31" s="3">
        <v>99856.4995</v>
      </c>
      <c r="AJ31" s="3">
        <v>95316.4992</v>
      </c>
      <c r="AK31" s="3">
        <v>92898.2089</v>
      </c>
      <c r="AL31" s="3">
        <v>88687.4536</v>
      </c>
      <c r="AM31" s="3">
        <v>88075.979</v>
      </c>
      <c r="AN31" s="3">
        <v>86306.2017</v>
      </c>
      <c r="AO31" s="3">
        <v>87850.4688</v>
      </c>
      <c r="AP31" s="3">
        <v>87051.7523</v>
      </c>
      <c r="AQ31" s="3">
        <v>83453.1549</v>
      </c>
      <c r="AR31" s="3">
        <v>78943.6327</v>
      </c>
      <c r="AS31" s="3">
        <v>82524.1892</v>
      </c>
      <c r="AT31" s="3">
        <v>84602.0273</v>
      </c>
      <c r="AU31" s="3">
        <f t="shared" si="2"/>
        <v>162659.2725</v>
      </c>
      <c r="AV31" s="3">
        <f t="shared" si="3"/>
        <v>116721.5251</v>
      </c>
      <c r="AW31" s="3">
        <f t="shared" si="4"/>
        <v>91265.85159</v>
      </c>
      <c r="AX31" s="4">
        <f t="shared" si="5"/>
        <v>-0.05063678441</v>
      </c>
      <c r="AY31" s="4">
        <f t="shared" si="6"/>
        <v>-0.01656163686</v>
      </c>
      <c r="AZ31" s="4">
        <f t="shared" si="7"/>
        <v>-0.01558068425</v>
      </c>
    </row>
    <row r="32" ht="14.25" customHeight="1">
      <c r="A32" s="2" t="s">
        <v>176</v>
      </c>
      <c r="B32" s="3">
        <v>12507.9057</v>
      </c>
      <c r="C32" s="3">
        <v>13055.851</v>
      </c>
      <c r="D32" s="3">
        <v>13311.0905</v>
      </c>
      <c r="E32" s="3">
        <v>13712.6829</v>
      </c>
      <c r="F32" s="3">
        <v>14119.8786</v>
      </c>
      <c r="G32" s="3">
        <v>14453.6468</v>
      </c>
      <c r="H32" s="3">
        <v>15033.8734</v>
      </c>
      <c r="I32" s="3">
        <v>15919.1831</v>
      </c>
      <c r="J32" s="3">
        <v>17623.5674</v>
      </c>
      <c r="K32" s="3">
        <v>17065.0847</v>
      </c>
      <c r="L32" s="3">
        <v>15731.3496</v>
      </c>
      <c r="M32" s="3">
        <v>14521.8891</v>
      </c>
      <c r="N32" s="3">
        <v>13595.0152</v>
      </c>
      <c r="O32" s="3">
        <v>13461.1232</v>
      </c>
      <c r="P32" s="3">
        <v>13693.5316</v>
      </c>
      <c r="Q32" s="3">
        <v>14075.7218</v>
      </c>
      <c r="R32" s="3">
        <v>14814.7622</v>
      </c>
      <c r="S32" s="3">
        <v>12747.7572</v>
      </c>
      <c r="T32" s="3">
        <v>13260.5779</v>
      </c>
      <c r="U32" s="3">
        <v>12146.3722</v>
      </c>
      <c r="V32" s="3">
        <v>12774.7698</v>
      </c>
      <c r="W32" s="3">
        <v>13250.1241</v>
      </c>
      <c r="X32" s="3">
        <v>14139.448</v>
      </c>
      <c r="Y32" s="3">
        <v>14893.8764</v>
      </c>
      <c r="Z32" s="3">
        <v>15853.5334</v>
      </c>
      <c r="AA32" s="3">
        <v>17022.935</v>
      </c>
      <c r="AB32" s="3">
        <v>18269.2765</v>
      </c>
      <c r="AC32" s="3">
        <v>19531.6749</v>
      </c>
      <c r="AD32" s="3">
        <v>20853.1999</v>
      </c>
      <c r="AE32" s="3">
        <v>20165.3412</v>
      </c>
      <c r="AF32" s="3">
        <v>20430.7</v>
      </c>
      <c r="AG32" s="3">
        <v>21051.5709</v>
      </c>
      <c r="AH32" s="3">
        <v>21288.8299</v>
      </c>
      <c r="AI32" s="3">
        <v>21292.8441</v>
      </c>
      <c r="AJ32" s="3">
        <v>21647.0182</v>
      </c>
      <c r="AK32" s="3">
        <v>22523.1285</v>
      </c>
      <c r="AL32" s="3">
        <v>23382.4292</v>
      </c>
      <c r="AM32" s="3">
        <v>24248.6712</v>
      </c>
      <c r="AN32" s="3">
        <v>25055.703</v>
      </c>
      <c r="AO32" s="3">
        <v>26216.8253</v>
      </c>
      <c r="AP32" s="3">
        <v>25479.9592</v>
      </c>
      <c r="AQ32" s="3">
        <v>27701.0111</v>
      </c>
      <c r="AR32" s="3">
        <v>29193.9781</v>
      </c>
      <c r="AS32" s="3">
        <v>30137.0763</v>
      </c>
      <c r="AT32" s="3">
        <v>31189.3956</v>
      </c>
      <c r="AU32" s="3">
        <f t="shared" si="2"/>
        <v>14520.37819</v>
      </c>
      <c r="AV32" s="3">
        <f t="shared" si="3"/>
        <v>15694.54634</v>
      </c>
      <c r="AW32" s="3">
        <f t="shared" si="4"/>
        <v>24722.60937</v>
      </c>
      <c r="AX32" s="4">
        <f t="shared" si="5"/>
        <v>0.006489730128</v>
      </c>
      <c r="AY32" s="4">
        <f t="shared" si="6"/>
        <v>0.02601212439</v>
      </c>
      <c r="AZ32" s="4">
        <f t="shared" si="7"/>
        <v>0.02847670815</v>
      </c>
    </row>
    <row r="33" ht="14.25" customHeight="1">
      <c r="A33" s="2" t="s">
        <v>177</v>
      </c>
      <c r="B33" s="3">
        <v>1808.6441</v>
      </c>
      <c r="C33" s="3">
        <v>1847.2339</v>
      </c>
      <c r="D33" s="3">
        <v>1845.3844</v>
      </c>
      <c r="E33" s="3">
        <v>1780.7791</v>
      </c>
      <c r="F33" s="3">
        <v>1766.6222</v>
      </c>
      <c r="G33" s="3">
        <v>1948.7242</v>
      </c>
      <c r="H33" s="3">
        <v>2056.619</v>
      </c>
      <c r="I33" s="3">
        <v>2008.3885</v>
      </c>
      <c r="J33" s="3">
        <v>2079.0681</v>
      </c>
      <c r="K33" s="3">
        <v>2078.4849</v>
      </c>
      <c r="L33" s="3">
        <v>2021.6595</v>
      </c>
      <c r="M33" s="3">
        <v>2161.6066</v>
      </c>
      <c r="N33" s="3">
        <v>2126.1295</v>
      </c>
      <c r="O33" s="3">
        <v>2156.2663</v>
      </c>
      <c r="P33" s="3">
        <v>2138.762</v>
      </c>
      <c r="Q33" s="3">
        <v>2209.5412</v>
      </c>
      <c r="R33" s="3">
        <v>2395.0697</v>
      </c>
      <c r="S33" s="3">
        <v>2485.6289</v>
      </c>
      <c r="T33" s="3">
        <v>2592.1247</v>
      </c>
      <c r="U33" s="3">
        <v>2664.4511</v>
      </c>
      <c r="V33" s="3">
        <v>2624.1763</v>
      </c>
      <c r="W33" s="3">
        <v>2700.846</v>
      </c>
      <c r="X33" s="3">
        <v>2717.2796</v>
      </c>
      <c r="Y33" s="3">
        <v>2822.6104</v>
      </c>
      <c r="Z33" s="3">
        <v>2841.2602</v>
      </c>
      <c r="AA33" s="3">
        <v>2975.5739</v>
      </c>
      <c r="AB33" s="3">
        <v>3052.4721</v>
      </c>
      <c r="AC33" s="3">
        <v>3075.6012</v>
      </c>
      <c r="AD33" s="3">
        <v>3141.3498</v>
      </c>
      <c r="AE33" s="3">
        <v>3140.8364</v>
      </c>
      <c r="AF33" s="3">
        <v>3307.9784</v>
      </c>
      <c r="AG33" s="3">
        <v>3425.5046</v>
      </c>
      <c r="AH33" s="3">
        <v>3539.027</v>
      </c>
      <c r="AI33" s="3">
        <v>3630.5392</v>
      </c>
      <c r="AJ33" s="3">
        <v>3667.3152</v>
      </c>
      <c r="AK33" s="3">
        <v>3681.4656</v>
      </c>
      <c r="AL33" s="3">
        <v>3780.5747</v>
      </c>
      <c r="AM33" s="3">
        <v>3883.6004</v>
      </c>
      <c r="AN33" s="3">
        <v>4007.2116</v>
      </c>
      <c r="AO33" s="3">
        <v>4117.2955</v>
      </c>
      <c r="AP33" s="3">
        <v>4063.5951</v>
      </c>
      <c r="AQ33" s="3">
        <v>4221.3968</v>
      </c>
      <c r="AR33" s="3">
        <v>4129.4176</v>
      </c>
      <c r="AS33" s="3">
        <v>4138.104</v>
      </c>
      <c r="AT33" s="3">
        <v>4350.4668</v>
      </c>
      <c r="AU33" s="3">
        <f t="shared" si="2"/>
        <v>1988.291487</v>
      </c>
      <c r="AV33" s="3">
        <f t="shared" si="3"/>
        <v>2802.09145</v>
      </c>
      <c r="AW33" s="3">
        <f t="shared" si="4"/>
        <v>3862.8995</v>
      </c>
      <c r="AX33" s="4">
        <f t="shared" si="5"/>
        <v>0.0120469663</v>
      </c>
      <c r="AY33" s="4">
        <f t="shared" si="6"/>
        <v>0.02543994132</v>
      </c>
      <c r="AZ33" s="4">
        <f t="shared" si="7"/>
        <v>0.01722047473</v>
      </c>
    </row>
    <row r="34" ht="14.25" customHeight="1">
      <c r="A34" s="2" t="s">
        <v>178</v>
      </c>
      <c r="B34" s="3">
        <v>1913.0697</v>
      </c>
      <c r="C34" s="3">
        <v>2024.8766</v>
      </c>
      <c r="D34" s="3">
        <v>1979.9897</v>
      </c>
      <c r="E34" s="3">
        <v>1999.3165</v>
      </c>
      <c r="F34" s="3">
        <v>1967.1825</v>
      </c>
      <c r="G34" s="3">
        <v>2171.4205</v>
      </c>
      <c r="H34" s="3">
        <v>2240.2123</v>
      </c>
      <c r="I34" s="3">
        <v>2299.181</v>
      </c>
      <c r="J34" s="3">
        <v>2375.8816</v>
      </c>
      <c r="K34" s="3">
        <v>2384.6788</v>
      </c>
      <c r="L34" s="3">
        <v>2434.3032</v>
      </c>
      <c r="M34" s="3">
        <v>2527.1297</v>
      </c>
      <c r="N34" s="3">
        <v>2503.8362</v>
      </c>
      <c r="O34" s="3">
        <v>2536.6908</v>
      </c>
      <c r="P34" s="3">
        <v>2475.545</v>
      </c>
      <c r="Q34" s="3">
        <v>2079.1224</v>
      </c>
      <c r="R34" s="3">
        <v>1936.1955</v>
      </c>
      <c r="S34" s="3">
        <v>1980.1798</v>
      </c>
      <c r="T34" s="3">
        <v>2021.9654</v>
      </c>
      <c r="U34" s="3">
        <v>1934.2618</v>
      </c>
      <c r="V34" s="3">
        <v>1865.6462</v>
      </c>
      <c r="W34" s="3">
        <v>1836.6796</v>
      </c>
      <c r="X34" s="3">
        <v>1839.6829</v>
      </c>
      <c r="Y34" s="3">
        <v>1734.924</v>
      </c>
      <c r="Z34" s="3">
        <v>1711.6222</v>
      </c>
      <c r="AA34" s="3">
        <v>1641.6096</v>
      </c>
      <c r="AB34" s="3">
        <v>1653.568</v>
      </c>
      <c r="AC34" s="3">
        <v>1634.7744</v>
      </c>
      <c r="AD34" s="3">
        <v>1621.6748</v>
      </c>
      <c r="AE34" s="3">
        <v>1575.9692</v>
      </c>
      <c r="AF34" s="3">
        <v>1565.1751</v>
      </c>
      <c r="AG34" s="3">
        <v>1571.5689</v>
      </c>
      <c r="AH34" s="3">
        <v>1584.7172</v>
      </c>
      <c r="AI34" s="3">
        <v>1602.0465</v>
      </c>
      <c r="AJ34" s="3">
        <v>1618.6668</v>
      </c>
      <c r="AK34" s="3">
        <v>1591.8129</v>
      </c>
      <c r="AL34" s="3">
        <v>1637.0372</v>
      </c>
      <c r="AM34" s="3">
        <v>1671.2433</v>
      </c>
      <c r="AN34" s="3">
        <v>1708.5842</v>
      </c>
      <c r="AO34" s="3">
        <v>1724.5249</v>
      </c>
      <c r="AP34" s="3">
        <v>1676.1287</v>
      </c>
      <c r="AQ34" s="3">
        <v>1683.6826</v>
      </c>
      <c r="AR34" s="3">
        <v>1652.9535</v>
      </c>
      <c r="AS34" s="3">
        <v>1648.0116</v>
      </c>
      <c r="AT34" s="3">
        <v>1649.1199</v>
      </c>
      <c r="AU34" s="3">
        <f t="shared" si="2"/>
        <v>2255.554273</v>
      </c>
      <c r="AV34" s="3">
        <f t="shared" si="3"/>
        <v>1784.910957</v>
      </c>
      <c r="AW34" s="3">
        <f t="shared" si="4"/>
        <v>1639.01822</v>
      </c>
      <c r="AX34" s="4">
        <f t="shared" si="5"/>
        <v>0.01858134179</v>
      </c>
      <c r="AY34" s="4">
        <f t="shared" si="6"/>
        <v>-0.01959654415</v>
      </c>
      <c r="AZ34" s="4">
        <f t="shared" si="7"/>
        <v>0.003446449103</v>
      </c>
    </row>
    <row r="35" ht="14.25" customHeight="1">
      <c r="A35" s="2" t="s">
        <v>179</v>
      </c>
      <c r="B35" s="3">
        <v>3619.2299</v>
      </c>
      <c r="C35" s="3">
        <v>3865.2145</v>
      </c>
      <c r="D35" s="3">
        <v>3890.8386</v>
      </c>
      <c r="E35" s="3">
        <v>4168.3085</v>
      </c>
      <c r="F35" s="3">
        <v>4231.685</v>
      </c>
      <c r="G35" s="3">
        <v>4494.7158</v>
      </c>
      <c r="H35" s="3">
        <v>4528.857</v>
      </c>
      <c r="I35" s="3">
        <v>4630.5266</v>
      </c>
      <c r="J35" s="3">
        <v>4808.9382</v>
      </c>
      <c r="K35" s="3">
        <v>4977.8253</v>
      </c>
      <c r="L35" s="3">
        <v>4882.3017</v>
      </c>
      <c r="M35" s="3">
        <v>4805.7952</v>
      </c>
      <c r="N35" s="3">
        <v>4814.9656</v>
      </c>
      <c r="O35" s="3">
        <v>5030.1586</v>
      </c>
      <c r="P35" s="3">
        <v>5242.7881</v>
      </c>
      <c r="Q35" s="3">
        <v>5495.1759</v>
      </c>
      <c r="R35" s="3">
        <v>5717.3284</v>
      </c>
      <c r="S35" s="3">
        <v>6005.5539</v>
      </c>
      <c r="T35" s="3">
        <v>6353.8888</v>
      </c>
      <c r="U35" s="3">
        <v>6932.8659</v>
      </c>
      <c r="V35" s="3">
        <v>7245.4727</v>
      </c>
      <c r="W35" s="3">
        <v>7565.3743</v>
      </c>
      <c r="X35" s="3">
        <v>7824.0727</v>
      </c>
      <c r="Y35" s="3">
        <v>8042.6804</v>
      </c>
      <c r="Z35" s="3">
        <v>8235.8188</v>
      </c>
      <c r="AA35" s="3">
        <v>8616.6605</v>
      </c>
      <c r="AB35" s="3">
        <v>9327.3864</v>
      </c>
      <c r="AC35" s="3">
        <v>9964.678</v>
      </c>
      <c r="AD35" s="3">
        <v>10317.9116</v>
      </c>
      <c r="AE35" s="3">
        <v>9889.303</v>
      </c>
      <c r="AF35" s="3">
        <v>9811.6809</v>
      </c>
      <c r="AG35" s="3">
        <v>9957.0928</v>
      </c>
      <c r="AH35" s="3">
        <v>9849.8005</v>
      </c>
      <c r="AI35" s="3">
        <v>9708.7989</v>
      </c>
      <c r="AJ35" s="3">
        <v>9585.1455</v>
      </c>
      <c r="AK35" s="3">
        <v>9496.9093</v>
      </c>
      <c r="AL35" s="3">
        <v>9792.327</v>
      </c>
      <c r="AM35" s="3">
        <v>10140.4306</v>
      </c>
      <c r="AN35" s="3">
        <v>10446.7066</v>
      </c>
      <c r="AO35" s="3">
        <v>11148.5756</v>
      </c>
      <c r="AP35" s="3">
        <v>8815.8132</v>
      </c>
      <c r="AQ35" s="3">
        <v>9394.8308</v>
      </c>
      <c r="AR35" s="3">
        <v>10802.1237</v>
      </c>
      <c r="AS35" s="3">
        <v>11233.0286</v>
      </c>
      <c r="AT35" s="3">
        <v>11709.735</v>
      </c>
      <c r="AU35" s="3">
        <f t="shared" si="2"/>
        <v>4532.809907</v>
      </c>
      <c r="AV35" s="3">
        <f t="shared" si="3"/>
        <v>8002.785386</v>
      </c>
      <c r="AW35" s="3">
        <f t="shared" si="4"/>
        <v>10126.19993</v>
      </c>
      <c r="AX35" s="4">
        <f t="shared" si="5"/>
        <v>0.0268243346</v>
      </c>
      <c r="AY35" s="4">
        <f t="shared" si="6"/>
        <v>0.04286342105</v>
      </c>
      <c r="AZ35" s="4">
        <f t="shared" si="7"/>
        <v>0.01164842098</v>
      </c>
    </row>
    <row r="36" ht="14.25" customHeight="1">
      <c r="A36" s="2" t="s">
        <v>180</v>
      </c>
      <c r="B36" s="3">
        <v>2329.6639</v>
      </c>
      <c r="C36" s="3">
        <v>2304.4255</v>
      </c>
      <c r="D36" s="3">
        <v>2234.0506</v>
      </c>
      <c r="E36" s="3">
        <v>2235.7038</v>
      </c>
      <c r="F36" s="3">
        <v>2251.1275</v>
      </c>
      <c r="G36" s="3">
        <v>2275.6334</v>
      </c>
      <c r="H36" s="3">
        <v>2258.361</v>
      </c>
      <c r="I36" s="3">
        <v>2609.7514</v>
      </c>
      <c r="J36" s="3">
        <v>2906.3004</v>
      </c>
      <c r="K36" s="3">
        <v>2776.6214</v>
      </c>
      <c r="L36" s="3">
        <v>2670.1225</v>
      </c>
      <c r="M36" s="3">
        <v>2736.4078</v>
      </c>
      <c r="N36" s="3">
        <v>2736.6903</v>
      </c>
      <c r="O36" s="3">
        <v>2641.7156</v>
      </c>
      <c r="P36" s="3">
        <v>2681.5317</v>
      </c>
      <c r="Q36" s="3">
        <v>2696.3929</v>
      </c>
      <c r="R36" s="3">
        <v>2682.5008</v>
      </c>
      <c r="S36" s="3">
        <v>2685.0651</v>
      </c>
      <c r="T36" s="3">
        <v>2736.602</v>
      </c>
      <c r="U36" s="3">
        <v>3009.002</v>
      </c>
      <c r="V36" s="3">
        <v>3219.5648</v>
      </c>
      <c r="W36" s="3">
        <v>3335.4257</v>
      </c>
      <c r="X36" s="3">
        <v>3416.5301</v>
      </c>
      <c r="Y36" s="3">
        <v>3631.9346</v>
      </c>
      <c r="Z36" s="3">
        <v>3834.0316</v>
      </c>
      <c r="AA36" s="3">
        <v>4192.736</v>
      </c>
      <c r="AB36" s="3">
        <v>4488.8513</v>
      </c>
      <c r="AC36" s="3">
        <v>4787.3011</v>
      </c>
      <c r="AD36" s="3">
        <v>4976.5172</v>
      </c>
      <c r="AE36" s="3">
        <v>5014.0087</v>
      </c>
      <c r="AF36" s="3">
        <v>5113.8735</v>
      </c>
      <c r="AG36" s="3">
        <v>5321.6609</v>
      </c>
      <c r="AH36" s="3">
        <v>5562.2481</v>
      </c>
      <c r="AI36" s="3">
        <v>5828.0595</v>
      </c>
      <c r="AJ36" s="3">
        <v>6122.0034</v>
      </c>
      <c r="AK36" s="3">
        <v>6394.9202</v>
      </c>
      <c r="AL36" s="3">
        <v>6743.5</v>
      </c>
      <c r="AM36" s="3">
        <v>7153.7354</v>
      </c>
      <c r="AN36" s="3">
        <v>7653.2488</v>
      </c>
      <c r="AO36" s="3">
        <v>8124.4629</v>
      </c>
      <c r="AP36" s="3">
        <v>7684.8833</v>
      </c>
      <c r="AQ36" s="3">
        <v>7709.4882</v>
      </c>
      <c r="AR36" s="3">
        <v>7767.5528</v>
      </c>
      <c r="AS36" s="3">
        <v>8374.8283</v>
      </c>
      <c r="AT36" s="3">
        <v>8729.4833</v>
      </c>
      <c r="AU36" s="3">
        <f t="shared" si="2"/>
        <v>2509.873787</v>
      </c>
      <c r="AV36" s="3">
        <f t="shared" si="3"/>
        <v>3715.005071</v>
      </c>
      <c r="AW36" s="3">
        <f t="shared" si="4"/>
        <v>6952.26324</v>
      </c>
      <c r="AX36" s="4">
        <f t="shared" si="5"/>
        <v>0.01009808449</v>
      </c>
      <c r="AY36" s="4">
        <f t="shared" si="6"/>
        <v>0.04530491742</v>
      </c>
      <c r="AZ36" s="4">
        <f t="shared" si="7"/>
        <v>0.03598377295</v>
      </c>
    </row>
    <row r="37" ht="14.25" customHeight="1">
      <c r="A37" s="2" t="s">
        <v>181</v>
      </c>
      <c r="B37" s="3">
        <v>7335.1034</v>
      </c>
      <c r="C37" s="3">
        <v>7612.1274</v>
      </c>
      <c r="D37" s="3">
        <v>8063.987</v>
      </c>
      <c r="E37" s="3">
        <v>8671.8001</v>
      </c>
      <c r="F37" s="3">
        <v>9179.1837</v>
      </c>
      <c r="G37" s="3">
        <v>9162.635</v>
      </c>
      <c r="H37" s="3">
        <v>8467.9282</v>
      </c>
      <c r="I37" s="3">
        <v>7791.4523</v>
      </c>
      <c r="J37" s="3">
        <v>7302.9938</v>
      </c>
      <c r="K37" s="3">
        <v>7167.3626</v>
      </c>
      <c r="L37" s="3">
        <v>6805.1126</v>
      </c>
      <c r="M37" s="3">
        <v>6624.8257</v>
      </c>
      <c r="N37" s="3">
        <v>6499.1983</v>
      </c>
      <c r="O37" s="3">
        <v>6365.0865</v>
      </c>
      <c r="P37" s="3">
        <v>6302.9378</v>
      </c>
      <c r="Q37" s="3">
        <v>6301.0291</v>
      </c>
      <c r="R37" s="3">
        <v>6375.169</v>
      </c>
      <c r="S37" s="3">
        <v>6472.9393</v>
      </c>
      <c r="T37" s="3">
        <v>6584.1849</v>
      </c>
      <c r="U37" s="3">
        <v>6680.7207</v>
      </c>
      <c r="V37" s="3">
        <v>6738.5644</v>
      </c>
      <c r="W37" s="3">
        <v>6825.6349</v>
      </c>
      <c r="X37" s="3">
        <v>6912.7889</v>
      </c>
      <c r="Y37" s="3">
        <v>7065.3244</v>
      </c>
      <c r="Z37" s="3">
        <v>7337.5755</v>
      </c>
      <c r="AA37" s="3">
        <v>7280.6129</v>
      </c>
      <c r="AB37" s="3">
        <v>7337.6497</v>
      </c>
      <c r="AC37" s="3">
        <v>7421.0098</v>
      </c>
      <c r="AD37" s="3">
        <v>7355.796</v>
      </c>
      <c r="AE37" s="3">
        <v>7309.7732</v>
      </c>
      <c r="AF37" s="3">
        <v>7287.1004</v>
      </c>
      <c r="AG37" s="3">
        <v>7302.5835</v>
      </c>
      <c r="AH37" s="3">
        <v>7409.0274</v>
      </c>
      <c r="AI37" s="3">
        <v>7535.3647</v>
      </c>
      <c r="AJ37" s="3">
        <v>7677.7132</v>
      </c>
      <c r="AK37" s="3">
        <v>7797.2189</v>
      </c>
      <c r="AL37" s="3">
        <v>7893.5036</v>
      </c>
      <c r="AM37" s="3">
        <v>7926.5741</v>
      </c>
      <c r="AN37" s="3">
        <v>7997.5038</v>
      </c>
      <c r="AO37" s="3">
        <v>8039.3297</v>
      </c>
      <c r="AP37" s="3">
        <v>7815.0871</v>
      </c>
      <c r="AQ37" s="3">
        <v>7868.6011</v>
      </c>
      <c r="AR37" s="3">
        <v>7880.6715</v>
      </c>
      <c r="AS37" s="3">
        <v>7922.4567</v>
      </c>
      <c r="AT37" s="3">
        <v>7946.5061</v>
      </c>
      <c r="AU37" s="3">
        <f t="shared" si="2"/>
        <v>7556.782293</v>
      </c>
      <c r="AV37" s="3">
        <f t="shared" si="3"/>
        <v>6978.410257</v>
      </c>
      <c r="AW37" s="3">
        <f t="shared" si="4"/>
        <v>7753.282787</v>
      </c>
      <c r="AX37" s="4">
        <f t="shared" si="5"/>
        <v>-0.01077408682</v>
      </c>
      <c r="AY37" s="4">
        <f t="shared" si="6"/>
        <v>0.01066354591</v>
      </c>
      <c r="AZ37" s="4">
        <f t="shared" si="7"/>
        <v>0.006054264719</v>
      </c>
    </row>
    <row r="38" ht="14.25" customHeight="1">
      <c r="A38" s="2" t="s">
        <v>182</v>
      </c>
      <c r="B38" s="3">
        <v>40350.3263</v>
      </c>
      <c r="C38" s="3">
        <v>40775.4012</v>
      </c>
      <c r="D38" s="3">
        <v>38601.6649</v>
      </c>
      <c r="E38" s="3">
        <v>38785.1675</v>
      </c>
      <c r="F38" s="3">
        <v>40275.4454</v>
      </c>
      <c r="G38" s="3">
        <v>41412.6879</v>
      </c>
      <c r="H38" s="3">
        <v>41562.9233</v>
      </c>
      <c r="I38" s="3">
        <v>42511.8684</v>
      </c>
      <c r="J38" s="3">
        <v>43593.1131</v>
      </c>
      <c r="K38" s="3">
        <v>43762.5274</v>
      </c>
      <c r="L38" s="3">
        <v>43066.6974</v>
      </c>
      <c r="M38" s="3">
        <v>41545.4017</v>
      </c>
      <c r="N38" s="3">
        <v>41365.806</v>
      </c>
      <c r="O38" s="3">
        <v>41932.0594</v>
      </c>
      <c r="P38" s="3">
        <v>43274.8249</v>
      </c>
      <c r="Q38" s="3">
        <v>43887.7235</v>
      </c>
      <c r="R38" s="3">
        <v>44033.6969</v>
      </c>
      <c r="S38" s="3">
        <v>45345.4445</v>
      </c>
      <c r="T38" s="3">
        <v>46549.5175</v>
      </c>
      <c r="U38" s="3">
        <v>48355.2422</v>
      </c>
      <c r="V38" s="3">
        <v>50178.962</v>
      </c>
      <c r="W38" s="3">
        <v>50338.1949</v>
      </c>
      <c r="X38" s="3">
        <v>51107.7219</v>
      </c>
      <c r="Y38" s="3">
        <v>51314.7839</v>
      </c>
      <c r="Z38" s="3">
        <v>52191.5119</v>
      </c>
      <c r="AA38" s="3">
        <v>53140.8123</v>
      </c>
      <c r="AB38" s="3">
        <v>53807.6962</v>
      </c>
      <c r="AC38" s="3">
        <v>54187.665</v>
      </c>
      <c r="AD38" s="3">
        <v>53981.5501</v>
      </c>
      <c r="AE38" s="3">
        <v>51650.2976</v>
      </c>
      <c r="AF38" s="3">
        <v>52489.6148</v>
      </c>
      <c r="AG38" s="3">
        <v>53397.5383</v>
      </c>
      <c r="AH38" s="3">
        <v>53587.6115</v>
      </c>
      <c r="AI38" s="3">
        <v>54094.1378</v>
      </c>
      <c r="AJ38" s="3">
        <v>54980.3962</v>
      </c>
      <c r="AK38" s="3">
        <v>54745.5129</v>
      </c>
      <c r="AL38" s="3">
        <v>54631.3861</v>
      </c>
      <c r="AM38" s="3">
        <v>55522.0248</v>
      </c>
      <c r="AN38" s="3">
        <v>56222.2944</v>
      </c>
      <c r="AO38" s="3">
        <v>56422.549</v>
      </c>
      <c r="AP38" s="3">
        <v>52872.4841</v>
      </c>
      <c r="AQ38" s="3">
        <v>54946.7738</v>
      </c>
      <c r="AR38" s="3">
        <v>56142.6779</v>
      </c>
      <c r="AS38" s="3">
        <v>56014.3445</v>
      </c>
      <c r="AT38" s="3">
        <v>56127.2282</v>
      </c>
      <c r="AU38" s="3">
        <f t="shared" si="2"/>
        <v>41521.06099</v>
      </c>
      <c r="AV38" s="3">
        <f t="shared" si="3"/>
        <v>50441.64978</v>
      </c>
      <c r="AW38" s="3">
        <f t="shared" si="4"/>
        <v>54813.10495</v>
      </c>
      <c r="AX38" s="4">
        <f t="shared" si="5"/>
        <v>0.005010480213</v>
      </c>
      <c r="AY38" s="4">
        <f t="shared" si="6"/>
        <v>0.01170087759</v>
      </c>
      <c r="AZ38" s="4">
        <f t="shared" si="7"/>
        <v>0.003567519954</v>
      </c>
    </row>
    <row r="39" ht="14.25" customHeight="1">
      <c r="A39" s="2" t="s">
        <v>183</v>
      </c>
      <c r="B39" s="3">
        <v>60808.6483</v>
      </c>
      <c r="C39" s="3">
        <v>63227.01</v>
      </c>
      <c r="D39" s="3">
        <v>65748.5453</v>
      </c>
      <c r="E39" s="3">
        <v>70257.0999</v>
      </c>
      <c r="F39" s="3">
        <v>71353.2829</v>
      </c>
      <c r="G39" s="3">
        <v>69732.2296</v>
      </c>
      <c r="H39" s="3">
        <v>71359.6419</v>
      </c>
      <c r="I39" s="3">
        <v>74044.3686</v>
      </c>
      <c r="J39" s="3">
        <v>80443.4137</v>
      </c>
      <c r="K39" s="3">
        <v>83281.043</v>
      </c>
      <c r="L39" s="3">
        <v>89323.625</v>
      </c>
      <c r="M39" s="3">
        <v>85612.8076</v>
      </c>
      <c r="N39" s="3">
        <v>83236.1725</v>
      </c>
      <c r="O39" s="3">
        <v>82221.085</v>
      </c>
      <c r="P39" s="3">
        <v>81793.6008</v>
      </c>
      <c r="Q39" s="3">
        <v>81194.4227</v>
      </c>
      <c r="R39" s="3">
        <v>81008.0101</v>
      </c>
      <c r="S39" s="3">
        <v>81528.7364</v>
      </c>
      <c r="T39" s="3">
        <v>101675.797</v>
      </c>
      <c r="U39" s="3">
        <v>100963.1566</v>
      </c>
      <c r="V39" s="3">
        <v>98685.2651</v>
      </c>
      <c r="W39" s="3">
        <v>96460.8181</v>
      </c>
      <c r="X39" s="3">
        <v>95038.1809</v>
      </c>
      <c r="Y39" s="3">
        <v>93617.4014</v>
      </c>
      <c r="Z39" s="3">
        <v>91103.5827</v>
      </c>
      <c r="AA39" s="3">
        <v>93501.1526</v>
      </c>
      <c r="AB39" s="3">
        <v>94357.0499</v>
      </c>
      <c r="AC39" s="3">
        <v>91959.48</v>
      </c>
      <c r="AD39" s="3">
        <v>90705.3929</v>
      </c>
      <c r="AE39" s="3">
        <v>81726.2236</v>
      </c>
      <c r="AF39" s="3">
        <v>77059.765</v>
      </c>
      <c r="AG39" s="3">
        <v>75890.4888</v>
      </c>
      <c r="AH39" s="3">
        <v>74958.5689</v>
      </c>
      <c r="AI39" s="3">
        <v>73838.5217</v>
      </c>
      <c r="AJ39" s="3">
        <v>73741.8501</v>
      </c>
      <c r="AK39" s="3">
        <v>73871.603</v>
      </c>
      <c r="AL39" s="3">
        <v>74132.0375</v>
      </c>
      <c r="AM39" s="3">
        <v>74229.9952</v>
      </c>
      <c r="AN39" s="3">
        <v>75368.6194</v>
      </c>
      <c r="AO39" s="3">
        <v>76316.9728</v>
      </c>
      <c r="AP39" s="3">
        <v>70930.3</v>
      </c>
      <c r="AQ39" s="3">
        <v>72424.1727</v>
      </c>
      <c r="AR39" s="3">
        <v>74749.6497</v>
      </c>
      <c r="AS39" s="3">
        <v>76573.4061</v>
      </c>
      <c r="AT39" s="3">
        <v>78305.9926</v>
      </c>
      <c r="AU39" s="3">
        <f t="shared" si="2"/>
        <v>75496.17161</v>
      </c>
      <c r="AV39" s="3">
        <f t="shared" si="3"/>
        <v>92309.30338</v>
      </c>
      <c r="AW39" s="3">
        <f t="shared" si="4"/>
        <v>74826.12957</v>
      </c>
      <c r="AX39" s="4">
        <f t="shared" si="5"/>
        <v>0.02140202068</v>
      </c>
      <c r="AY39" s="4">
        <f t="shared" si="6"/>
        <v>0.000466420584</v>
      </c>
      <c r="AZ39" s="4">
        <f t="shared" si="7"/>
        <v>0.002240561287</v>
      </c>
    </row>
    <row r="40" ht="14.25" customHeight="1">
      <c r="A40" s="2" t="s">
        <v>184</v>
      </c>
      <c r="B40" s="3">
        <v>2869.3782</v>
      </c>
      <c r="C40" s="3">
        <v>2886.0285</v>
      </c>
      <c r="D40" s="3">
        <v>2907.7095</v>
      </c>
      <c r="E40" s="3">
        <v>2703.3091</v>
      </c>
      <c r="F40" s="3">
        <v>2871.3362</v>
      </c>
      <c r="G40" s="3">
        <v>2936.2884</v>
      </c>
      <c r="H40" s="3">
        <v>3011.8951</v>
      </c>
      <c r="I40" s="3">
        <v>2835.0942</v>
      </c>
      <c r="J40" s="3">
        <v>2853.8788</v>
      </c>
      <c r="K40" s="3">
        <v>2859.5052</v>
      </c>
      <c r="L40" s="3">
        <v>2737.5328</v>
      </c>
      <c r="M40" s="3">
        <v>2692.9094</v>
      </c>
      <c r="N40" s="3">
        <v>2582.1654</v>
      </c>
      <c r="O40" s="3">
        <v>2500.4178</v>
      </c>
      <c r="P40" s="3">
        <v>2559.7027</v>
      </c>
      <c r="Q40" s="3">
        <v>2634.8571</v>
      </c>
      <c r="R40" s="3">
        <v>2387.9677</v>
      </c>
      <c r="S40" s="3">
        <v>2477.9659</v>
      </c>
      <c r="T40" s="3">
        <v>2531.4322</v>
      </c>
      <c r="U40" s="3">
        <v>2615.281</v>
      </c>
      <c r="V40" s="3">
        <v>2597.3795</v>
      </c>
      <c r="W40" s="3">
        <v>2562.9951</v>
      </c>
      <c r="X40" s="3">
        <v>2496.2603</v>
      </c>
      <c r="Y40" s="3">
        <v>2267.6547</v>
      </c>
      <c r="Z40" s="3">
        <v>2285.8378</v>
      </c>
      <c r="AA40" s="3">
        <v>2291.2273</v>
      </c>
      <c r="AB40" s="3">
        <v>2359.5609</v>
      </c>
      <c r="AC40" s="3">
        <v>2416.3602</v>
      </c>
      <c r="AD40" s="3">
        <v>2418.794</v>
      </c>
      <c r="AE40" s="3">
        <v>2526.2206</v>
      </c>
      <c r="AF40" s="3">
        <v>2696.0727</v>
      </c>
      <c r="AG40" s="3">
        <v>2792.4844</v>
      </c>
      <c r="AH40" s="3">
        <v>2952.0045</v>
      </c>
      <c r="AI40" s="3">
        <v>1897.4809</v>
      </c>
      <c r="AJ40" s="3">
        <v>1950.4407</v>
      </c>
      <c r="AK40" s="3">
        <v>2063.7806</v>
      </c>
      <c r="AL40" s="3">
        <v>2132.38</v>
      </c>
      <c r="AM40" s="3">
        <v>2196.7766</v>
      </c>
      <c r="AN40" s="3">
        <v>2243.948</v>
      </c>
      <c r="AO40" s="3">
        <v>2287.4598</v>
      </c>
      <c r="AP40" s="3">
        <v>2262.3402</v>
      </c>
      <c r="AQ40" s="3">
        <v>2258.2026</v>
      </c>
      <c r="AR40" s="3">
        <v>2280.2367</v>
      </c>
      <c r="AS40" s="3">
        <v>2282.0916</v>
      </c>
      <c r="AT40" s="3">
        <v>2227.4353</v>
      </c>
      <c r="AU40" s="3">
        <f t="shared" si="2"/>
        <v>2787.14342</v>
      </c>
      <c r="AV40" s="3">
        <f t="shared" si="3"/>
        <v>2445.352657</v>
      </c>
      <c r="AW40" s="3">
        <f t="shared" si="4"/>
        <v>2301.542307</v>
      </c>
      <c r="AX40" s="4">
        <f t="shared" si="5"/>
        <v>-0.008124263496</v>
      </c>
      <c r="AY40" s="4">
        <f t="shared" si="6"/>
        <v>-0.003002953314</v>
      </c>
      <c r="AZ40" s="4">
        <f t="shared" si="7"/>
        <v>-0.01601894074</v>
      </c>
    </row>
    <row r="41" ht="14.25" customHeight="1">
      <c r="A41" s="2" t="s">
        <v>185</v>
      </c>
      <c r="B41" s="3">
        <v>1754.4247</v>
      </c>
      <c r="C41" s="3">
        <v>1598.1832</v>
      </c>
      <c r="D41" s="3">
        <v>1578.6345</v>
      </c>
      <c r="E41" s="3">
        <v>1710.1541</v>
      </c>
      <c r="F41" s="3">
        <v>1802.7105</v>
      </c>
      <c r="G41" s="3">
        <v>1959.046</v>
      </c>
      <c r="H41" s="3">
        <v>2015.8382</v>
      </c>
      <c r="I41" s="3">
        <v>2013.9635</v>
      </c>
      <c r="J41" s="3">
        <v>2095.8881</v>
      </c>
      <c r="K41" s="3">
        <v>2065.3388</v>
      </c>
      <c r="L41" s="3">
        <v>2088.5397</v>
      </c>
      <c r="M41" s="3">
        <v>2088.0682</v>
      </c>
      <c r="N41" s="3">
        <v>2035.7251</v>
      </c>
      <c r="O41" s="3">
        <v>1975.8693</v>
      </c>
      <c r="P41" s="3">
        <v>2065.5325</v>
      </c>
      <c r="Q41" s="3">
        <v>1988.2409</v>
      </c>
      <c r="R41" s="3">
        <v>1929.0448</v>
      </c>
      <c r="S41" s="3">
        <v>1975.1269</v>
      </c>
      <c r="T41" s="3">
        <v>2048.1446</v>
      </c>
      <c r="U41" s="3">
        <v>1973.9647</v>
      </c>
      <c r="V41" s="3">
        <v>1905.3182</v>
      </c>
      <c r="W41" s="3">
        <v>2067.4978</v>
      </c>
      <c r="X41" s="3">
        <v>2179.6032</v>
      </c>
      <c r="Y41" s="3">
        <v>2389.8538</v>
      </c>
      <c r="Z41" s="3">
        <v>3034.1112</v>
      </c>
      <c r="AA41" s="3">
        <v>3140.8725</v>
      </c>
      <c r="AB41" s="3">
        <v>3055.9612</v>
      </c>
      <c r="AC41" s="3">
        <v>3565.3958</v>
      </c>
      <c r="AD41" s="3">
        <v>3552.6752</v>
      </c>
      <c r="AE41" s="3">
        <v>3822.8478</v>
      </c>
      <c r="AF41" s="3">
        <v>4342.4207</v>
      </c>
      <c r="AG41" s="3">
        <v>4289.0828</v>
      </c>
      <c r="AH41" s="3">
        <v>4607.7784</v>
      </c>
      <c r="AI41" s="3">
        <v>4787.1078</v>
      </c>
      <c r="AJ41" s="3">
        <v>5023.395</v>
      </c>
      <c r="AK41" s="3">
        <v>5050.7031</v>
      </c>
      <c r="AL41" s="3">
        <v>4683.5999</v>
      </c>
      <c r="AM41" s="3">
        <v>4500.0646</v>
      </c>
      <c r="AN41" s="3">
        <v>4594.1245</v>
      </c>
      <c r="AO41" s="3">
        <v>4735.6836</v>
      </c>
      <c r="AP41" s="3">
        <v>4479.9479</v>
      </c>
      <c r="AQ41" s="3">
        <v>4283.5952</v>
      </c>
      <c r="AR41" s="3">
        <v>4245.5493</v>
      </c>
      <c r="AS41" s="3">
        <v>4214.3566</v>
      </c>
      <c r="AT41" s="3">
        <v>3766.4049</v>
      </c>
      <c r="AU41" s="3">
        <f t="shared" si="2"/>
        <v>1923.194427</v>
      </c>
      <c r="AV41" s="3">
        <f t="shared" si="3"/>
        <v>2617.172693</v>
      </c>
      <c r="AW41" s="3">
        <f t="shared" si="4"/>
        <v>4506.920953</v>
      </c>
      <c r="AX41" s="4">
        <f t="shared" si="5"/>
        <v>0.01172875338</v>
      </c>
      <c r="AY41" s="4">
        <f t="shared" si="6"/>
        <v>0.04780353052</v>
      </c>
      <c r="AZ41" s="4">
        <f t="shared" si="7"/>
        <v>-0.009239336269</v>
      </c>
    </row>
    <row r="42" ht="14.25" customHeight="1">
      <c r="A42" s="2" t="s">
        <v>186</v>
      </c>
      <c r="B42" s="3">
        <v>13432.1518</v>
      </c>
      <c r="C42" s="3">
        <v>13921.7314</v>
      </c>
      <c r="D42" s="3">
        <v>11742.7782</v>
      </c>
      <c r="E42" s="3">
        <v>11141.5959</v>
      </c>
      <c r="F42" s="3">
        <v>11516.8581</v>
      </c>
      <c r="G42" s="3">
        <v>11466.1017</v>
      </c>
      <c r="H42" s="3">
        <v>11823.9213</v>
      </c>
      <c r="I42" s="3">
        <v>12309.0417</v>
      </c>
      <c r="J42" s="3">
        <v>12901.0562</v>
      </c>
      <c r="K42" s="3">
        <v>13934.3504</v>
      </c>
      <c r="L42" s="3">
        <v>14118.7522</v>
      </c>
      <c r="M42" s="3">
        <v>14901.205</v>
      </c>
      <c r="N42" s="3">
        <v>16364.27</v>
      </c>
      <c r="O42" s="3">
        <v>17132.8201</v>
      </c>
      <c r="P42" s="3">
        <v>17733.6207</v>
      </c>
      <c r="Q42" s="3">
        <v>19220.5266</v>
      </c>
      <c r="R42" s="3">
        <v>20237.4144</v>
      </c>
      <c r="S42" s="3">
        <v>21157.6087</v>
      </c>
      <c r="T42" s="3">
        <v>21419.9985</v>
      </c>
      <c r="U42" s="3">
        <v>20849.6501</v>
      </c>
      <c r="V42" s="3">
        <v>21378.0276</v>
      </c>
      <c r="W42" s="3">
        <v>21693.3282</v>
      </c>
      <c r="X42" s="3">
        <v>21764.2768</v>
      </c>
      <c r="Y42" s="3">
        <v>22179.2755</v>
      </c>
      <c r="Z42" s="3">
        <v>23309.454</v>
      </c>
      <c r="AA42" s="3">
        <v>24302.5338</v>
      </c>
      <c r="AB42" s="3">
        <v>25370.2361</v>
      </c>
      <c r="AC42" s="3">
        <v>26132.3208</v>
      </c>
      <c r="AD42" s="3">
        <v>26563.9048</v>
      </c>
      <c r="AE42" s="3">
        <v>25674.804</v>
      </c>
      <c r="AF42" s="3">
        <v>26686.06</v>
      </c>
      <c r="AG42" s="3">
        <v>27814.1391</v>
      </c>
      <c r="AH42" s="3">
        <v>28793.1968</v>
      </c>
      <c r="AI42" s="3">
        <v>29463.1925</v>
      </c>
      <c r="AJ42" s="3">
        <v>29486.9662</v>
      </c>
      <c r="AK42" s="3">
        <v>29664.6701</v>
      </c>
      <c r="AL42" s="3">
        <v>29614.7756</v>
      </c>
      <c r="AM42" s="3">
        <v>29297.0206</v>
      </c>
      <c r="AN42" s="3">
        <v>29649.0257</v>
      </c>
      <c r="AO42" s="3">
        <v>29208.4565</v>
      </c>
      <c r="AP42" s="3">
        <v>26998.5664</v>
      </c>
      <c r="AQ42" s="3">
        <v>29840.6831</v>
      </c>
      <c r="AR42" s="3">
        <v>30236.1382</v>
      </c>
      <c r="AS42" s="3">
        <v>29972.8494</v>
      </c>
      <c r="AT42" s="3">
        <v>30432.1734</v>
      </c>
      <c r="AU42" s="3">
        <f t="shared" si="2"/>
        <v>13629.35031</v>
      </c>
      <c r="AV42" s="3">
        <f t="shared" si="3"/>
        <v>23002.34524</v>
      </c>
      <c r="AW42" s="3">
        <f t="shared" si="4"/>
        <v>29143.86091</v>
      </c>
      <c r="AX42" s="4">
        <f t="shared" si="5"/>
        <v>0.02004184339</v>
      </c>
      <c r="AY42" s="4">
        <f t="shared" si="6"/>
        <v>0.02089613834</v>
      </c>
      <c r="AZ42" s="4">
        <f t="shared" si="7"/>
        <v>0.006446108171</v>
      </c>
    </row>
    <row r="43" ht="14.25" customHeight="1">
      <c r="A43" s="2" t="s">
        <v>187</v>
      </c>
      <c r="B43" s="3">
        <v>2384.414</v>
      </c>
      <c r="C43" s="3">
        <v>2467.7783</v>
      </c>
      <c r="D43" s="3">
        <v>2609.3996</v>
      </c>
      <c r="E43" s="3">
        <v>2697.0444</v>
      </c>
      <c r="F43" s="3">
        <v>2898.209</v>
      </c>
      <c r="G43" s="3">
        <v>3068.0471</v>
      </c>
      <c r="H43" s="3">
        <v>3152.2944</v>
      </c>
      <c r="I43" s="3">
        <v>3299.252</v>
      </c>
      <c r="J43" s="3">
        <v>3354.5146</v>
      </c>
      <c r="K43" s="3">
        <v>3285.5083</v>
      </c>
      <c r="L43" s="3">
        <v>3204.1403</v>
      </c>
      <c r="M43" s="3">
        <v>3322.3628</v>
      </c>
      <c r="N43" s="3">
        <v>3542.8184</v>
      </c>
      <c r="O43" s="3">
        <v>3822.0494</v>
      </c>
      <c r="P43" s="3">
        <v>4058.5521</v>
      </c>
      <c r="Q43" s="3">
        <v>4518.8695</v>
      </c>
      <c r="R43" s="3">
        <v>4602.7329</v>
      </c>
      <c r="S43" s="3">
        <v>4852.557</v>
      </c>
      <c r="T43" s="3">
        <v>4805.0299</v>
      </c>
      <c r="U43" s="3">
        <v>5020.8787</v>
      </c>
      <c r="V43" s="3">
        <v>5263.0824</v>
      </c>
      <c r="W43" s="3">
        <v>5541.104</v>
      </c>
      <c r="X43" s="3">
        <v>6034.6674</v>
      </c>
      <c r="Y43" s="3">
        <v>6469.6857</v>
      </c>
      <c r="Z43" s="3">
        <v>7066.5378</v>
      </c>
      <c r="AA43" s="3">
        <v>7556.5116</v>
      </c>
      <c r="AB43" s="3">
        <v>8335.9666</v>
      </c>
      <c r="AC43" s="3">
        <v>9198.2292</v>
      </c>
      <c r="AD43" s="3">
        <v>9545.8139</v>
      </c>
      <c r="AE43" s="3">
        <v>10146.505</v>
      </c>
      <c r="AF43" s="3">
        <v>10896.8027</v>
      </c>
      <c r="AG43" s="3">
        <v>11589.6494</v>
      </c>
      <c r="AH43" s="3">
        <v>12249.4038</v>
      </c>
      <c r="AI43" s="3">
        <v>13038.0533</v>
      </c>
      <c r="AJ43" s="3">
        <v>13847.7789</v>
      </c>
      <c r="AK43" s="3">
        <v>14702.4211</v>
      </c>
      <c r="AL43" s="3">
        <v>15591.9407</v>
      </c>
      <c r="AM43" s="3">
        <v>16561.4847</v>
      </c>
      <c r="AN43" s="3">
        <v>17570.4554</v>
      </c>
      <c r="AO43" s="3">
        <v>18512.7615</v>
      </c>
      <c r="AP43" s="3">
        <v>18822.7238</v>
      </c>
      <c r="AQ43" s="3">
        <v>20306.9265</v>
      </c>
      <c r="AR43" s="3">
        <v>20823.0249</v>
      </c>
      <c r="AS43" s="3">
        <v>21834.6253</v>
      </c>
      <c r="AT43" s="3">
        <v>22846.3025</v>
      </c>
      <c r="AU43" s="3">
        <f t="shared" si="2"/>
        <v>3144.425647</v>
      </c>
      <c r="AV43" s="3">
        <f t="shared" si="3"/>
        <v>6745.664436</v>
      </c>
      <c r="AW43" s="3">
        <f t="shared" si="4"/>
        <v>16612.95697</v>
      </c>
      <c r="AX43" s="4">
        <f t="shared" si="5"/>
        <v>0.03872180217</v>
      </c>
      <c r="AY43" s="4">
        <f t="shared" si="6"/>
        <v>0.05947790792</v>
      </c>
      <c r="AZ43" s="4">
        <f t="shared" si="7"/>
        <v>0.04967114523</v>
      </c>
    </row>
    <row r="44" ht="14.25" customHeight="1">
      <c r="A44" s="2" t="s">
        <v>188</v>
      </c>
      <c r="B44" s="3">
        <v>14483.7275</v>
      </c>
      <c r="C44" s="3">
        <v>14282.5745</v>
      </c>
      <c r="D44" s="3">
        <v>13900.258</v>
      </c>
      <c r="E44" s="3">
        <v>13603.1039</v>
      </c>
      <c r="F44" s="3">
        <v>13548.693</v>
      </c>
      <c r="G44" s="3">
        <v>13489.2507</v>
      </c>
      <c r="H44" s="3">
        <v>13807.7824</v>
      </c>
      <c r="I44" s="3">
        <v>14085.9427</v>
      </c>
      <c r="J44" s="3">
        <v>14205.0954</v>
      </c>
      <c r="K44" s="3">
        <v>14248.9215</v>
      </c>
      <c r="L44" s="3">
        <v>14424.6341</v>
      </c>
      <c r="M44" s="3">
        <v>14308.5342</v>
      </c>
      <c r="N44" s="3">
        <v>14495.7732</v>
      </c>
      <c r="O44" s="3">
        <v>14927.115</v>
      </c>
      <c r="P44" s="3">
        <v>15297.3715</v>
      </c>
      <c r="Q44" s="3">
        <v>15690.4235</v>
      </c>
      <c r="R44" s="3">
        <v>15617.1373</v>
      </c>
      <c r="S44" s="3">
        <v>15751.3492</v>
      </c>
      <c r="T44" s="3">
        <v>15446.3189</v>
      </c>
      <c r="U44" s="3">
        <v>14433.6323</v>
      </c>
      <c r="V44" s="3">
        <v>14499.7078</v>
      </c>
      <c r="W44" s="3">
        <v>14393.1371</v>
      </c>
      <c r="X44" s="3">
        <v>14403.6995</v>
      </c>
      <c r="Y44" s="3">
        <v>14616.708</v>
      </c>
      <c r="Z44" s="3">
        <v>15042.7763</v>
      </c>
      <c r="AA44" s="3">
        <v>15401.3466</v>
      </c>
      <c r="AB44" s="3">
        <v>16078.4549</v>
      </c>
      <c r="AC44" s="3">
        <v>16791.9292</v>
      </c>
      <c r="AD44" s="3">
        <v>16977.6085</v>
      </c>
      <c r="AE44" s="3">
        <v>16811.0431</v>
      </c>
      <c r="AF44" s="3">
        <v>17195.1893</v>
      </c>
      <c r="AG44" s="3">
        <v>18002.6028</v>
      </c>
      <c r="AH44" s="3">
        <v>18318.1049</v>
      </c>
      <c r="AI44" s="3">
        <v>18863.342</v>
      </c>
      <c r="AJ44" s="3">
        <v>19317.8453</v>
      </c>
      <c r="AK44" s="3">
        <v>19504.3821</v>
      </c>
      <c r="AL44" s="3">
        <v>19510.0502</v>
      </c>
      <c r="AM44" s="3">
        <v>19282.5663</v>
      </c>
      <c r="AN44" s="3">
        <v>19204.8854</v>
      </c>
      <c r="AO44" s="3">
        <v>19265.7519</v>
      </c>
      <c r="AP44" s="3">
        <v>17454.5011</v>
      </c>
      <c r="AQ44" s="3">
        <v>19016.1567</v>
      </c>
      <c r="AR44" s="3">
        <v>20026.238</v>
      </c>
      <c r="AS44" s="3">
        <v>19806.2159</v>
      </c>
      <c r="AT44" s="3">
        <v>19792.7738</v>
      </c>
      <c r="AU44" s="3">
        <f t="shared" si="2"/>
        <v>14207.25184</v>
      </c>
      <c r="AV44" s="3">
        <f t="shared" si="3"/>
        <v>15447.48919</v>
      </c>
      <c r="AW44" s="3">
        <f t="shared" si="4"/>
        <v>18970.70705</v>
      </c>
      <c r="AX44" s="4">
        <f t="shared" si="5"/>
        <v>0.003911575921</v>
      </c>
      <c r="AY44" s="4">
        <f t="shared" si="6"/>
        <v>0.004939691659</v>
      </c>
      <c r="AZ44" s="4">
        <f t="shared" si="7"/>
        <v>0.006794447092</v>
      </c>
    </row>
    <row r="45" ht="14.25" customHeight="1">
      <c r="A45" s="2" t="s">
        <v>189</v>
      </c>
      <c r="B45" s="3">
        <v>5259.5978</v>
      </c>
      <c r="C45" s="3">
        <v>5339.7601</v>
      </c>
      <c r="D45" s="3">
        <v>5539.389</v>
      </c>
      <c r="E45" s="3">
        <v>5658.3924</v>
      </c>
      <c r="F45" s="3">
        <v>5738.8933</v>
      </c>
      <c r="G45" s="3">
        <v>5692.224</v>
      </c>
      <c r="H45" s="3">
        <v>5646.7234</v>
      </c>
      <c r="I45" s="3">
        <v>5580.5467</v>
      </c>
      <c r="J45" s="3">
        <v>5567.7598</v>
      </c>
      <c r="K45" s="3">
        <v>5322.3231</v>
      </c>
      <c r="L45" s="3">
        <v>5217.6982</v>
      </c>
      <c r="M45" s="3">
        <v>5167.5394</v>
      </c>
      <c r="N45" s="3">
        <v>5500.3089</v>
      </c>
      <c r="O45" s="3">
        <v>5596.089</v>
      </c>
      <c r="P45" s="3">
        <v>5238.5932</v>
      </c>
      <c r="Q45" s="3">
        <v>5360.3414</v>
      </c>
      <c r="R45" s="3">
        <v>5217.5692</v>
      </c>
      <c r="S45" s="3">
        <v>5364.0981</v>
      </c>
      <c r="T45" s="3">
        <v>5345.6025</v>
      </c>
      <c r="U45" s="3">
        <v>5339.5834</v>
      </c>
      <c r="V45" s="3">
        <v>5339.9707</v>
      </c>
      <c r="W45" s="3">
        <v>5335.3614</v>
      </c>
      <c r="X45" s="3">
        <v>5328.8523</v>
      </c>
      <c r="Y45" s="3">
        <v>5315.2532</v>
      </c>
      <c r="Z45" s="3">
        <v>5264.1809</v>
      </c>
      <c r="AA45" s="3">
        <v>5227.8824</v>
      </c>
      <c r="AB45" s="3">
        <v>5185.4057</v>
      </c>
      <c r="AC45" s="3">
        <v>4200.5321</v>
      </c>
      <c r="AD45" s="3">
        <v>4195.8445</v>
      </c>
      <c r="AE45" s="3">
        <v>4315.5533</v>
      </c>
      <c r="AF45" s="3">
        <v>4370.1633</v>
      </c>
      <c r="AG45" s="3">
        <v>4475.6073</v>
      </c>
      <c r="AH45" s="3">
        <v>4606.1486</v>
      </c>
      <c r="AI45" s="3">
        <v>4849.6566</v>
      </c>
      <c r="AJ45" s="3">
        <v>4870.0655</v>
      </c>
      <c r="AK45" s="3">
        <v>4813.0795</v>
      </c>
      <c r="AL45" s="3">
        <v>4828.9202</v>
      </c>
      <c r="AM45" s="3">
        <v>4967.4459</v>
      </c>
      <c r="AN45" s="3">
        <v>5024.3701</v>
      </c>
      <c r="AO45" s="3">
        <v>5067.8259</v>
      </c>
      <c r="AP45" s="3">
        <v>5120.2668</v>
      </c>
      <c r="AQ45" s="3">
        <v>5139.635</v>
      </c>
      <c r="AR45" s="3">
        <v>5127.8625</v>
      </c>
      <c r="AS45" s="3">
        <v>5642.2358</v>
      </c>
      <c r="AT45" s="3">
        <v>5691.3506</v>
      </c>
      <c r="AU45" s="3">
        <f t="shared" si="2"/>
        <v>5471.055887</v>
      </c>
      <c r="AV45" s="3">
        <f t="shared" si="3"/>
        <v>5069.692121</v>
      </c>
      <c r="AW45" s="3">
        <f t="shared" si="4"/>
        <v>4972.975573</v>
      </c>
      <c r="AX45" s="4">
        <f t="shared" si="5"/>
        <v>-0.0002857856514</v>
      </c>
      <c r="AY45" s="4">
        <f t="shared" si="6"/>
        <v>-0.01536657651</v>
      </c>
      <c r="AZ45" s="4">
        <f t="shared" si="7"/>
        <v>0.01731284046</v>
      </c>
    </row>
    <row r="46" ht="14.25" customHeight="1">
      <c r="A46" s="2" t="s">
        <v>190</v>
      </c>
      <c r="B46" s="3">
        <v>11618.3178</v>
      </c>
      <c r="C46" s="3">
        <v>13787.1282</v>
      </c>
      <c r="D46" s="3">
        <v>16655.7371</v>
      </c>
      <c r="E46" s="3">
        <v>17194.5074</v>
      </c>
      <c r="F46" s="3">
        <v>17939.3722</v>
      </c>
      <c r="G46" s="3">
        <v>17152.1906</v>
      </c>
      <c r="H46" s="3">
        <v>15456.9419</v>
      </c>
      <c r="I46" s="3">
        <v>14991.8182</v>
      </c>
      <c r="J46" s="3">
        <v>14498.8605</v>
      </c>
      <c r="K46" s="3">
        <v>14019.0186</v>
      </c>
      <c r="L46" s="3">
        <v>13459.7188</v>
      </c>
      <c r="M46" s="3">
        <v>13481.6503</v>
      </c>
      <c r="N46" s="3">
        <v>13610.3122</v>
      </c>
      <c r="O46" s="3">
        <v>13331.3952</v>
      </c>
      <c r="P46" s="3">
        <v>12709.2894</v>
      </c>
      <c r="Q46" s="3">
        <v>12790.5369</v>
      </c>
      <c r="R46" s="3">
        <v>12809.0044</v>
      </c>
      <c r="S46" s="3">
        <v>12411.2798</v>
      </c>
      <c r="T46" s="3">
        <v>13219.0339</v>
      </c>
      <c r="U46" s="3">
        <v>12334.9566</v>
      </c>
      <c r="V46" s="3">
        <v>13106.6407</v>
      </c>
      <c r="W46" s="3">
        <v>11878.8585</v>
      </c>
      <c r="X46" s="3">
        <v>11702.5554</v>
      </c>
      <c r="Y46" s="3">
        <v>11396.1012</v>
      </c>
      <c r="Z46" s="3">
        <v>10917.2396</v>
      </c>
      <c r="AA46" s="3">
        <v>11415.4093</v>
      </c>
      <c r="AB46" s="3">
        <v>11789.5333</v>
      </c>
      <c r="AC46" s="3">
        <v>10551.1768</v>
      </c>
      <c r="AD46" s="3">
        <v>10774.1348</v>
      </c>
      <c r="AE46" s="3">
        <v>11500.0672</v>
      </c>
      <c r="AF46" s="3">
        <v>12077.1477</v>
      </c>
      <c r="AG46" s="3">
        <v>11972.8556</v>
      </c>
      <c r="AH46" s="3">
        <v>12862.1898</v>
      </c>
      <c r="AI46" s="3">
        <v>12529.4819</v>
      </c>
      <c r="AJ46" s="3">
        <v>13082.1131</v>
      </c>
      <c r="AK46" s="3">
        <v>12829.3639</v>
      </c>
      <c r="AL46" s="3">
        <v>11475.9189</v>
      </c>
      <c r="AM46" s="3">
        <v>10583.936</v>
      </c>
      <c r="AN46" s="3">
        <v>10093.5229</v>
      </c>
      <c r="AO46" s="3">
        <v>9860.8161</v>
      </c>
      <c r="AP46" s="3">
        <v>9016.3356</v>
      </c>
      <c r="AQ46" s="3">
        <v>9027.7772</v>
      </c>
      <c r="AR46" s="3">
        <v>8903.2363</v>
      </c>
      <c r="AS46" s="3">
        <v>8870.6835</v>
      </c>
      <c r="AT46" s="3">
        <v>8845.2112</v>
      </c>
      <c r="AU46" s="3">
        <f t="shared" si="2"/>
        <v>14660.41723</v>
      </c>
      <c r="AV46" s="3">
        <f t="shared" si="3"/>
        <v>11843.28511</v>
      </c>
      <c r="AW46" s="3">
        <f t="shared" si="4"/>
        <v>10802.03931</v>
      </c>
      <c r="AX46" s="4">
        <f t="shared" si="5"/>
        <v>0.006431321388</v>
      </c>
      <c r="AY46" s="4">
        <f t="shared" si="6"/>
        <v>-0.007567841018</v>
      </c>
      <c r="AZ46" s="4">
        <f t="shared" si="7"/>
        <v>-0.02139396392</v>
      </c>
    </row>
    <row r="47" ht="14.25" customHeight="1">
      <c r="A47" s="2" t="s">
        <v>191</v>
      </c>
      <c r="B47" s="3">
        <v>17169.194</v>
      </c>
      <c r="C47" s="3">
        <v>16117.3047</v>
      </c>
      <c r="D47" s="3">
        <v>14394.2426</v>
      </c>
      <c r="E47" s="3">
        <v>14254.588</v>
      </c>
      <c r="F47" s="3">
        <v>14849.4646</v>
      </c>
      <c r="G47" s="3">
        <v>14420.8181</v>
      </c>
      <c r="H47" s="3">
        <v>14742.7403</v>
      </c>
      <c r="I47" s="3">
        <v>14961.6536</v>
      </c>
      <c r="J47" s="3">
        <v>15020.8037</v>
      </c>
      <c r="K47" s="3">
        <v>15397.4436</v>
      </c>
      <c r="L47" s="3">
        <v>15450.1312</v>
      </c>
      <c r="M47" s="3">
        <v>15336.8139</v>
      </c>
      <c r="N47" s="3">
        <v>16242.4807</v>
      </c>
      <c r="O47" s="3">
        <v>16861.7525</v>
      </c>
      <c r="P47" s="3">
        <v>17088.2271</v>
      </c>
      <c r="Q47" s="3">
        <v>17253.181</v>
      </c>
      <c r="R47" s="3">
        <v>16950.1316</v>
      </c>
      <c r="S47" s="3">
        <v>17339.4321</v>
      </c>
      <c r="T47" s="3">
        <v>18027.9437</v>
      </c>
      <c r="U47" s="3">
        <v>18225.9171</v>
      </c>
      <c r="V47" s="3">
        <v>18392.9599</v>
      </c>
      <c r="W47" s="3">
        <v>18530.4646</v>
      </c>
      <c r="X47" s="3">
        <v>18654.6354</v>
      </c>
      <c r="Y47" s="3">
        <v>18935.7744</v>
      </c>
      <c r="Z47" s="3">
        <v>19240.8681</v>
      </c>
      <c r="AA47" s="3">
        <v>19463.7601</v>
      </c>
      <c r="AB47" s="3">
        <v>20336.4563</v>
      </c>
      <c r="AC47" s="3">
        <v>21444.2818</v>
      </c>
      <c r="AD47" s="3">
        <v>21889.4217</v>
      </c>
      <c r="AE47" s="3">
        <v>21222.1688</v>
      </c>
      <c r="AF47" s="3">
        <v>21827.2319</v>
      </c>
      <c r="AG47" s="3">
        <v>22278.1206</v>
      </c>
      <c r="AH47" s="3">
        <v>22882.9486</v>
      </c>
      <c r="AI47" s="3">
        <v>22959.197</v>
      </c>
      <c r="AJ47" s="3">
        <v>23321.3954</v>
      </c>
      <c r="AK47" s="3">
        <v>23774.2794</v>
      </c>
      <c r="AL47" s="3">
        <v>24338.8422</v>
      </c>
      <c r="AM47" s="3">
        <v>24881.4478</v>
      </c>
      <c r="AN47" s="3">
        <v>25133.7364</v>
      </c>
      <c r="AO47" s="3">
        <v>25340.8399</v>
      </c>
      <c r="AP47" s="3">
        <v>23955.9617</v>
      </c>
      <c r="AQ47" s="3">
        <v>25372.9064</v>
      </c>
      <c r="AR47" s="3">
        <v>26206.5014</v>
      </c>
      <c r="AS47" s="3">
        <v>27256.1561</v>
      </c>
      <c r="AT47" s="3">
        <v>28097.6693</v>
      </c>
      <c r="AU47" s="3">
        <f t="shared" si="2"/>
        <v>15487.17724</v>
      </c>
      <c r="AV47" s="3">
        <f t="shared" si="3"/>
        <v>19189.58683</v>
      </c>
      <c r="AW47" s="3">
        <f t="shared" si="4"/>
        <v>24508.48227</v>
      </c>
      <c r="AX47" s="4">
        <f t="shared" si="5"/>
        <v>-0.0003375843448</v>
      </c>
      <c r="AY47" s="4">
        <f t="shared" si="6"/>
        <v>0.01489917391</v>
      </c>
      <c r="AZ47" s="4">
        <f t="shared" si="7"/>
        <v>0.01671542025</v>
      </c>
    </row>
    <row r="48" ht="14.25" customHeight="1">
      <c r="A48" s="2" t="s">
        <v>192</v>
      </c>
      <c r="B48" s="3">
        <v>8708.7533</v>
      </c>
      <c r="C48" s="3">
        <v>8734.4025</v>
      </c>
      <c r="D48" s="3">
        <v>8470.3038</v>
      </c>
      <c r="E48" s="3">
        <v>7870.1604</v>
      </c>
      <c r="F48" s="3">
        <v>7397.9948</v>
      </c>
      <c r="G48" s="3">
        <v>7464.7821</v>
      </c>
      <c r="H48" s="3">
        <v>7440.205</v>
      </c>
      <c r="I48" s="3">
        <v>7155.4076</v>
      </c>
      <c r="J48" s="3">
        <v>6978.8085</v>
      </c>
      <c r="K48" s="3">
        <v>7521.4879</v>
      </c>
      <c r="L48" s="3">
        <v>7144.692</v>
      </c>
      <c r="M48" s="3">
        <v>6867.8929</v>
      </c>
      <c r="N48" s="3">
        <v>6549.2533</v>
      </c>
      <c r="O48" s="3">
        <v>6251.9789</v>
      </c>
      <c r="P48" s="3">
        <v>6114.3559</v>
      </c>
      <c r="Q48" s="3">
        <v>6263.889</v>
      </c>
      <c r="R48" s="3">
        <v>6397.9475</v>
      </c>
      <c r="S48" s="3">
        <v>6472.5119</v>
      </c>
      <c r="T48" s="3">
        <v>6523.7168</v>
      </c>
      <c r="U48" s="3">
        <v>6417.6721</v>
      </c>
      <c r="V48" s="3">
        <v>6105.623</v>
      </c>
      <c r="W48" s="3">
        <v>5953.0573</v>
      </c>
      <c r="X48" s="3">
        <v>5711.263</v>
      </c>
      <c r="Y48" s="3">
        <v>5505.2011</v>
      </c>
      <c r="Z48" s="3">
        <v>5450.5608</v>
      </c>
      <c r="AA48" s="3">
        <v>5423.3584</v>
      </c>
      <c r="AB48" s="3">
        <v>5385.2149</v>
      </c>
      <c r="AC48" s="3">
        <v>5358.9644</v>
      </c>
      <c r="AD48" s="3">
        <v>5307.6506</v>
      </c>
      <c r="AE48" s="3">
        <v>5232.388</v>
      </c>
      <c r="AF48" s="3">
        <v>5383.9752</v>
      </c>
      <c r="AG48" s="3">
        <v>5210.4263</v>
      </c>
      <c r="AH48" s="3">
        <v>5808.1019</v>
      </c>
      <c r="AI48" s="3">
        <v>6444.2117</v>
      </c>
      <c r="AJ48" s="3">
        <v>7172.6058</v>
      </c>
      <c r="AK48" s="3">
        <v>8035.1975</v>
      </c>
      <c r="AL48" s="3">
        <v>8392.3424</v>
      </c>
      <c r="AM48" s="3">
        <v>8788.1205</v>
      </c>
      <c r="AN48" s="3">
        <v>8979.2048</v>
      </c>
      <c r="AO48" s="3">
        <v>9308.2258</v>
      </c>
      <c r="AP48" s="3">
        <v>9218.5526</v>
      </c>
      <c r="AQ48" s="3">
        <v>9605.7976</v>
      </c>
      <c r="AR48" s="3">
        <v>9968.7391</v>
      </c>
      <c r="AS48" s="3">
        <v>10315.3957</v>
      </c>
      <c r="AT48" s="3">
        <v>10596.554</v>
      </c>
      <c r="AU48" s="3">
        <f t="shared" si="2"/>
        <v>7378.031927</v>
      </c>
      <c r="AV48" s="3">
        <f t="shared" si="3"/>
        <v>5803.223557</v>
      </c>
      <c r="AW48" s="3">
        <f t="shared" si="4"/>
        <v>8215.163393</v>
      </c>
      <c r="AX48" s="4">
        <f t="shared" si="5"/>
        <v>-0.02494706317</v>
      </c>
      <c r="AY48" s="4">
        <f t="shared" si="6"/>
        <v>-0.01277015129</v>
      </c>
      <c r="AZ48" s="4">
        <f t="shared" si="7"/>
        <v>0.05201229177</v>
      </c>
    </row>
    <row r="49" ht="14.25" customHeight="1">
      <c r="A49" s="2" t="s">
        <v>193</v>
      </c>
      <c r="B49" s="3">
        <v>23931.6507</v>
      </c>
      <c r="C49" s="3">
        <v>23981.5692</v>
      </c>
      <c r="D49" s="3">
        <v>24025.0195</v>
      </c>
      <c r="E49" s="3">
        <v>24037.253</v>
      </c>
      <c r="F49" s="3">
        <v>24041.3309</v>
      </c>
      <c r="G49" s="3">
        <v>24048.5023</v>
      </c>
      <c r="H49" s="3">
        <v>24029.941</v>
      </c>
      <c r="I49" s="3">
        <v>24007.7237</v>
      </c>
      <c r="J49" s="3">
        <v>23992.5373</v>
      </c>
      <c r="K49" s="3">
        <v>23944.4467</v>
      </c>
      <c r="L49" s="3">
        <v>24032.6127</v>
      </c>
      <c r="M49" s="3">
        <v>18922.7823</v>
      </c>
      <c r="N49" s="3">
        <v>16757.5832</v>
      </c>
      <c r="O49" s="3">
        <v>15495.9801</v>
      </c>
      <c r="P49" s="3">
        <v>16508.2718</v>
      </c>
      <c r="Q49" s="3">
        <v>17961.534</v>
      </c>
      <c r="R49" s="3">
        <v>19219.0594</v>
      </c>
      <c r="S49" s="3">
        <v>20602.9981</v>
      </c>
      <c r="T49" s="3">
        <v>21277.6718</v>
      </c>
      <c r="U49" s="3">
        <v>21273.1721</v>
      </c>
      <c r="V49" s="3">
        <v>22200.2508</v>
      </c>
      <c r="W49" s="3">
        <v>22849.6136</v>
      </c>
      <c r="X49" s="3">
        <v>24190.3834</v>
      </c>
      <c r="Y49" s="3">
        <v>25406.1459</v>
      </c>
      <c r="Z49" s="3">
        <v>26262.7762</v>
      </c>
      <c r="AA49" s="3">
        <v>27285.4734</v>
      </c>
      <c r="AB49" s="3">
        <v>28628.7743</v>
      </c>
      <c r="AC49" s="3">
        <v>29968.7004</v>
      </c>
      <c r="AD49" s="3">
        <v>30581.3626</v>
      </c>
      <c r="AE49" s="3">
        <v>28405.3361</v>
      </c>
      <c r="AF49" s="3">
        <v>27882.5273</v>
      </c>
      <c r="AG49" s="3">
        <v>28054.922</v>
      </c>
      <c r="AH49" s="3">
        <v>27449.5719</v>
      </c>
      <c r="AI49" s="3">
        <v>27484.3039</v>
      </c>
      <c r="AJ49" s="3">
        <v>27465.3208</v>
      </c>
      <c r="AK49" s="3">
        <v>28248.9716</v>
      </c>
      <c r="AL49" s="3">
        <v>29456.719</v>
      </c>
      <c r="AM49" s="3">
        <v>30755.4447</v>
      </c>
      <c r="AN49" s="3">
        <v>31930.8505</v>
      </c>
      <c r="AO49" s="3">
        <v>33173.33</v>
      </c>
      <c r="AP49" s="3">
        <v>30551.1302</v>
      </c>
      <c r="AQ49" s="3">
        <v>34619.1396</v>
      </c>
      <c r="AR49" s="3">
        <v>37423.4366</v>
      </c>
      <c r="AS49" s="3">
        <v>39016.3301</v>
      </c>
      <c r="AT49" s="3">
        <v>38408.3083</v>
      </c>
      <c r="AU49" s="3">
        <f t="shared" si="2"/>
        <v>22117.14696</v>
      </c>
      <c r="AV49" s="3">
        <f t="shared" si="3"/>
        <v>24867.97986</v>
      </c>
      <c r="AW49" s="3">
        <f t="shared" si="4"/>
        <v>31461.35377</v>
      </c>
      <c r="AX49" s="4">
        <f t="shared" si="5"/>
        <v>-0.02617562758</v>
      </c>
      <c r="AY49" s="4">
        <f t="shared" si="6"/>
        <v>0.03328071052</v>
      </c>
      <c r="AZ49" s="4">
        <f t="shared" si="7"/>
        <v>0.02268999699</v>
      </c>
    </row>
    <row r="50" ht="14.25" customHeight="1">
      <c r="A50" s="2" t="s">
        <v>194</v>
      </c>
      <c r="B50" s="3">
        <v>16240.5931</v>
      </c>
      <c r="C50" s="3">
        <v>19024.2907</v>
      </c>
      <c r="D50" s="3">
        <v>20248.2911</v>
      </c>
      <c r="E50" s="3">
        <v>20789.5677</v>
      </c>
      <c r="F50" s="3">
        <v>21849.0894</v>
      </c>
      <c r="G50" s="3">
        <v>21586.4121</v>
      </c>
      <c r="H50" s="3">
        <v>21095.1235</v>
      </c>
      <c r="I50" s="3">
        <v>20091.5882</v>
      </c>
      <c r="J50" s="3">
        <v>20362.6338</v>
      </c>
      <c r="K50" s="3">
        <v>20026.9372</v>
      </c>
      <c r="L50" s="3">
        <v>18988.3734</v>
      </c>
      <c r="M50" s="3">
        <v>16622.9451</v>
      </c>
      <c r="N50" s="3">
        <v>14418.2928</v>
      </c>
      <c r="O50" s="3">
        <v>12056.3452</v>
      </c>
      <c r="P50" s="3">
        <v>11961.183</v>
      </c>
      <c r="Q50" s="3">
        <v>12102.8525</v>
      </c>
      <c r="R50" s="3">
        <v>12921.6175</v>
      </c>
      <c r="S50" s="3">
        <v>13180.8882</v>
      </c>
      <c r="T50" s="3">
        <v>13127.7899</v>
      </c>
      <c r="U50" s="3">
        <v>13870.8696</v>
      </c>
      <c r="V50" s="3">
        <v>14635.3515</v>
      </c>
      <c r="W50" s="3">
        <v>15057.7679</v>
      </c>
      <c r="X50" s="3">
        <v>15206.3986</v>
      </c>
      <c r="Y50" s="3">
        <v>15685.1718</v>
      </c>
      <c r="Z50" s="3">
        <v>16472.9073</v>
      </c>
      <c r="AA50" s="3">
        <v>18177.088</v>
      </c>
      <c r="AB50" s="3">
        <v>20220.446</v>
      </c>
      <c r="AC50" s="3">
        <v>21537.9794</v>
      </c>
      <c r="AD50" s="3">
        <v>22246.771</v>
      </c>
      <c r="AE50" s="3">
        <v>22440.7982</v>
      </c>
      <c r="AF50" s="3">
        <v>22783.5302</v>
      </c>
      <c r="AG50" s="3">
        <v>23250.4544</v>
      </c>
      <c r="AH50" s="3">
        <v>23831.1288</v>
      </c>
      <c r="AI50" s="3">
        <v>24378.478</v>
      </c>
      <c r="AJ50" s="3">
        <v>24599.8319</v>
      </c>
      <c r="AK50" s="3">
        <v>25708.8231</v>
      </c>
      <c r="AL50" s="3">
        <v>25797.3943</v>
      </c>
      <c r="AM50" s="3">
        <v>26176.3398</v>
      </c>
      <c r="AN50" s="3">
        <v>26739.9072</v>
      </c>
      <c r="AO50" s="3">
        <v>26663.7775</v>
      </c>
      <c r="AP50" s="3">
        <v>23770.9952</v>
      </c>
      <c r="AQ50" s="3">
        <v>23973.761</v>
      </c>
      <c r="AR50" s="3">
        <v>24449.72</v>
      </c>
      <c r="AS50" s="3">
        <v>24006.8641</v>
      </c>
      <c r="AT50" s="3">
        <v>23552.5295</v>
      </c>
      <c r="AU50" s="3">
        <f t="shared" si="2"/>
        <v>18357.44442</v>
      </c>
      <c r="AV50" s="3">
        <f t="shared" si="3"/>
        <v>16770.13178</v>
      </c>
      <c r="AW50" s="3">
        <f t="shared" si="4"/>
        <v>24645.569</v>
      </c>
      <c r="AX50" s="4">
        <f t="shared" si="5"/>
        <v>-0.02160932787</v>
      </c>
      <c r="AY50" s="4">
        <f t="shared" si="6"/>
        <v>0.04508980563</v>
      </c>
      <c r="AZ50" s="4">
        <f t="shared" si="7"/>
        <v>0.0009224643897</v>
      </c>
    </row>
    <row r="51" ht="14.25" customHeight="1">
      <c r="A51" s="2" t="s">
        <v>195</v>
      </c>
      <c r="B51" s="3">
        <v>15871.7097</v>
      </c>
      <c r="C51" s="3">
        <v>18568.2385</v>
      </c>
      <c r="D51" s="3">
        <v>20244.0397</v>
      </c>
      <c r="E51" s="3">
        <v>20538.3401</v>
      </c>
      <c r="F51" s="3">
        <v>21192.8102</v>
      </c>
      <c r="G51" s="3">
        <v>22066.2232</v>
      </c>
      <c r="H51" s="3">
        <v>29390.6615</v>
      </c>
      <c r="I51" s="3">
        <v>29396.4203</v>
      </c>
      <c r="J51" s="3">
        <v>29362.7452</v>
      </c>
      <c r="K51" s="3">
        <v>31383.6884</v>
      </c>
      <c r="L51" s="3">
        <v>31045.9505</v>
      </c>
      <c r="M51" s="3">
        <v>30789.1095</v>
      </c>
      <c r="N51" s="3">
        <v>31089.7171</v>
      </c>
      <c r="O51" s="3">
        <v>31488.3335</v>
      </c>
      <c r="P51" s="3">
        <v>31891.8311</v>
      </c>
      <c r="Q51" s="3">
        <v>34067.7125</v>
      </c>
      <c r="R51" s="3">
        <v>34707.5389</v>
      </c>
      <c r="S51" s="3">
        <v>34979.4624</v>
      </c>
      <c r="T51" s="3">
        <v>34931.0339</v>
      </c>
      <c r="U51" s="3">
        <v>34161.3336</v>
      </c>
      <c r="V51" s="3">
        <v>35529.7263</v>
      </c>
      <c r="W51" s="3">
        <v>35562.0302</v>
      </c>
      <c r="X51" s="3">
        <v>35382.5761</v>
      </c>
      <c r="Y51" s="3">
        <v>34979.627</v>
      </c>
      <c r="Z51" s="3">
        <v>34630.0972</v>
      </c>
      <c r="AA51" s="3">
        <v>34365.3585</v>
      </c>
      <c r="AB51" s="3">
        <v>34260.3296</v>
      </c>
      <c r="AC51" s="3">
        <v>34497.4262</v>
      </c>
      <c r="AD51" s="3">
        <v>34678.3612</v>
      </c>
      <c r="AE51" s="3">
        <v>34075.2263</v>
      </c>
      <c r="AF51" s="3">
        <v>33621.2161</v>
      </c>
      <c r="AG51" s="3">
        <v>33119.8195</v>
      </c>
      <c r="AH51" s="3">
        <v>32263.9022</v>
      </c>
      <c r="AI51" s="3">
        <v>31460.9656</v>
      </c>
      <c r="AJ51" s="3">
        <v>30749.4563</v>
      </c>
      <c r="AK51" s="3">
        <v>30489.5988</v>
      </c>
      <c r="AL51" s="3">
        <v>29781.3253</v>
      </c>
      <c r="AM51" s="3">
        <v>29033.7277</v>
      </c>
      <c r="AN51" s="3">
        <v>26107.9451</v>
      </c>
      <c r="AO51" s="3">
        <v>23971.8265</v>
      </c>
      <c r="AP51" s="3">
        <v>19923.0296</v>
      </c>
      <c r="AQ51" s="3">
        <v>20454.8105</v>
      </c>
      <c r="AR51" s="3">
        <v>21715.432</v>
      </c>
      <c r="AS51" s="3">
        <v>22513.6519</v>
      </c>
      <c r="AT51" s="3">
        <v>23337.2104</v>
      </c>
      <c r="AU51" s="3">
        <f t="shared" si="2"/>
        <v>26287.9879</v>
      </c>
      <c r="AV51" s="3">
        <f t="shared" si="3"/>
        <v>34767.15196</v>
      </c>
      <c r="AW51" s="3">
        <f t="shared" si="4"/>
        <v>27236.26117</v>
      </c>
      <c r="AX51" s="4">
        <f t="shared" si="5"/>
        <v>0.05110678341</v>
      </c>
      <c r="AY51" s="4">
        <f t="shared" si="6"/>
        <v>0.00001575230651</v>
      </c>
      <c r="AZ51" s="4">
        <f t="shared" si="7"/>
        <v>-0.02469585483</v>
      </c>
    </row>
    <row r="52" ht="14.25" customHeight="1">
      <c r="A52" s="2" t="s">
        <v>196</v>
      </c>
      <c r="B52" s="3">
        <v>14861.9971</v>
      </c>
      <c r="C52" s="3">
        <v>14955.3575</v>
      </c>
      <c r="D52" s="3">
        <v>15575.9088</v>
      </c>
      <c r="E52" s="3">
        <v>16121.3786</v>
      </c>
      <c r="F52" s="3">
        <v>17272.823</v>
      </c>
      <c r="G52" s="3">
        <v>17818.5241</v>
      </c>
      <c r="H52" s="3">
        <v>18223.7798</v>
      </c>
      <c r="I52" s="3">
        <v>19196.7173</v>
      </c>
      <c r="J52" s="3">
        <v>20431.3415</v>
      </c>
      <c r="K52" s="3">
        <v>21675.7992</v>
      </c>
      <c r="L52" s="3">
        <v>23070.5359</v>
      </c>
      <c r="M52" s="3">
        <v>22763.0367</v>
      </c>
      <c r="N52" s="3">
        <v>24414.4854</v>
      </c>
      <c r="O52" s="3">
        <v>24125.0336</v>
      </c>
      <c r="P52" s="3">
        <v>25054.9351</v>
      </c>
      <c r="Q52" s="3">
        <v>27030.8892</v>
      </c>
      <c r="R52" s="3">
        <v>26829.5918</v>
      </c>
      <c r="S52" s="3">
        <v>26955.1134</v>
      </c>
      <c r="T52" s="3">
        <v>27924.8117</v>
      </c>
      <c r="U52" s="3">
        <v>28516.441</v>
      </c>
      <c r="V52" s="3">
        <v>29503.1455</v>
      </c>
      <c r="W52" s="3">
        <v>29724.1099</v>
      </c>
      <c r="X52" s="3">
        <v>30250.8382</v>
      </c>
      <c r="Y52" s="3">
        <v>30322.4491</v>
      </c>
      <c r="Z52" s="3">
        <v>31033.9314</v>
      </c>
      <c r="AA52" s="3">
        <v>31781.7398</v>
      </c>
      <c r="AB52" s="3">
        <v>32514.7401</v>
      </c>
      <c r="AC52" s="3">
        <v>33256.5326</v>
      </c>
      <c r="AD52" s="3">
        <v>33629.8584</v>
      </c>
      <c r="AE52" s="3">
        <v>31958.627</v>
      </c>
      <c r="AF52" s="3">
        <v>31586.6895</v>
      </c>
      <c r="AG52" s="3">
        <v>31015.8841</v>
      </c>
      <c r="AH52" s="3">
        <v>29155.9653</v>
      </c>
      <c r="AI52" s="3">
        <v>26624.3609</v>
      </c>
      <c r="AJ52" s="3">
        <v>25644.7135</v>
      </c>
      <c r="AK52" s="3">
        <v>25984.4896</v>
      </c>
      <c r="AL52" s="3">
        <v>27180.8211</v>
      </c>
      <c r="AM52" s="3">
        <v>28270.0252</v>
      </c>
      <c r="AN52" s="3">
        <v>29525.589</v>
      </c>
      <c r="AO52" s="3">
        <v>30812.3886</v>
      </c>
      <c r="AP52" s="3">
        <v>29357.0313</v>
      </c>
      <c r="AQ52" s="3">
        <v>32275.844</v>
      </c>
      <c r="AR52" s="3">
        <v>34389.6983</v>
      </c>
      <c r="AS52" s="3">
        <v>35171.7504</v>
      </c>
      <c r="AT52" s="3">
        <v>36031.892</v>
      </c>
      <c r="AU52" s="3">
        <f t="shared" si="2"/>
        <v>19704.11024</v>
      </c>
      <c r="AV52" s="3">
        <f t="shared" si="3"/>
        <v>30300.13785</v>
      </c>
      <c r="AW52" s="3">
        <f t="shared" si="4"/>
        <v>30201.80952</v>
      </c>
      <c r="AX52" s="4">
        <f t="shared" si="5"/>
        <v>0.03800907565</v>
      </c>
      <c r="AY52" s="4">
        <f t="shared" si="6"/>
        <v>0.01203339015</v>
      </c>
      <c r="AZ52" s="4">
        <f t="shared" si="7"/>
        <v>0.01076502838</v>
      </c>
    </row>
    <row r="53" ht="14.25" customHeight="1">
      <c r="A53" s="2" t="s">
        <v>197</v>
      </c>
      <c r="B53" s="3">
        <v>32235.6787</v>
      </c>
      <c r="C53" s="3">
        <v>32271.017</v>
      </c>
      <c r="D53" s="3">
        <v>32306.2245</v>
      </c>
      <c r="E53" s="3">
        <v>32267.5552</v>
      </c>
      <c r="F53" s="3">
        <v>32156.3625</v>
      </c>
      <c r="G53" s="3">
        <v>32042.0804</v>
      </c>
      <c r="H53" s="3">
        <v>32083.5223</v>
      </c>
      <c r="I53" s="3">
        <v>32049.769</v>
      </c>
      <c r="J53" s="3">
        <v>32000.3618</v>
      </c>
      <c r="K53" s="3">
        <v>31987.3999</v>
      </c>
      <c r="L53" s="3">
        <v>32280.5724</v>
      </c>
      <c r="M53" s="3">
        <v>27103.1963</v>
      </c>
      <c r="N53" s="3">
        <v>26223.0195</v>
      </c>
      <c r="O53" s="3">
        <v>25940.5898</v>
      </c>
      <c r="P53" s="3">
        <v>26647.3257</v>
      </c>
      <c r="Q53" s="3">
        <v>28037.7116</v>
      </c>
      <c r="R53" s="3">
        <v>28899.3111</v>
      </c>
      <c r="S53" s="3">
        <v>28438.7005</v>
      </c>
      <c r="T53" s="3">
        <v>28024.5031</v>
      </c>
      <c r="U53" s="3">
        <v>28163.8587</v>
      </c>
      <c r="V53" s="3">
        <v>29207.1312</v>
      </c>
      <c r="W53" s="3">
        <v>29789.4861</v>
      </c>
      <c r="X53" s="3">
        <v>30256.9903</v>
      </c>
      <c r="Y53" s="3">
        <v>31147.4622</v>
      </c>
      <c r="Z53" s="3">
        <v>32365.2626</v>
      </c>
      <c r="AA53" s="3">
        <v>34241.2873</v>
      </c>
      <c r="AB53" s="3">
        <v>36335.2843</v>
      </c>
      <c r="AC53" s="3">
        <v>38066.7505</v>
      </c>
      <c r="AD53" s="3">
        <v>38920.7319</v>
      </c>
      <c r="AE53" s="3">
        <v>36738.296</v>
      </c>
      <c r="AF53" s="3">
        <v>37660.5638</v>
      </c>
      <c r="AG53" s="3">
        <v>38214.469</v>
      </c>
      <c r="AH53" s="3">
        <v>37680.9024</v>
      </c>
      <c r="AI53" s="3">
        <v>37540.8574</v>
      </c>
      <c r="AJ53" s="3">
        <v>38475.267</v>
      </c>
      <c r="AK53" s="3">
        <v>40439.3733</v>
      </c>
      <c r="AL53" s="3">
        <v>41499.6331</v>
      </c>
      <c r="AM53" s="3">
        <v>43704.1334</v>
      </c>
      <c r="AN53" s="3">
        <v>44922.3112</v>
      </c>
      <c r="AO53" s="3">
        <v>46591.6649</v>
      </c>
      <c r="AP53" s="3">
        <v>44123.0607</v>
      </c>
      <c r="AQ53" s="3">
        <v>46036.5773</v>
      </c>
      <c r="AR53" s="3">
        <v>46932.7905</v>
      </c>
      <c r="AS53" s="3">
        <v>46609.4875</v>
      </c>
      <c r="AT53" s="3">
        <v>47381.1688</v>
      </c>
      <c r="AU53" s="3">
        <f t="shared" si="2"/>
        <v>30639.645</v>
      </c>
      <c r="AV53" s="3">
        <f t="shared" si="3"/>
        <v>32185.36113</v>
      </c>
      <c r="AW53" s="3">
        <f t="shared" si="4"/>
        <v>42520.81735</v>
      </c>
      <c r="AX53" s="4">
        <f t="shared" si="5"/>
        <v>-0.01350688627</v>
      </c>
      <c r="AY53" s="4">
        <f t="shared" si="6"/>
        <v>0.01949249195</v>
      </c>
      <c r="AZ53" s="4">
        <f t="shared" si="7"/>
        <v>0.01547644249</v>
      </c>
    </row>
    <row r="54" ht="14.25" customHeight="1">
      <c r="A54" s="2" t="s">
        <v>198</v>
      </c>
      <c r="B54" s="3">
        <v>4401.4859</v>
      </c>
      <c r="C54" s="3">
        <v>4382.2668</v>
      </c>
      <c r="D54" s="3">
        <v>4237.0561</v>
      </c>
      <c r="E54" s="3">
        <v>4161.9982</v>
      </c>
      <c r="F54" s="3">
        <v>4243.2909</v>
      </c>
      <c r="G54" s="3">
        <v>4121.4951</v>
      </c>
      <c r="H54" s="3">
        <v>4185.6383</v>
      </c>
      <c r="I54" s="3">
        <v>4168.1349</v>
      </c>
      <c r="J54" s="3">
        <v>4058.1615</v>
      </c>
      <c r="K54" s="3">
        <v>3885.2052</v>
      </c>
      <c r="L54" s="3">
        <v>3510.1433</v>
      </c>
      <c r="M54" s="3">
        <v>3108.6503</v>
      </c>
      <c r="N54" s="3">
        <v>2689.2088</v>
      </c>
      <c r="O54" s="3">
        <v>2242.6951</v>
      </c>
      <c r="P54" s="3">
        <v>2037.8049</v>
      </c>
      <c r="Q54" s="3">
        <v>1962.4046</v>
      </c>
      <c r="R54" s="3">
        <v>1930.6913</v>
      </c>
      <c r="S54" s="3">
        <v>1820.8913</v>
      </c>
      <c r="T54" s="3">
        <v>1755.5686</v>
      </c>
      <c r="U54" s="3">
        <v>1628.4717</v>
      </c>
      <c r="V54" s="3">
        <v>1472.4659</v>
      </c>
      <c r="W54" s="3">
        <v>1400.5678</v>
      </c>
      <c r="X54" s="3">
        <v>1402.7433</v>
      </c>
      <c r="Y54" s="3">
        <v>1443.2365</v>
      </c>
      <c r="Z54" s="3">
        <v>1499.6001</v>
      </c>
      <c r="AA54" s="3">
        <v>1545.1535</v>
      </c>
      <c r="AB54" s="3">
        <v>1579.6767</v>
      </c>
      <c r="AC54" s="3">
        <v>1631.492</v>
      </c>
      <c r="AD54" s="3">
        <v>1685.2183</v>
      </c>
      <c r="AE54" s="3">
        <v>1683.9385</v>
      </c>
      <c r="AF54" s="3">
        <v>1749.7494</v>
      </c>
      <c r="AG54" s="3">
        <v>1811.3955</v>
      </c>
      <c r="AH54" s="3">
        <v>1877.3231</v>
      </c>
      <c r="AI54" s="3">
        <v>1968.5079</v>
      </c>
      <c r="AJ54" s="3">
        <v>2082.5197</v>
      </c>
      <c r="AK54" s="3">
        <v>2152.7023</v>
      </c>
      <c r="AL54" s="3">
        <v>2120.5337</v>
      </c>
      <c r="AM54" s="3">
        <v>2113.1575</v>
      </c>
      <c r="AN54" s="3">
        <v>2162.6559</v>
      </c>
      <c r="AO54" s="3">
        <v>2192.3181</v>
      </c>
      <c r="AP54" s="3">
        <v>2161.4694</v>
      </c>
      <c r="AQ54" s="3">
        <v>2223.5189</v>
      </c>
      <c r="AR54" s="3">
        <v>2338.2793</v>
      </c>
      <c r="AS54" s="3">
        <v>2465.895</v>
      </c>
      <c r="AT54" s="3">
        <v>2541.5237</v>
      </c>
      <c r="AU54" s="3">
        <f t="shared" si="2"/>
        <v>3695.54902</v>
      </c>
      <c r="AV54" s="3">
        <f t="shared" si="3"/>
        <v>1605.693964</v>
      </c>
      <c r="AW54" s="3">
        <f t="shared" si="4"/>
        <v>2130.76996</v>
      </c>
      <c r="AX54" s="4">
        <f t="shared" si="5"/>
        <v>-0.05351951613</v>
      </c>
      <c r="AY54" s="4">
        <f t="shared" si="6"/>
        <v>-0.01087155588</v>
      </c>
      <c r="AZ54" s="4">
        <f t="shared" si="7"/>
        <v>0.0244854082</v>
      </c>
    </row>
    <row r="55" ht="14.25" customHeight="1">
      <c r="A55" s="2" t="s">
        <v>199</v>
      </c>
      <c r="B55" s="3">
        <v>40567.4064</v>
      </c>
      <c r="C55" s="3">
        <v>40094.2813</v>
      </c>
      <c r="D55" s="3">
        <v>41350.4752</v>
      </c>
      <c r="E55" s="3">
        <v>42155.4056</v>
      </c>
      <c r="F55" s="3">
        <v>43594.5918</v>
      </c>
      <c r="G55" s="3">
        <v>44968.6708</v>
      </c>
      <c r="H55" s="3">
        <v>46740.3148</v>
      </c>
      <c r="I55" s="3">
        <v>46476.6698</v>
      </c>
      <c r="J55" s="3">
        <v>46219.073</v>
      </c>
      <c r="K55" s="3">
        <v>46339.7083</v>
      </c>
      <c r="L55" s="3">
        <v>46840.4518</v>
      </c>
      <c r="M55" s="3">
        <v>47256.6155</v>
      </c>
      <c r="N55" s="3">
        <v>47902.8858</v>
      </c>
      <c r="O55" s="3">
        <v>47662.431</v>
      </c>
      <c r="P55" s="3">
        <v>49975.244</v>
      </c>
      <c r="Q55" s="3">
        <v>51184.0671</v>
      </c>
      <c r="R55" s="3">
        <v>52365.5049</v>
      </c>
      <c r="S55" s="3">
        <v>53871.8026</v>
      </c>
      <c r="T55" s="3">
        <v>54892.1681</v>
      </c>
      <c r="U55" s="3">
        <v>56355.7214</v>
      </c>
      <c r="V55" s="3">
        <v>58342.0197</v>
      </c>
      <c r="W55" s="3">
        <v>58728.1061</v>
      </c>
      <c r="X55" s="3">
        <v>58944.66</v>
      </c>
      <c r="Y55" s="3">
        <v>59142.65</v>
      </c>
      <c r="Z55" s="3">
        <v>60683.2551</v>
      </c>
      <c r="AA55" s="3">
        <v>62006.4324</v>
      </c>
      <c r="AB55" s="3">
        <v>64264.1367</v>
      </c>
      <c r="AC55" s="3">
        <v>64578.6717</v>
      </c>
      <c r="AD55" s="3">
        <v>63858.4377</v>
      </c>
      <c r="AE55" s="3">
        <v>60355.8548</v>
      </c>
      <c r="AF55" s="3">
        <v>61127.2236</v>
      </c>
      <c r="AG55" s="3">
        <v>61558.2803</v>
      </c>
      <c r="AH55" s="3">
        <v>61277.7264</v>
      </c>
      <c r="AI55" s="3">
        <v>61366.1985</v>
      </c>
      <c r="AJ55" s="3">
        <v>61803.2216</v>
      </c>
      <c r="AK55" s="3">
        <v>62570.6982</v>
      </c>
      <c r="AL55" s="3">
        <v>63917.0656</v>
      </c>
      <c r="AM55" s="3">
        <v>65140.8982</v>
      </c>
      <c r="AN55" s="3">
        <v>65945.8287</v>
      </c>
      <c r="AO55" s="3">
        <v>66547.257</v>
      </c>
      <c r="AP55" s="3">
        <v>64608.5975</v>
      </c>
      <c r="AQ55" s="3">
        <v>68597.3223</v>
      </c>
      <c r="AR55" s="3">
        <v>69805.0151</v>
      </c>
      <c r="AS55" s="3">
        <v>70852.9174</v>
      </c>
      <c r="AT55" s="3">
        <v>73264.131</v>
      </c>
      <c r="AU55" s="3">
        <f t="shared" si="2"/>
        <v>45209.61501</v>
      </c>
      <c r="AV55" s="3">
        <f t="shared" si="3"/>
        <v>59170.67294</v>
      </c>
      <c r="AW55" s="3">
        <f t="shared" si="4"/>
        <v>65225.49209</v>
      </c>
      <c r="AX55" s="4">
        <f t="shared" si="5"/>
        <v>0.01500886256</v>
      </c>
      <c r="AY55" s="4">
        <f t="shared" si="6"/>
        <v>0.01184312835</v>
      </c>
      <c r="AZ55" s="4">
        <f t="shared" si="7"/>
        <v>0.01251240253</v>
      </c>
    </row>
    <row r="56" ht="14.25" customHeight="1">
      <c r="A56" s="2" t="s">
        <v>200</v>
      </c>
      <c r="B56" s="3">
        <v>6924.6088</v>
      </c>
      <c r="C56" s="3">
        <v>6769.7029</v>
      </c>
      <c r="D56" s="3">
        <v>6610.5665</v>
      </c>
      <c r="E56" s="3">
        <v>6455.7113</v>
      </c>
      <c r="F56" s="3">
        <v>6240.306</v>
      </c>
      <c r="G56" s="3">
        <v>5925.2156</v>
      </c>
      <c r="H56" s="3">
        <v>5518.795</v>
      </c>
      <c r="I56" s="3">
        <v>5191.2342</v>
      </c>
      <c r="J56" s="3">
        <v>4909.1374</v>
      </c>
      <c r="K56" s="3">
        <v>4409.1216</v>
      </c>
      <c r="L56" s="3">
        <v>4195.5272</v>
      </c>
      <c r="M56" s="3">
        <v>3714.6458</v>
      </c>
      <c r="N56" s="3">
        <v>3945.8782</v>
      </c>
      <c r="O56" s="3">
        <v>4193.0183</v>
      </c>
      <c r="P56" s="3">
        <v>3988.0876</v>
      </c>
      <c r="Q56" s="3">
        <v>4141.375</v>
      </c>
      <c r="R56" s="3">
        <v>3803.6668</v>
      </c>
      <c r="S56" s="3">
        <v>3782.6072</v>
      </c>
      <c r="T56" s="3">
        <v>3563.2764</v>
      </c>
      <c r="U56" s="3">
        <v>3503.5755</v>
      </c>
      <c r="V56" s="3">
        <v>3394.3395</v>
      </c>
      <c r="W56" s="3">
        <v>3325.498</v>
      </c>
      <c r="X56" s="3">
        <v>3308.5682</v>
      </c>
      <c r="Y56" s="3">
        <v>3333.8392</v>
      </c>
      <c r="Z56" s="3">
        <v>3387.669</v>
      </c>
      <c r="AA56" s="3">
        <v>3445.3957</v>
      </c>
      <c r="AB56" s="3">
        <v>3788.4221</v>
      </c>
      <c r="AC56" s="3">
        <v>3863.4342</v>
      </c>
      <c r="AD56" s="3">
        <v>3922.598</v>
      </c>
      <c r="AE56" s="3">
        <v>4339.9101</v>
      </c>
      <c r="AF56" s="3">
        <v>4712.9466</v>
      </c>
      <c r="AG56" s="3">
        <v>5171.7393</v>
      </c>
      <c r="AH56" s="3">
        <v>5694.8468</v>
      </c>
      <c r="AI56" s="3">
        <v>6278.06</v>
      </c>
      <c r="AJ56" s="3">
        <v>6530.0033</v>
      </c>
      <c r="AK56" s="3">
        <v>6826.8758</v>
      </c>
      <c r="AL56" s="3">
        <v>7101.7927</v>
      </c>
      <c r="AM56" s="3">
        <v>7293.5551</v>
      </c>
      <c r="AN56" s="3">
        <v>7473.0578</v>
      </c>
      <c r="AO56" s="3">
        <v>7701.0833</v>
      </c>
      <c r="AP56" s="3">
        <v>7594.5622</v>
      </c>
      <c r="AQ56" s="3">
        <v>7780.7655</v>
      </c>
      <c r="AR56" s="3">
        <v>7832.8429</v>
      </c>
      <c r="AS56" s="3">
        <v>8255.0485</v>
      </c>
      <c r="AT56" s="3">
        <v>8587.4616</v>
      </c>
      <c r="AU56" s="3">
        <f t="shared" si="2"/>
        <v>5266.10376</v>
      </c>
      <c r="AV56" s="3">
        <f t="shared" si="3"/>
        <v>3625.914279</v>
      </c>
      <c r="AW56" s="3">
        <f t="shared" si="4"/>
        <v>6988.976093</v>
      </c>
      <c r="AX56" s="4">
        <f t="shared" si="5"/>
        <v>-0.03864557013</v>
      </c>
      <c r="AY56" s="4">
        <f t="shared" si="6"/>
        <v>0.003350297981</v>
      </c>
      <c r="AZ56" s="4">
        <f t="shared" si="7"/>
        <v>0.03688498255</v>
      </c>
    </row>
    <row r="57" ht="14.25" customHeight="1">
      <c r="A57" s="2" t="s">
        <v>201</v>
      </c>
      <c r="B57" s="3">
        <v>10161.8589</v>
      </c>
      <c r="C57" s="3">
        <v>11042.2647</v>
      </c>
      <c r="D57" s="3">
        <v>11272.3797</v>
      </c>
      <c r="E57" s="3">
        <v>11326.2458</v>
      </c>
      <c r="F57" s="3">
        <v>11589.6079</v>
      </c>
      <c r="G57" s="3">
        <v>11547.2845</v>
      </c>
      <c r="H57" s="3">
        <v>12216.2705</v>
      </c>
      <c r="I57" s="3">
        <v>12856.1036</v>
      </c>
      <c r="J57" s="3">
        <v>13778.2408</v>
      </c>
      <c r="K57" s="3">
        <v>13706.9619</v>
      </c>
      <c r="L57" s="3">
        <v>14431.3432</v>
      </c>
      <c r="M57" s="3">
        <v>14559.2013</v>
      </c>
      <c r="N57" s="3">
        <v>14638.3727</v>
      </c>
      <c r="O57" s="3">
        <v>14707.0866</v>
      </c>
      <c r="P57" s="3">
        <v>14521.9587</v>
      </c>
      <c r="Q57" s="3">
        <v>14819.653</v>
      </c>
      <c r="R57" s="3">
        <v>15184.7294</v>
      </c>
      <c r="S57" s="3">
        <v>15471.7689</v>
      </c>
      <c r="T57" s="3">
        <v>16046.2918</v>
      </c>
      <c r="U57" s="3">
        <v>16101.8844</v>
      </c>
      <c r="V57" s="3">
        <v>16493.2033</v>
      </c>
      <c r="W57" s="3">
        <v>16441.6555</v>
      </c>
      <c r="X57" s="3">
        <v>15806.5085</v>
      </c>
      <c r="Y57" s="3">
        <v>16561.6212</v>
      </c>
      <c r="Z57" s="3">
        <v>16813.3418</v>
      </c>
      <c r="AA57" s="3">
        <v>16683.7079</v>
      </c>
      <c r="AB57" s="3">
        <v>17236.3786</v>
      </c>
      <c r="AC57" s="3">
        <v>18125.2687</v>
      </c>
      <c r="AD57" s="3">
        <v>19214.677</v>
      </c>
      <c r="AE57" s="3">
        <v>18855.964</v>
      </c>
      <c r="AF57" s="3">
        <v>18794.748</v>
      </c>
      <c r="AG57" s="3">
        <v>18561.0813</v>
      </c>
      <c r="AH57" s="3">
        <v>18175.0406</v>
      </c>
      <c r="AI57" s="3">
        <v>17758.9591</v>
      </c>
      <c r="AJ57" s="3">
        <v>18309.8046</v>
      </c>
      <c r="AK57" s="3">
        <v>17677.6666</v>
      </c>
      <c r="AL57" s="3">
        <v>18002.886</v>
      </c>
      <c r="AM57" s="3">
        <v>16676.6047</v>
      </c>
      <c r="AN57" s="3">
        <v>17257.7869</v>
      </c>
      <c r="AO57" s="3">
        <v>18155.852</v>
      </c>
      <c r="AP57" s="3">
        <v>15233.2188</v>
      </c>
      <c r="AQ57" s="3">
        <v>16063.3593</v>
      </c>
      <c r="AR57" s="3">
        <v>17036.8962</v>
      </c>
      <c r="AS57" s="3">
        <v>17618.8677</v>
      </c>
      <c r="AT57" s="3">
        <v>18455.9634</v>
      </c>
      <c r="AU57" s="3">
        <f t="shared" si="2"/>
        <v>12823.67872</v>
      </c>
      <c r="AV57" s="3">
        <f t="shared" si="3"/>
        <v>16788.35721</v>
      </c>
      <c r="AW57" s="3">
        <f t="shared" si="4"/>
        <v>17585.24901</v>
      </c>
      <c r="AX57" s="4">
        <f t="shared" si="5"/>
        <v>0.02582940903</v>
      </c>
      <c r="AY57" s="4">
        <f t="shared" si="6"/>
        <v>0.01735422555</v>
      </c>
      <c r="AZ57" s="4">
        <f t="shared" si="7"/>
        <v>-0.0004055925526</v>
      </c>
    </row>
    <row r="58" ht="14.25" customHeight="1">
      <c r="A58" s="2" t="s">
        <v>202</v>
      </c>
      <c r="B58" s="3">
        <v>11934.7965</v>
      </c>
      <c r="C58" s="3">
        <v>11991.825</v>
      </c>
      <c r="D58" s="3">
        <v>11789.1809</v>
      </c>
      <c r="E58" s="3">
        <v>11915.7624</v>
      </c>
      <c r="F58" s="3">
        <v>11668.677</v>
      </c>
      <c r="G58" s="3">
        <v>11038.1902</v>
      </c>
      <c r="H58" s="3">
        <v>11088.175</v>
      </c>
      <c r="I58" s="3">
        <v>11839.4527</v>
      </c>
      <c r="J58" s="3">
        <v>11742.8273</v>
      </c>
      <c r="K58" s="3">
        <v>11894.6655</v>
      </c>
      <c r="L58" s="3">
        <v>10959.5676</v>
      </c>
      <c r="M58" s="3">
        <v>10740.6085</v>
      </c>
      <c r="N58" s="3">
        <v>11540.9788</v>
      </c>
      <c r="O58" s="3">
        <v>12028.3163</v>
      </c>
      <c r="P58" s="3">
        <v>11967.4747</v>
      </c>
      <c r="Q58" s="3">
        <v>12282.6613</v>
      </c>
      <c r="R58" s="3">
        <v>12809.9451</v>
      </c>
      <c r="S58" s="3">
        <v>13482.2535</v>
      </c>
      <c r="T58" s="3">
        <v>14068.4808</v>
      </c>
      <c r="U58" s="3">
        <v>14635.6541</v>
      </c>
      <c r="V58" s="3">
        <v>15089.0945</v>
      </c>
      <c r="W58" s="3">
        <v>15017.507</v>
      </c>
      <c r="X58" s="3">
        <v>15534.292</v>
      </c>
      <c r="Y58" s="3">
        <v>15144.5261</v>
      </c>
      <c r="Z58" s="3">
        <v>14998.1234</v>
      </c>
      <c r="AA58" s="3">
        <v>16024.0077</v>
      </c>
      <c r="AB58" s="3">
        <v>17353.949</v>
      </c>
      <c r="AC58" s="3">
        <v>18430.1847</v>
      </c>
      <c r="AD58" s="3">
        <v>18609.8736</v>
      </c>
      <c r="AE58" s="3">
        <v>18423.4422</v>
      </c>
      <c r="AF58" s="3">
        <v>19515.2057</v>
      </c>
      <c r="AG58" s="3">
        <v>19688.5925</v>
      </c>
      <c r="AH58" s="3">
        <v>19807.5735</v>
      </c>
      <c r="AI58" s="3">
        <v>20332.1182</v>
      </c>
      <c r="AJ58" s="3">
        <v>21345.762</v>
      </c>
      <c r="AK58" s="3">
        <v>22440.8869</v>
      </c>
      <c r="AL58" s="3">
        <v>23504.5325</v>
      </c>
      <c r="AM58" s="3">
        <v>24132.2859</v>
      </c>
      <c r="AN58" s="3">
        <v>25407.9947</v>
      </c>
      <c r="AO58" s="3">
        <v>26272.9997</v>
      </c>
      <c r="AP58" s="3">
        <v>24161.7563</v>
      </c>
      <c r="AQ58" s="3">
        <v>26524.0232</v>
      </c>
      <c r="AR58" s="3">
        <v>27368.6502</v>
      </c>
      <c r="AS58" s="3">
        <v>27635.8011</v>
      </c>
      <c r="AT58" s="3">
        <v>28591.0185</v>
      </c>
      <c r="AU58" s="3">
        <f t="shared" si="2"/>
        <v>11609.36656</v>
      </c>
      <c r="AV58" s="3">
        <f t="shared" si="3"/>
        <v>15687.23812</v>
      </c>
      <c r="AW58" s="3">
        <f t="shared" si="4"/>
        <v>23781.94673</v>
      </c>
      <c r="AX58" s="4">
        <f t="shared" si="5"/>
        <v>0.0001953275932</v>
      </c>
      <c r="AY58" s="4">
        <f t="shared" si="6"/>
        <v>0.02938307045</v>
      </c>
      <c r="AZ58" s="4">
        <f t="shared" si="7"/>
        <v>0.0270048555</v>
      </c>
    </row>
    <row r="59" ht="14.25" customHeight="1">
      <c r="A59" s="2" t="s">
        <v>203</v>
      </c>
      <c r="B59" s="3">
        <v>6409.3081</v>
      </c>
      <c r="C59" s="3">
        <v>6630.5093</v>
      </c>
      <c r="D59" s="3">
        <v>6811.0019</v>
      </c>
      <c r="E59" s="3">
        <v>6964.8048</v>
      </c>
      <c r="F59" s="3">
        <v>7241.4074</v>
      </c>
      <c r="G59" s="3">
        <v>7497.7905</v>
      </c>
      <c r="H59" s="3">
        <v>7710.3647</v>
      </c>
      <c r="I59" s="3">
        <v>8005.03</v>
      </c>
      <c r="J59" s="3">
        <v>8304.1437</v>
      </c>
      <c r="K59" s="3">
        <v>8347.1438</v>
      </c>
      <c r="L59" s="3">
        <v>8441.097</v>
      </c>
      <c r="M59" s="3">
        <v>8674.4299</v>
      </c>
      <c r="N59" s="3">
        <v>8841.8472</v>
      </c>
      <c r="O59" s="3">
        <v>9008.0514</v>
      </c>
      <c r="P59" s="3">
        <v>9235.9925</v>
      </c>
      <c r="Q59" s="3">
        <v>9651.9747</v>
      </c>
      <c r="R59" s="3">
        <v>9842.7119</v>
      </c>
      <c r="S59" s="3">
        <v>10081.3018</v>
      </c>
      <c r="T59" s="3">
        <v>9826.4015</v>
      </c>
      <c r="U59" s="3">
        <v>10044.3676</v>
      </c>
      <c r="V59" s="3">
        <v>10422.8764</v>
      </c>
      <c r="W59" s="3">
        <v>10608.3565</v>
      </c>
      <c r="X59" s="3">
        <v>11042.2667</v>
      </c>
      <c r="Y59" s="3">
        <v>11456.901</v>
      </c>
      <c r="Z59" s="3">
        <v>12095.702</v>
      </c>
      <c r="AA59" s="3">
        <v>12587.7096</v>
      </c>
      <c r="AB59" s="3">
        <v>13303.3446</v>
      </c>
      <c r="AC59" s="3">
        <v>14136.6571</v>
      </c>
      <c r="AD59" s="3">
        <v>14367.0245</v>
      </c>
      <c r="AE59" s="3">
        <v>14498.3164</v>
      </c>
      <c r="AF59" s="3">
        <v>15357.5098</v>
      </c>
      <c r="AG59" s="3">
        <v>15909.7714</v>
      </c>
      <c r="AH59" s="3">
        <v>16505.4375</v>
      </c>
      <c r="AI59" s="3">
        <v>17182.7904</v>
      </c>
      <c r="AJ59" s="3">
        <v>17869.7138</v>
      </c>
      <c r="AK59" s="3">
        <v>18600.9853</v>
      </c>
      <c r="AL59" s="3">
        <v>19412.0563</v>
      </c>
      <c r="AM59" s="3">
        <v>20314.9238</v>
      </c>
      <c r="AN59" s="3">
        <v>21201.6158</v>
      </c>
      <c r="AO59" s="3">
        <v>21985.4579</v>
      </c>
      <c r="AP59" s="3">
        <v>21984.5144</v>
      </c>
      <c r="AQ59" s="3">
        <v>23386.6684</v>
      </c>
      <c r="AR59" s="3">
        <v>23856.0301</v>
      </c>
      <c r="AS59" s="3">
        <v>24795.0232</v>
      </c>
      <c r="AT59" s="3">
        <v>25705.5741</v>
      </c>
      <c r="AU59" s="3">
        <f t="shared" si="2"/>
        <v>7874.86148</v>
      </c>
      <c r="AV59" s="3">
        <f t="shared" si="3"/>
        <v>11736.70983</v>
      </c>
      <c r="AW59" s="3">
        <f t="shared" si="4"/>
        <v>20271.20481</v>
      </c>
      <c r="AX59" s="4">
        <f t="shared" si="5"/>
        <v>0.0264404171</v>
      </c>
      <c r="AY59" s="4">
        <f t="shared" si="6"/>
        <v>0.02948856827</v>
      </c>
      <c r="AZ59" s="4">
        <f t="shared" si="7"/>
        <v>0.03486356727</v>
      </c>
    </row>
    <row r="60" ht="14.25" customHeight="1">
      <c r="A60" s="2" t="s">
        <v>204</v>
      </c>
      <c r="B60" s="3">
        <v>5975.5172</v>
      </c>
      <c r="C60" s="3">
        <v>6166.5428</v>
      </c>
      <c r="D60" s="3">
        <v>6348.3197</v>
      </c>
      <c r="E60" s="3">
        <v>6485.0774</v>
      </c>
      <c r="F60" s="3">
        <v>6744.5839</v>
      </c>
      <c r="G60" s="3">
        <v>6984.0969</v>
      </c>
      <c r="H60" s="3">
        <v>7136.4958</v>
      </c>
      <c r="I60" s="3">
        <v>7414.8396</v>
      </c>
      <c r="J60" s="3">
        <v>7671.4218</v>
      </c>
      <c r="K60" s="3">
        <v>7727.7978</v>
      </c>
      <c r="L60" s="3">
        <v>7780.2976</v>
      </c>
      <c r="M60" s="3">
        <v>7966.5628</v>
      </c>
      <c r="N60" s="3">
        <v>8126.1022</v>
      </c>
      <c r="O60" s="3">
        <v>8292.9861</v>
      </c>
      <c r="P60" s="3">
        <v>8517.13</v>
      </c>
      <c r="Q60" s="3">
        <v>8996.5641</v>
      </c>
      <c r="R60" s="3">
        <v>9188.9498</v>
      </c>
      <c r="S60" s="3">
        <v>9436.6914</v>
      </c>
      <c r="T60" s="3">
        <v>9243.6937</v>
      </c>
      <c r="U60" s="3">
        <v>9465.6615</v>
      </c>
      <c r="V60" s="3">
        <v>9816.4305</v>
      </c>
      <c r="W60" s="3">
        <v>10027.4495</v>
      </c>
      <c r="X60" s="3">
        <v>10468.3248</v>
      </c>
      <c r="Y60" s="3">
        <v>10877.85</v>
      </c>
      <c r="Z60" s="3">
        <v>11502.7464</v>
      </c>
      <c r="AA60" s="3">
        <v>12003.3981</v>
      </c>
      <c r="AB60" s="3">
        <v>12741.1145</v>
      </c>
      <c r="AC60" s="3">
        <v>13567.0333</v>
      </c>
      <c r="AD60" s="3">
        <v>13788.5251</v>
      </c>
      <c r="AE60" s="3">
        <v>14013.6891</v>
      </c>
      <c r="AF60" s="3">
        <v>14879.6627</v>
      </c>
      <c r="AG60" s="3">
        <v>15497.0106</v>
      </c>
      <c r="AH60" s="3">
        <v>16105.79</v>
      </c>
      <c r="AI60" s="3">
        <v>16866.6281</v>
      </c>
      <c r="AJ60" s="3">
        <v>17600.3323</v>
      </c>
      <c r="AK60" s="3">
        <v>18374.7714</v>
      </c>
      <c r="AL60" s="3">
        <v>19178.8606</v>
      </c>
      <c r="AM60" s="3">
        <v>20104.8825</v>
      </c>
      <c r="AN60" s="3">
        <v>21023.4238</v>
      </c>
      <c r="AO60" s="3">
        <v>21831.6614</v>
      </c>
      <c r="AP60" s="3">
        <v>21888.2414</v>
      </c>
      <c r="AQ60" s="3">
        <v>23339.9407</v>
      </c>
      <c r="AR60" s="3">
        <v>23847.5288</v>
      </c>
      <c r="AS60" s="3">
        <v>24813.7415</v>
      </c>
      <c r="AT60" s="3">
        <v>25756.4926</v>
      </c>
      <c r="AU60" s="3">
        <f t="shared" si="2"/>
        <v>7289.184773</v>
      </c>
      <c r="AV60" s="3">
        <f t="shared" si="3"/>
        <v>11152.96841</v>
      </c>
      <c r="AW60" s="3">
        <f t="shared" si="4"/>
        <v>20073.93123</v>
      </c>
      <c r="AX60" s="4">
        <f t="shared" si="5"/>
        <v>0.02563805591</v>
      </c>
      <c r="AY60" s="4">
        <f t="shared" si="6"/>
        <v>0.03216296332</v>
      </c>
      <c r="AZ60" s="4">
        <f t="shared" si="7"/>
        <v>0.03695500887</v>
      </c>
    </row>
    <row r="61" ht="14.25" customHeight="1">
      <c r="A61" s="2" t="s">
        <v>205</v>
      </c>
      <c r="B61" s="3">
        <v>17532.6195</v>
      </c>
      <c r="C61" s="3">
        <v>17172.2031</v>
      </c>
      <c r="D61" s="3">
        <v>17213.7192</v>
      </c>
      <c r="E61" s="3">
        <v>17542.1893</v>
      </c>
      <c r="F61" s="3">
        <v>17863.3413</v>
      </c>
      <c r="G61" s="3">
        <v>17899.6504</v>
      </c>
      <c r="H61" s="3">
        <v>18207.292</v>
      </c>
      <c r="I61" s="3">
        <v>18440.3454</v>
      </c>
      <c r="J61" s="3">
        <v>18605.847</v>
      </c>
      <c r="K61" s="3">
        <v>18369.4161</v>
      </c>
      <c r="L61" s="3">
        <v>18294.2648</v>
      </c>
      <c r="M61" s="3">
        <v>16053.6596</v>
      </c>
      <c r="N61" s="3">
        <v>14872.9124</v>
      </c>
      <c r="O61" s="3">
        <v>14693.1967</v>
      </c>
      <c r="P61" s="3">
        <v>15140.4452</v>
      </c>
      <c r="Q61" s="3">
        <v>15848.8936</v>
      </c>
      <c r="R61" s="3">
        <v>16520.8922</v>
      </c>
      <c r="S61" s="3">
        <v>16816.5716</v>
      </c>
      <c r="T61" s="3">
        <v>17189.3725</v>
      </c>
      <c r="U61" s="3">
        <v>17398.9234</v>
      </c>
      <c r="V61" s="3">
        <v>18091.6098</v>
      </c>
      <c r="W61" s="3">
        <v>18520.7037</v>
      </c>
      <c r="X61" s="3">
        <v>19256.8764</v>
      </c>
      <c r="Y61" s="3">
        <v>19999.3821</v>
      </c>
      <c r="Z61" s="3">
        <v>21075.7058</v>
      </c>
      <c r="AA61" s="3">
        <v>22055.0646</v>
      </c>
      <c r="AB61" s="3">
        <v>23449.3033</v>
      </c>
      <c r="AC61" s="3">
        <v>24830.7354</v>
      </c>
      <c r="AD61" s="3">
        <v>25887.3565</v>
      </c>
      <c r="AE61" s="3">
        <v>24869.2962</v>
      </c>
      <c r="AF61" s="3">
        <v>25072.5142</v>
      </c>
      <c r="AG61" s="3">
        <v>26044.8364</v>
      </c>
      <c r="AH61" s="3">
        <v>26166.2887</v>
      </c>
      <c r="AI61" s="3">
        <v>26354.8705</v>
      </c>
      <c r="AJ61" s="3">
        <v>27205.0367</v>
      </c>
      <c r="AK61" s="3">
        <v>28278.8271</v>
      </c>
      <c r="AL61" s="3">
        <v>29161.0804</v>
      </c>
      <c r="AM61" s="3">
        <v>30706.4661</v>
      </c>
      <c r="AN61" s="3">
        <v>32264.5177</v>
      </c>
      <c r="AO61" s="3">
        <v>33650.7347</v>
      </c>
      <c r="AP61" s="3">
        <v>32554.0048</v>
      </c>
      <c r="AQ61" s="3">
        <v>34915.0772</v>
      </c>
      <c r="AR61" s="3">
        <v>36333.522</v>
      </c>
      <c r="AS61" s="3">
        <v>36714.9076</v>
      </c>
      <c r="AT61" s="3">
        <v>37497.6628</v>
      </c>
      <c r="AU61" s="3">
        <f t="shared" si="2"/>
        <v>17193.4068</v>
      </c>
      <c r="AV61" s="3">
        <f t="shared" si="3"/>
        <v>20425.84239</v>
      </c>
      <c r="AW61" s="3">
        <f t="shared" si="4"/>
        <v>30861.35646</v>
      </c>
      <c r="AX61" s="4">
        <f t="shared" si="5"/>
        <v>-0.01042340048</v>
      </c>
      <c r="AY61" s="4">
        <f t="shared" si="6"/>
        <v>0.03270442742</v>
      </c>
      <c r="AZ61" s="4">
        <f t="shared" si="7"/>
        <v>0.02637460391</v>
      </c>
    </row>
    <row r="62" ht="14.25" customHeight="1">
      <c r="A62" s="2" t="s">
        <v>206</v>
      </c>
      <c r="B62" s="3">
        <v>17613.8658</v>
      </c>
      <c r="C62" s="3">
        <v>17258.6085</v>
      </c>
      <c r="D62" s="3">
        <v>17245.3476</v>
      </c>
      <c r="E62" s="3">
        <v>17607.7454</v>
      </c>
      <c r="F62" s="3">
        <v>18015.9104</v>
      </c>
      <c r="G62" s="3">
        <v>18123.018</v>
      </c>
      <c r="H62" s="3">
        <v>18413.8747</v>
      </c>
      <c r="I62" s="3">
        <v>18597.8278</v>
      </c>
      <c r="J62" s="3">
        <v>18792.2537</v>
      </c>
      <c r="K62" s="3">
        <v>18532.7472</v>
      </c>
      <c r="L62" s="3">
        <v>18352.1944</v>
      </c>
      <c r="M62" s="3">
        <v>16172.0952</v>
      </c>
      <c r="N62" s="3">
        <v>14919.582</v>
      </c>
      <c r="O62" s="3">
        <v>14644.7745</v>
      </c>
      <c r="P62" s="3">
        <v>15065.6564</v>
      </c>
      <c r="Q62" s="3">
        <v>15849.1402</v>
      </c>
      <c r="R62" s="3">
        <v>16503.8228</v>
      </c>
      <c r="S62" s="3">
        <v>16749.2523</v>
      </c>
      <c r="T62" s="3">
        <v>17120.5587</v>
      </c>
      <c r="U62" s="3">
        <v>17267.0411</v>
      </c>
      <c r="V62" s="3">
        <v>17964.9068</v>
      </c>
      <c r="W62" s="3">
        <v>18396.3975</v>
      </c>
      <c r="X62" s="3">
        <v>19104.5999</v>
      </c>
      <c r="Y62" s="3">
        <v>19751.938</v>
      </c>
      <c r="Z62" s="3">
        <v>20826.8905</v>
      </c>
      <c r="AA62" s="3">
        <v>21780.3184</v>
      </c>
      <c r="AB62" s="3">
        <v>23170.8814</v>
      </c>
      <c r="AC62" s="3">
        <v>24547.2993</v>
      </c>
      <c r="AD62" s="3">
        <v>25651.698</v>
      </c>
      <c r="AE62" s="3">
        <v>24671.4082</v>
      </c>
      <c r="AF62" s="3">
        <v>24864.6779</v>
      </c>
      <c r="AG62" s="3">
        <v>25863.057</v>
      </c>
      <c r="AH62" s="3">
        <v>26000.5628</v>
      </c>
      <c r="AI62" s="3">
        <v>26210.6297</v>
      </c>
      <c r="AJ62" s="3">
        <v>27069.1909</v>
      </c>
      <c r="AK62" s="3">
        <v>28127.2102</v>
      </c>
      <c r="AL62" s="3">
        <v>28991.0757</v>
      </c>
      <c r="AM62" s="3">
        <v>30526.829</v>
      </c>
      <c r="AN62" s="3">
        <v>32090.2603</v>
      </c>
      <c r="AO62" s="3">
        <v>33475.0428</v>
      </c>
      <c r="AP62" s="3">
        <v>32394.5819</v>
      </c>
      <c r="AQ62" s="3">
        <v>34733.3364</v>
      </c>
      <c r="AR62" s="3">
        <v>36163.2062</v>
      </c>
      <c r="AS62" s="3">
        <v>36569.8751</v>
      </c>
      <c r="AT62" s="3">
        <v>37393.8898</v>
      </c>
      <c r="AU62" s="3">
        <f t="shared" si="2"/>
        <v>17290.36677</v>
      </c>
      <c r="AV62" s="3">
        <f t="shared" si="3"/>
        <v>20250.50092</v>
      </c>
      <c r="AW62" s="3">
        <f t="shared" si="4"/>
        <v>30698.22838</v>
      </c>
      <c r="AX62" s="4">
        <f t="shared" si="5"/>
        <v>-0.01109998394</v>
      </c>
      <c r="AY62" s="4">
        <f t="shared" si="6"/>
        <v>0.0321141469</v>
      </c>
      <c r="AZ62" s="4">
        <f t="shared" si="7"/>
        <v>0.02668495767</v>
      </c>
    </row>
    <row r="63" ht="14.25" customHeight="1">
      <c r="A63" s="2" t="s">
        <v>207</v>
      </c>
      <c r="B63" s="3">
        <v>12453.2973</v>
      </c>
      <c r="C63" s="3">
        <v>13223.6764</v>
      </c>
      <c r="D63" s="3">
        <v>13031.3315</v>
      </c>
      <c r="E63" s="3">
        <v>12699.9319</v>
      </c>
      <c r="F63" s="3">
        <v>12652.3036</v>
      </c>
      <c r="G63" s="3">
        <v>12816.1715</v>
      </c>
      <c r="H63" s="3">
        <v>12858.6373</v>
      </c>
      <c r="I63" s="3">
        <v>12926.5825</v>
      </c>
      <c r="J63" s="3">
        <v>12907.7644</v>
      </c>
      <c r="K63" s="3">
        <v>12868.6292</v>
      </c>
      <c r="L63" s="3">
        <v>13277.633</v>
      </c>
      <c r="M63" s="3">
        <v>13461.4848</v>
      </c>
      <c r="N63" s="3">
        <v>13301.2806</v>
      </c>
      <c r="O63" s="3">
        <v>13262.312</v>
      </c>
      <c r="P63" s="3">
        <v>13410.5259</v>
      </c>
      <c r="Q63" s="3">
        <v>13314.9362</v>
      </c>
      <c r="R63" s="3">
        <v>13615.8604</v>
      </c>
      <c r="S63" s="3">
        <v>13611.0309</v>
      </c>
      <c r="T63" s="3">
        <v>13731.1008</v>
      </c>
      <c r="U63" s="3">
        <v>12805.3469</v>
      </c>
      <c r="V63" s="3">
        <v>13123.9235</v>
      </c>
      <c r="W63" s="3">
        <v>13353.0722</v>
      </c>
      <c r="X63" s="3">
        <v>13664.1548</v>
      </c>
      <c r="Y63" s="3">
        <v>13692.6318</v>
      </c>
      <c r="Z63" s="3">
        <v>14241.8559</v>
      </c>
      <c r="AA63" s="3">
        <v>14613.7229</v>
      </c>
      <c r="AB63" s="3">
        <v>14854.3623</v>
      </c>
      <c r="AC63" s="3">
        <v>14754.2763</v>
      </c>
      <c r="AD63" s="3">
        <v>15317.6556</v>
      </c>
      <c r="AE63" s="3">
        <v>15126.8094</v>
      </c>
      <c r="AF63" s="3">
        <v>15329.979</v>
      </c>
      <c r="AG63" s="3">
        <v>16211.7684</v>
      </c>
      <c r="AH63" s="3">
        <v>16739.5097</v>
      </c>
      <c r="AI63" s="3">
        <v>17505.7256</v>
      </c>
      <c r="AJ63" s="3">
        <v>17826.3005</v>
      </c>
      <c r="AK63" s="3">
        <v>17463.4263</v>
      </c>
      <c r="AL63" s="3">
        <v>16922.1958</v>
      </c>
      <c r="AM63" s="3">
        <v>17447.6057</v>
      </c>
      <c r="AN63" s="3">
        <v>17160.5038</v>
      </c>
      <c r="AO63" s="3">
        <v>16731.0166</v>
      </c>
      <c r="AP63" s="3">
        <v>14910.9833</v>
      </c>
      <c r="AQ63" s="3">
        <v>16033.4121</v>
      </c>
      <c r="AR63" s="3">
        <v>16748.3359</v>
      </c>
      <c r="AS63" s="3">
        <v>16868.9054</v>
      </c>
      <c r="AT63" s="3">
        <v>16404.2799</v>
      </c>
      <c r="AU63" s="3">
        <f t="shared" si="2"/>
        <v>13010.10413</v>
      </c>
      <c r="AV63" s="3">
        <f t="shared" si="3"/>
        <v>14036.12884</v>
      </c>
      <c r="AW63" s="3">
        <f t="shared" si="4"/>
        <v>16686.92987</v>
      </c>
      <c r="AX63" s="4">
        <f t="shared" si="5"/>
        <v>0.005303620544</v>
      </c>
      <c r="AY63" s="4">
        <f t="shared" si="6"/>
        <v>0.00915466414</v>
      </c>
      <c r="AZ63" s="4">
        <f t="shared" si="7"/>
        <v>0.0008435589778</v>
      </c>
    </row>
    <row r="64" ht="14.25" customHeight="1">
      <c r="A64" s="2" t="s">
        <v>208</v>
      </c>
      <c r="B64" s="3">
        <v>8201.2469</v>
      </c>
      <c r="C64" s="3">
        <v>8522.7476</v>
      </c>
      <c r="D64" s="3">
        <v>9372.9716</v>
      </c>
      <c r="E64" s="3">
        <v>10237.6354</v>
      </c>
      <c r="F64" s="3">
        <v>10745.1559</v>
      </c>
      <c r="G64" s="3">
        <v>10856.4437</v>
      </c>
      <c r="H64" s="3">
        <v>11098.7436</v>
      </c>
      <c r="I64" s="3">
        <v>11475.861</v>
      </c>
      <c r="J64" s="3">
        <v>11772.799</v>
      </c>
      <c r="K64" s="3">
        <v>12113.6758</v>
      </c>
      <c r="L64" s="3">
        <v>12372.1877</v>
      </c>
      <c r="M64" s="3">
        <v>12703.7679</v>
      </c>
      <c r="N64" s="3">
        <v>12915.0572</v>
      </c>
      <c r="O64" s="3">
        <v>12993.9862</v>
      </c>
      <c r="P64" s="3">
        <v>13198.5123</v>
      </c>
      <c r="Q64" s="3">
        <v>13465.4183</v>
      </c>
      <c r="R64" s="3">
        <v>13794.2802</v>
      </c>
      <c r="S64" s="3">
        <v>14049.3453</v>
      </c>
      <c r="T64" s="3">
        <v>14332.6264</v>
      </c>
      <c r="U64" s="3">
        <v>14704.6117</v>
      </c>
      <c r="V64" s="3">
        <v>14907.3872</v>
      </c>
      <c r="W64" s="3">
        <v>14957.0454</v>
      </c>
      <c r="X64" s="3">
        <v>14989.7522</v>
      </c>
      <c r="Y64" s="3">
        <v>15082.8708</v>
      </c>
      <c r="Z64" s="3">
        <v>15264.3674</v>
      </c>
      <c r="AA64" s="3">
        <v>15671.8538</v>
      </c>
      <c r="AB64" s="3">
        <v>16321.8576</v>
      </c>
      <c r="AC64" s="3">
        <v>17031.7948</v>
      </c>
      <c r="AD64" s="3">
        <v>17569.1515</v>
      </c>
      <c r="AE64" s="3">
        <v>17984.9887</v>
      </c>
      <c r="AF64" s="3">
        <v>18151.1648</v>
      </c>
      <c r="AG64" s="3">
        <v>18065.8205</v>
      </c>
      <c r="AH64" s="3">
        <v>17990.6863</v>
      </c>
      <c r="AI64" s="3">
        <v>18008.812</v>
      </c>
      <c r="AJ64" s="3">
        <v>18245.4251</v>
      </c>
      <c r="AK64" s="3">
        <v>18652.6724</v>
      </c>
      <c r="AL64" s="3">
        <v>19089.8755</v>
      </c>
      <c r="AM64" s="3">
        <v>19593.6882</v>
      </c>
      <c r="AN64" s="3">
        <v>20199.8074</v>
      </c>
      <c r="AO64" s="3">
        <v>20626.2895</v>
      </c>
      <c r="AP64" s="3">
        <v>21466.3905</v>
      </c>
      <c r="AQ64" s="3">
        <v>22679.1945</v>
      </c>
      <c r="AR64" s="3">
        <v>23692.4414</v>
      </c>
      <c r="AS64" s="3">
        <v>24022.5972</v>
      </c>
      <c r="AT64" s="3">
        <v>24025.6852</v>
      </c>
      <c r="AU64" s="3">
        <f t="shared" si="2"/>
        <v>11238.71945</v>
      </c>
      <c r="AV64" s="3">
        <f t="shared" si="3"/>
        <v>15475.85236</v>
      </c>
      <c r="AW64" s="3">
        <f t="shared" si="4"/>
        <v>20300.70337</v>
      </c>
      <c r="AX64" s="4">
        <f t="shared" si="5"/>
        <v>0.03457115094</v>
      </c>
      <c r="AY64" s="4">
        <f t="shared" si="6"/>
        <v>0.02088748535</v>
      </c>
      <c r="AZ64" s="4">
        <f t="shared" si="7"/>
        <v>0.02057317583</v>
      </c>
    </row>
    <row r="65" ht="14.25" customHeight="1">
      <c r="A65" s="2" t="s">
        <v>209</v>
      </c>
      <c r="B65" s="3">
        <v>12443.2264</v>
      </c>
      <c r="C65" s="3">
        <v>11284.2627</v>
      </c>
      <c r="D65" s="3">
        <v>10484.6199</v>
      </c>
      <c r="E65" s="3">
        <v>10294.7533</v>
      </c>
      <c r="F65" s="3">
        <v>10243.3986</v>
      </c>
      <c r="G65" s="3">
        <v>10126.4331</v>
      </c>
      <c r="H65" s="3">
        <v>9912.2662</v>
      </c>
      <c r="I65" s="3">
        <v>9896.2279</v>
      </c>
      <c r="J65" s="3">
        <v>9805.3447</v>
      </c>
      <c r="K65" s="3">
        <v>9673.9609</v>
      </c>
      <c r="L65" s="3">
        <v>9779.5864</v>
      </c>
      <c r="M65" s="3">
        <v>9749.778</v>
      </c>
      <c r="N65" s="3">
        <v>10249.8787</v>
      </c>
      <c r="O65" s="3">
        <v>10614.8697</v>
      </c>
      <c r="P65" s="3">
        <v>10853.9849</v>
      </c>
      <c r="Q65" s="3">
        <v>11113.9984</v>
      </c>
      <c r="R65" s="3">
        <v>10967.3864</v>
      </c>
      <c r="S65" s="3">
        <v>11088.0781</v>
      </c>
      <c r="T65" s="3">
        <v>11169.8892</v>
      </c>
      <c r="U65" s="3">
        <v>11203.0996</v>
      </c>
      <c r="V65" s="3">
        <v>11142.9968</v>
      </c>
      <c r="W65" s="3">
        <v>11083.704</v>
      </c>
      <c r="X65" s="3">
        <v>11118.0485</v>
      </c>
      <c r="Y65" s="3">
        <v>11167.1351</v>
      </c>
      <c r="Z65" s="3">
        <v>11163.5711</v>
      </c>
      <c r="AA65" s="3">
        <v>11377.9</v>
      </c>
      <c r="AB65" s="3">
        <v>11799.7537</v>
      </c>
      <c r="AC65" s="3">
        <v>11933.8915</v>
      </c>
      <c r="AD65" s="3">
        <v>12062.6833</v>
      </c>
      <c r="AE65" s="3">
        <v>11706.7645</v>
      </c>
      <c r="AF65" s="3">
        <v>11797.8097</v>
      </c>
      <c r="AG65" s="3">
        <v>12076.7775</v>
      </c>
      <c r="AH65" s="3">
        <v>12238.4556</v>
      </c>
      <c r="AI65" s="3">
        <v>12305.0385</v>
      </c>
      <c r="AJ65" s="3">
        <v>12320.1048</v>
      </c>
      <c r="AK65" s="3">
        <v>12444.5224</v>
      </c>
      <c r="AL65" s="3">
        <v>12564.5661</v>
      </c>
      <c r="AM65" s="3">
        <v>12629.8529</v>
      </c>
      <c r="AN65" s="3">
        <v>12758.9687</v>
      </c>
      <c r="AO65" s="3">
        <v>12902.1786</v>
      </c>
      <c r="AP65" s="3">
        <v>11749.533</v>
      </c>
      <c r="AQ65" s="3">
        <v>12891.4865</v>
      </c>
      <c r="AR65" s="3">
        <v>13071.7949</v>
      </c>
      <c r="AS65" s="3">
        <v>13371.013</v>
      </c>
      <c r="AT65" s="3">
        <v>13604.1341</v>
      </c>
      <c r="AU65" s="3">
        <f t="shared" si="2"/>
        <v>10360.83943</v>
      </c>
      <c r="AV65" s="3">
        <f t="shared" si="3"/>
        <v>11356.06441</v>
      </c>
      <c r="AW65" s="3">
        <f t="shared" si="4"/>
        <v>12581.74909</v>
      </c>
      <c r="AX65" s="4">
        <f t="shared" si="5"/>
        <v>-0.009712817637</v>
      </c>
      <c r="AY65" s="4">
        <f t="shared" si="6"/>
        <v>0.00371842527</v>
      </c>
      <c r="AZ65" s="4">
        <f t="shared" si="7"/>
        <v>0.008542662833</v>
      </c>
    </row>
    <row r="66" ht="14.25" customHeight="1">
      <c r="A66" s="2" t="s">
        <v>210</v>
      </c>
      <c r="B66" s="3">
        <v>6002.5725</v>
      </c>
      <c r="C66" s="3">
        <v>6068.9609</v>
      </c>
      <c r="D66" s="3">
        <v>5858.7592</v>
      </c>
      <c r="E66" s="3">
        <v>5730.3042</v>
      </c>
      <c r="F66" s="3">
        <v>5370.3141</v>
      </c>
      <c r="G66" s="3">
        <v>5684.9857</v>
      </c>
      <c r="H66" s="3">
        <v>5272.4826</v>
      </c>
      <c r="I66" s="3">
        <v>5279.7503</v>
      </c>
      <c r="J66" s="3">
        <v>5222.5655</v>
      </c>
      <c r="K66" s="3">
        <v>4983.8798</v>
      </c>
      <c r="L66" s="3">
        <v>4943.8242</v>
      </c>
      <c r="M66" s="3">
        <v>4801.6983</v>
      </c>
      <c r="N66" s="3">
        <v>5268.8546</v>
      </c>
      <c r="O66" s="3">
        <v>5586.0279</v>
      </c>
      <c r="P66" s="3">
        <v>5913.3817</v>
      </c>
      <c r="Q66" s="3">
        <v>6380.4264</v>
      </c>
      <c r="R66" s="3">
        <v>8279.6115</v>
      </c>
      <c r="S66" s="3">
        <v>15577.2167</v>
      </c>
      <c r="T66" s="3">
        <v>17645.0911</v>
      </c>
      <c r="U66" s="3">
        <v>20897.5387</v>
      </c>
      <c r="V66" s="3">
        <v>22411.8229</v>
      </c>
      <c r="W66" s="3">
        <v>35205.3364</v>
      </c>
      <c r="X66" s="3">
        <v>39573.5103</v>
      </c>
      <c r="Y66" s="3">
        <v>42017.2573</v>
      </c>
      <c r="Z66" s="3">
        <v>48670.9603</v>
      </c>
      <c r="AA66" s="3">
        <v>49873.5153</v>
      </c>
      <c r="AB66" s="3">
        <v>49769.5233</v>
      </c>
      <c r="AC66" s="3">
        <v>54280.8474</v>
      </c>
      <c r="AD66" s="3">
        <v>60157.4833</v>
      </c>
      <c r="AE66" s="3">
        <v>57661.4066</v>
      </c>
      <c r="AF66" s="3">
        <v>49731.5143</v>
      </c>
      <c r="AG66" s="3">
        <v>50444.2384</v>
      </c>
      <c r="AH66" s="3">
        <v>52300.387</v>
      </c>
      <c r="AI66" s="3">
        <v>48021.0704</v>
      </c>
      <c r="AJ66" s="3">
        <v>46188.9209</v>
      </c>
      <c r="AK66" s="3">
        <v>40218.2121</v>
      </c>
      <c r="AL66" s="3">
        <v>35333.5927</v>
      </c>
      <c r="AM66" s="3">
        <v>32114.3485</v>
      </c>
      <c r="AN66" s="3">
        <v>29058.9005</v>
      </c>
      <c r="AO66" s="3">
        <v>26602.7348</v>
      </c>
      <c r="AP66" s="3">
        <v>24669.4236</v>
      </c>
      <c r="AQ66" s="3">
        <v>24432.3331</v>
      </c>
      <c r="AR66" s="3">
        <v>24610.5644</v>
      </c>
      <c r="AS66" s="3">
        <v>22764.8242</v>
      </c>
      <c r="AT66" s="3">
        <v>22625.3609</v>
      </c>
      <c r="AU66" s="3">
        <f t="shared" si="2"/>
        <v>5465.890767</v>
      </c>
      <c r="AV66" s="3">
        <f t="shared" si="3"/>
        <v>37287.22294</v>
      </c>
      <c r="AW66" s="3">
        <f t="shared" si="4"/>
        <v>35274.42839</v>
      </c>
      <c r="AX66" s="4">
        <f t="shared" si="5"/>
        <v>-0.001068732777</v>
      </c>
      <c r="AY66" s="4">
        <f t="shared" si="6"/>
        <v>0.1702758746</v>
      </c>
      <c r="AZ66" s="4">
        <f t="shared" si="7"/>
        <v>-0.05566208973</v>
      </c>
    </row>
    <row r="67" ht="14.25" customHeight="1">
      <c r="A67" s="2" t="s">
        <v>211</v>
      </c>
      <c r="B67" s="3">
        <v>2091.1397</v>
      </c>
      <c r="C67" s="3">
        <v>2063.489</v>
      </c>
      <c r="D67" s="3">
        <v>2046.3908</v>
      </c>
      <c r="E67" s="3">
        <v>2214.8682</v>
      </c>
      <c r="F67" s="3">
        <v>2620.3191</v>
      </c>
      <c r="G67" s="3">
        <v>2148.0126</v>
      </c>
      <c r="H67" s="3">
        <v>2347.3012</v>
      </c>
      <c r="I67" s="3">
        <v>2494.2072</v>
      </c>
      <c r="J67" s="3">
        <v>2358.7518</v>
      </c>
      <c r="K67" s="3">
        <v>2310.0998</v>
      </c>
      <c r="L67" s="3">
        <v>2446.5396</v>
      </c>
      <c r="M67" s="3">
        <v>2402.2398</v>
      </c>
      <c r="N67" s="3">
        <v>2611.4592</v>
      </c>
      <c r="O67" s="3">
        <v>2763.3047</v>
      </c>
      <c r="P67" s="3">
        <v>3020.4506</v>
      </c>
      <c r="Q67" s="3">
        <v>3380.8246</v>
      </c>
      <c r="R67" s="3">
        <v>3242.934</v>
      </c>
      <c r="S67" s="3">
        <v>3546.3486</v>
      </c>
      <c r="T67" s="3">
        <v>3819.971</v>
      </c>
      <c r="U67" s="3">
        <v>3872.4745</v>
      </c>
      <c r="V67" s="3">
        <v>3849.4869</v>
      </c>
      <c r="W67" s="3">
        <v>3269.5829</v>
      </c>
      <c r="X67" s="3">
        <v>3411.8604</v>
      </c>
      <c r="Y67" s="3">
        <v>3333.8824</v>
      </c>
      <c r="Z67" s="3">
        <v>3081.2441</v>
      </c>
      <c r="AA67" s="3">
        <v>3053.0235</v>
      </c>
      <c r="AB67" s="3">
        <v>2989.9848</v>
      </c>
      <c r="AC67" s="3">
        <v>2998.793</v>
      </c>
      <c r="AD67" s="3">
        <v>2327.1806</v>
      </c>
      <c r="AE67" s="3">
        <v>2531.8232</v>
      </c>
      <c r="AF67" s="3">
        <v>2746.0165</v>
      </c>
      <c r="AG67" s="3">
        <v>3387.1112</v>
      </c>
      <c r="AH67" s="3">
        <v>3413.9674</v>
      </c>
      <c r="AI67" s="3">
        <v>3021.0033</v>
      </c>
      <c r="AJ67" s="3">
        <v>3933.3543</v>
      </c>
      <c r="AK67" s="3">
        <v>3113.2297</v>
      </c>
      <c r="AL67" s="3">
        <v>3320.8083</v>
      </c>
      <c r="AM67" s="3">
        <v>2946.3759</v>
      </c>
      <c r="AN67" s="3">
        <v>3258.3741</v>
      </c>
      <c r="AO67" s="3">
        <v>3311.8448</v>
      </c>
      <c r="AP67" s="3">
        <v>3214.3162</v>
      </c>
      <c r="AQ67" s="3">
        <v>3230.8098</v>
      </c>
      <c r="AR67" s="3">
        <v>3209.394</v>
      </c>
      <c r="AS67" s="3">
        <v>3221.3972</v>
      </c>
      <c r="AT67" s="3">
        <v>3210.672</v>
      </c>
      <c r="AU67" s="3">
        <f t="shared" si="2"/>
        <v>2395.904887</v>
      </c>
      <c r="AV67" s="3">
        <f t="shared" si="3"/>
        <v>3237.756421</v>
      </c>
      <c r="AW67" s="3">
        <f t="shared" si="4"/>
        <v>3235.911647</v>
      </c>
      <c r="AX67" s="4">
        <f t="shared" si="5"/>
        <v>0.02661199671</v>
      </c>
      <c r="AY67" s="4">
        <f t="shared" si="6"/>
        <v>-0.02044384409</v>
      </c>
      <c r="AZ67" s="4">
        <f t="shared" si="7"/>
        <v>-0.003813932961</v>
      </c>
    </row>
    <row r="68" ht="14.25" customHeight="1">
      <c r="A68" s="2" t="s">
        <v>212</v>
      </c>
      <c r="B68" s="3">
        <v>21066.9312</v>
      </c>
      <c r="C68" s="3">
        <v>21090.5538</v>
      </c>
      <c r="D68" s="3">
        <v>21096.4595</v>
      </c>
      <c r="E68" s="3">
        <v>21063.6998</v>
      </c>
      <c r="F68" s="3">
        <v>21044.98</v>
      </c>
      <c r="G68" s="3">
        <v>21074.954</v>
      </c>
      <c r="H68" s="3">
        <v>21128.8849</v>
      </c>
      <c r="I68" s="3">
        <v>21186.8272</v>
      </c>
      <c r="J68" s="3">
        <v>21219.2526</v>
      </c>
      <c r="K68" s="3">
        <v>21164.876</v>
      </c>
      <c r="L68" s="3">
        <v>21203.4299</v>
      </c>
      <c r="M68" s="3">
        <v>19511.1803</v>
      </c>
      <c r="N68" s="3">
        <v>15558.5121</v>
      </c>
      <c r="O68" s="3">
        <v>14931.1752</v>
      </c>
      <c r="P68" s="3">
        <v>14837.9104</v>
      </c>
      <c r="Q68" s="3">
        <v>15639.4085</v>
      </c>
      <c r="R68" s="3">
        <v>16538.1828</v>
      </c>
      <c r="S68" s="3">
        <v>18778.0987</v>
      </c>
      <c r="T68" s="3">
        <v>19632.302</v>
      </c>
      <c r="U68" s="3">
        <v>19420.2554</v>
      </c>
      <c r="V68" s="3">
        <v>21332.1287</v>
      </c>
      <c r="W68" s="3">
        <v>22509.3603</v>
      </c>
      <c r="X68" s="3">
        <v>24220.9984</v>
      </c>
      <c r="Y68" s="3">
        <v>26051.641</v>
      </c>
      <c r="Z68" s="3">
        <v>27757.039</v>
      </c>
      <c r="AA68" s="3">
        <v>30436.9821</v>
      </c>
      <c r="AB68" s="3">
        <v>33516.3929</v>
      </c>
      <c r="AC68" s="3">
        <v>36028.6376</v>
      </c>
      <c r="AD68" s="3">
        <v>34210.9206</v>
      </c>
      <c r="AE68" s="3">
        <v>29052.2724</v>
      </c>
      <c r="AF68" s="3">
        <v>29540.4364</v>
      </c>
      <c r="AG68" s="3">
        <v>31950.3906</v>
      </c>
      <c r="AH68" s="3">
        <v>33103.2197</v>
      </c>
      <c r="AI68" s="3">
        <v>33758.1906</v>
      </c>
      <c r="AJ68" s="3">
        <v>35017.99</v>
      </c>
      <c r="AK68" s="3">
        <v>35648.4469</v>
      </c>
      <c r="AL68" s="3">
        <v>36739.5451</v>
      </c>
      <c r="AM68" s="3">
        <v>38818.4482</v>
      </c>
      <c r="AN68" s="3">
        <v>40098.7503</v>
      </c>
      <c r="AO68" s="3">
        <v>41508.3083</v>
      </c>
      <c r="AP68" s="3">
        <v>40182.5438</v>
      </c>
      <c r="AQ68" s="3">
        <v>43001.5484</v>
      </c>
      <c r="AR68" s="3">
        <v>42604.8665</v>
      </c>
      <c r="AS68" s="3">
        <v>41060.1469</v>
      </c>
      <c r="AT68" s="3">
        <v>41088.8952</v>
      </c>
      <c r="AU68" s="3">
        <f t="shared" si="2"/>
        <v>19811.97513</v>
      </c>
      <c r="AV68" s="3">
        <f t="shared" si="3"/>
        <v>25677.51514</v>
      </c>
      <c r="AW68" s="3">
        <f t="shared" si="4"/>
        <v>37608.11513</v>
      </c>
      <c r="AX68" s="4">
        <f t="shared" si="5"/>
        <v>-0.02472625389</v>
      </c>
      <c r="AY68" s="4">
        <f t="shared" si="6"/>
        <v>0.04522890944</v>
      </c>
      <c r="AZ68" s="4">
        <f t="shared" si="7"/>
        <v>0.01813050399</v>
      </c>
    </row>
    <row r="69" ht="14.25" customHeight="1">
      <c r="A69" s="2" t="s">
        <v>213</v>
      </c>
      <c r="B69" s="3">
        <v>1616.1958</v>
      </c>
      <c r="C69" s="3">
        <v>1601.4829</v>
      </c>
      <c r="D69" s="3">
        <v>1572.7672</v>
      </c>
      <c r="E69" s="3">
        <v>1695.786</v>
      </c>
      <c r="F69" s="3">
        <v>1992.3933</v>
      </c>
      <c r="G69" s="3">
        <v>1618.7843</v>
      </c>
      <c r="H69" s="3">
        <v>1750.1806</v>
      </c>
      <c r="I69" s="3">
        <v>1835.4641</v>
      </c>
      <c r="J69" s="3">
        <v>1708.3661</v>
      </c>
      <c r="K69" s="3">
        <v>1645.8608</v>
      </c>
      <c r="L69" s="3">
        <v>1713.6464</v>
      </c>
      <c r="M69" s="3">
        <v>1516.2271</v>
      </c>
      <c r="N69" s="3">
        <v>1457.0683</v>
      </c>
      <c r="O69" s="3">
        <v>1563.672</v>
      </c>
      <c r="P69" s="3">
        <v>1591.4409</v>
      </c>
      <c r="Q69" s="3">
        <v>1692.8827</v>
      </c>
      <c r="R69" s="3">
        <v>1776.6377</v>
      </c>
      <c r="S69" s="3">
        <v>1715.9454</v>
      </c>
      <c r="T69" s="3">
        <v>1674.4783</v>
      </c>
      <c r="U69" s="3">
        <v>1720.5509</v>
      </c>
      <c r="V69" s="3">
        <v>1789.5099</v>
      </c>
      <c r="W69" s="3">
        <v>1826.6484</v>
      </c>
      <c r="X69" s="3">
        <v>1770.6372</v>
      </c>
      <c r="Y69" s="3">
        <v>1820.4566</v>
      </c>
      <c r="Z69" s="3">
        <v>1997.5704</v>
      </c>
      <c r="AA69" s="3">
        <v>2160.7494</v>
      </c>
      <c r="AB69" s="3">
        <v>2333.366</v>
      </c>
      <c r="AC69" s="3">
        <v>2515.7854</v>
      </c>
      <c r="AD69" s="3">
        <v>2663.8284</v>
      </c>
      <c r="AE69" s="3">
        <v>2836.9587</v>
      </c>
      <c r="AF69" s="3">
        <v>3103.1331</v>
      </c>
      <c r="AG69" s="3">
        <v>3310.6547</v>
      </c>
      <c r="AH69" s="3">
        <v>3473.5517</v>
      </c>
      <c r="AI69" s="3">
        <v>3692.5002</v>
      </c>
      <c r="AJ69" s="3">
        <v>3916.7492</v>
      </c>
      <c r="AK69" s="3">
        <v>4101.2057</v>
      </c>
      <c r="AL69" s="3">
        <v>4279.7296</v>
      </c>
      <c r="AM69" s="3">
        <v>4454.1063</v>
      </c>
      <c r="AN69" s="3">
        <v>4617.7285</v>
      </c>
      <c r="AO69" s="3">
        <v>4771.3465</v>
      </c>
      <c r="AP69" s="3">
        <v>4870.3684</v>
      </c>
      <c r="AQ69" s="3">
        <v>4962.1836</v>
      </c>
      <c r="AR69" s="3">
        <v>5045.2034</v>
      </c>
      <c r="AS69" s="3">
        <v>5187.8654</v>
      </c>
      <c r="AT69" s="3">
        <v>5415.9217</v>
      </c>
      <c r="AU69" s="3">
        <f t="shared" si="2"/>
        <v>1658.622387</v>
      </c>
      <c r="AV69" s="3">
        <f t="shared" si="3"/>
        <v>2043.080193</v>
      </c>
      <c r="AW69" s="3">
        <f t="shared" si="4"/>
        <v>4346.816533</v>
      </c>
      <c r="AX69" s="4">
        <f t="shared" si="5"/>
        <v>-0.001101912723</v>
      </c>
      <c r="AY69" s="4">
        <f t="shared" si="6"/>
        <v>0.0375670068</v>
      </c>
      <c r="AZ69" s="4">
        <f t="shared" si="7"/>
        <v>0.0357822483</v>
      </c>
    </row>
    <row r="70" ht="14.25" customHeight="1">
      <c r="A70" s="2" t="s">
        <v>214</v>
      </c>
      <c r="B70" s="3">
        <v>30126.1154</v>
      </c>
      <c r="C70" s="3">
        <v>29918.7599</v>
      </c>
      <c r="D70" s="3">
        <v>29939.9934</v>
      </c>
      <c r="E70" s="3">
        <v>30282.8299</v>
      </c>
      <c r="F70" s="3">
        <v>30790.2731</v>
      </c>
      <c r="G70" s="3">
        <v>31298.28</v>
      </c>
      <c r="H70" s="3">
        <v>31871.1149</v>
      </c>
      <c r="I70" s="3">
        <v>32475.9879</v>
      </c>
      <c r="J70" s="3">
        <v>33475.8417</v>
      </c>
      <c r="K70" s="3">
        <v>34290.607</v>
      </c>
      <c r="L70" s="3">
        <v>34950.067</v>
      </c>
      <c r="M70" s="3">
        <v>34887.1181</v>
      </c>
      <c r="N70" s="3">
        <v>34829.2428</v>
      </c>
      <c r="O70" s="3">
        <v>34538.5504</v>
      </c>
      <c r="P70" s="3">
        <v>35271.3882</v>
      </c>
      <c r="Q70" s="3">
        <v>35901.065</v>
      </c>
      <c r="R70" s="3">
        <v>36443.7407</v>
      </c>
      <c r="S70" s="3">
        <v>37310.5563</v>
      </c>
      <c r="T70" s="3">
        <v>38279.5933</v>
      </c>
      <c r="U70" s="3">
        <v>39205.2238</v>
      </c>
      <c r="V70" s="3">
        <v>40502.6285</v>
      </c>
      <c r="W70" s="3">
        <v>41151.4718</v>
      </c>
      <c r="X70" s="3">
        <v>41393.4962</v>
      </c>
      <c r="Y70" s="3">
        <v>41665.2099</v>
      </c>
      <c r="Z70" s="3">
        <v>42452.6347</v>
      </c>
      <c r="AA70" s="3">
        <v>43088.7003</v>
      </c>
      <c r="AB70" s="3">
        <v>44320.4315</v>
      </c>
      <c r="AC70" s="3">
        <v>45432.9356</v>
      </c>
      <c r="AD70" s="3">
        <v>45510.2594</v>
      </c>
      <c r="AE70" s="3">
        <v>43388.788</v>
      </c>
      <c r="AF70" s="3">
        <v>44112.7941</v>
      </c>
      <c r="AG70" s="3">
        <v>44730.2569</v>
      </c>
      <c r="AH70" s="3">
        <v>44420.1162</v>
      </c>
      <c r="AI70" s="3">
        <v>44425.8474</v>
      </c>
      <c r="AJ70" s="3">
        <v>45117.4395</v>
      </c>
      <c r="AK70" s="3">
        <v>45984.9128</v>
      </c>
      <c r="AL70" s="3">
        <v>46796.9534</v>
      </c>
      <c r="AM70" s="3">
        <v>47974.8492</v>
      </c>
      <c r="AN70" s="3">
        <v>48794.9698</v>
      </c>
      <c r="AO70" s="3">
        <v>49526.6802</v>
      </c>
      <c r="AP70" s="3">
        <v>46402.1605</v>
      </c>
      <c r="AQ70" s="3">
        <v>49216.3516</v>
      </c>
      <c r="AR70" s="3">
        <v>50708.0522</v>
      </c>
      <c r="AS70" s="3">
        <v>50842.3119</v>
      </c>
      <c r="AT70" s="3">
        <v>51288.7792</v>
      </c>
      <c r="AU70" s="3">
        <f t="shared" si="2"/>
        <v>32596.41131</v>
      </c>
      <c r="AV70" s="3">
        <f t="shared" si="3"/>
        <v>41438.97643</v>
      </c>
      <c r="AW70" s="3">
        <f t="shared" si="4"/>
        <v>47356.16499</v>
      </c>
      <c r="AX70" s="4">
        <f t="shared" si="5"/>
        <v>0.01132649922</v>
      </c>
      <c r="AY70" s="4">
        <f t="shared" si="6"/>
        <v>0.01362296594</v>
      </c>
      <c r="AZ70" s="4">
        <f t="shared" si="7"/>
        <v>0.009820900064</v>
      </c>
    </row>
    <row r="71" ht="14.25" customHeight="1">
      <c r="A71" s="2" t="s">
        <v>215</v>
      </c>
      <c r="B71" s="3">
        <v>30378.7818</v>
      </c>
      <c r="C71" s="3">
        <v>30151.9177</v>
      </c>
      <c r="D71" s="3">
        <v>30151.4416</v>
      </c>
      <c r="E71" s="3">
        <v>30481.6051</v>
      </c>
      <c r="F71" s="3">
        <v>30997.5578</v>
      </c>
      <c r="G71" s="3">
        <v>31487.8727</v>
      </c>
      <c r="H71" s="3">
        <v>32031.3674</v>
      </c>
      <c r="I71" s="3">
        <v>32620.2893</v>
      </c>
      <c r="J71" s="3">
        <v>33612.4119</v>
      </c>
      <c r="K71" s="3">
        <v>34367.5377</v>
      </c>
      <c r="L71" s="3">
        <v>34962.58</v>
      </c>
      <c r="M71" s="3">
        <v>34753.1931</v>
      </c>
      <c r="N71" s="3">
        <v>34556.7951</v>
      </c>
      <c r="O71" s="3">
        <v>34206.6382</v>
      </c>
      <c r="P71" s="3">
        <v>34924.6333</v>
      </c>
      <c r="Q71" s="3">
        <v>35615.6305</v>
      </c>
      <c r="R71" s="3">
        <v>36195.7118</v>
      </c>
      <c r="S71" s="3">
        <v>37060.3933</v>
      </c>
      <c r="T71" s="3">
        <v>38025.1099</v>
      </c>
      <c r="U71" s="3">
        <v>38908.8328</v>
      </c>
      <c r="V71" s="3">
        <v>40233.7031</v>
      </c>
      <c r="W71" s="3">
        <v>40890.2218</v>
      </c>
      <c r="X71" s="3">
        <v>41184.4108</v>
      </c>
      <c r="Y71" s="3">
        <v>41444.5973</v>
      </c>
      <c r="Z71" s="3">
        <v>42302.0703</v>
      </c>
      <c r="AA71" s="3">
        <v>42955.8008</v>
      </c>
      <c r="AB71" s="3">
        <v>44216.3385</v>
      </c>
      <c r="AC71" s="3">
        <v>45388.5379</v>
      </c>
      <c r="AD71" s="3">
        <v>45515.435</v>
      </c>
      <c r="AE71" s="3">
        <v>43359.6816</v>
      </c>
      <c r="AF71" s="3">
        <v>44027.7611</v>
      </c>
      <c r="AG71" s="3">
        <v>44646.5371</v>
      </c>
      <c r="AH71" s="3">
        <v>44317.1897</v>
      </c>
      <c r="AI71" s="3">
        <v>44280.8071</v>
      </c>
      <c r="AJ71" s="3">
        <v>44991.6617</v>
      </c>
      <c r="AK71" s="3">
        <v>45872.8684</v>
      </c>
      <c r="AL71" s="3">
        <v>46653.1559</v>
      </c>
      <c r="AM71" s="3">
        <v>47865.0702</v>
      </c>
      <c r="AN71" s="3">
        <v>48747.841</v>
      </c>
      <c r="AO71" s="3">
        <v>49521.396</v>
      </c>
      <c r="AP71" s="3">
        <v>46402.4221</v>
      </c>
      <c r="AQ71" s="3">
        <v>49270.8662</v>
      </c>
      <c r="AR71" s="3">
        <v>50817.1603</v>
      </c>
      <c r="AS71" s="3">
        <v>50954.598</v>
      </c>
      <c r="AT71" s="3">
        <v>51448.1772</v>
      </c>
      <c r="AU71" s="3">
        <f t="shared" si="2"/>
        <v>32645.64151</v>
      </c>
      <c r="AV71" s="3">
        <f t="shared" si="3"/>
        <v>41262.91749</v>
      </c>
      <c r="AW71" s="3">
        <f t="shared" si="4"/>
        <v>47321.16747</v>
      </c>
      <c r="AX71" s="4">
        <f t="shared" si="5"/>
        <v>0.0100103436</v>
      </c>
      <c r="AY71" s="4">
        <f t="shared" si="6"/>
        <v>0.01415245485</v>
      </c>
      <c r="AZ71" s="4">
        <f t="shared" si="7"/>
        <v>0.0101799153</v>
      </c>
    </row>
    <row r="72" ht="14.25" customHeight="1">
      <c r="A72" s="2" t="s">
        <v>216</v>
      </c>
      <c r="B72" s="3">
        <v>12979.0338</v>
      </c>
      <c r="C72" s="3">
        <v>13384.6403</v>
      </c>
      <c r="D72" s="3">
        <v>12668.2784</v>
      </c>
      <c r="E72" s="3">
        <v>11911.8649</v>
      </c>
      <c r="F72" s="3">
        <v>12490.9285</v>
      </c>
      <c r="G72" s="3">
        <v>11633.1508</v>
      </c>
      <c r="H72" s="3">
        <v>12070.6489</v>
      </c>
      <c r="I72" s="3">
        <v>11055.36</v>
      </c>
      <c r="J72" s="3">
        <v>11071.9795</v>
      </c>
      <c r="K72" s="3">
        <v>11649.2463</v>
      </c>
      <c r="L72" s="3">
        <v>12456.1922</v>
      </c>
      <c r="M72" s="3">
        <v>11985.8294</v>
      </c>
      <c r="N72" s="3">
        <v>12327.5031</v>
      </c>
      <c r="O72" s="3">
        <v>12429.3913</v>
      </c>
      <c r="P72" s="3">
        <v>12956.1258</v>
      </c>
      <c r="Q72" s="3">
        <v>13160.8754</v>
      </c>
      <c r="R72" s="3">
        <v>13628.8426</v>
      </c>
      <c r="S72" s="3">
        <v>13091.4776</v>
      </c>
      <c r="T72" s="3">
        <v>12977.3119</v>
      </c>
      <c r="U72" s="3">
        <v>13814.7269</v>
      </c>
      <c r="V72" s="3">
        <v>13290.1634</v>
      </c>
      <c r="W72" s="3">
        <v>13272.7204</v>
      </c>
      <c r="X72" s="3">
        <v>13418.4782</v>
      </c>
      <c r="Y72" s="3">
        <v>13284.4739</v>
      </c>
      <c r="Z72" s="3">
        <v>13718.3036</v>
      </c>
      <c r="AA72" s="3">
        <v>13563.2628</v>
      </c>
      <c r="AB72" s="3">
        <v>13581.9037</v>
      </c>
      <c r="AC72" s="3">
        <v>13247.3419</v>
      </c>
      <c r="AD72" s="3">
        <v>13211.2581</v>
      </c>
      <c r="AE72" s="3">
        <v>12888.2252</v>
      </c>
      <c r="AF72" s="3">
        <v>13144.5554</v>
      </c>
      <c r="AG72" s="3">
        <v>13371.6141</v>
      </c>
      <c r="AH72" s="3">
        <v>13446.3272</v>
      </c>
      <c r="AI72" s="3">
        <v>13974.4092</v>
      </c>
      <c r="AJ72" s="3">
        <v>14654.0134</v>
      </c>
      <c r="AK72" s="3">
        <v>15206.1264</v>
      </c>
      <c r="AL72" s="3">
        <v>15483.6427</v>
      </c>
      <c r="AM72" s="3">
        <v>16226.7306</v>
      </c>
      <c r="AN72" s="3">
        <v>16786.7041</v>
      </c>
      <c r="AO72" s="3">
        <v>16644.6894</v>
      </c>
      <c r="AP72" s="3">
        <v>13737.0193</v>
      </c>
      <c r="AQ72" s="3">
        <v>12997.974</v>
      </c>
      <c r="AR72" s="3">
        <v>15404.6625</v>
      </c>
      <c r="AS72" s="3">
        <v>16510.5353</v>
      </c>
      <c r="AT72" s="3">
        <v>16968.3961</v>
      </c>
      <c r="AU72" s="3">
        <f t="shared" si="2"/>
        <v>12204.67821</v>
      </c>
      <c r="AV72" s="3">
        <f t="shared" si="3"/>
        <v>13356.32073</v>
      </c>
      <c r="AW72" s="3">
        <f t="shared" si="4"/>
        <v>14970.49331</v>
      </c>
      <c r="AX72" s="4">
        <f t="shared" si="5"/>
        <v>-0.0001261748864</v>
      </c>
      <c r="AY72" s="4">
        <f t="shared" si="6"/>
        <v>-0.001494191447</v>
      </c>
      <c r="AZ72" s="4">
        <f t="shared" si="7"/>
        <v>0.01716119366</v>
      </c>
    </row>
    <row r="73" ht="14.25" customHeight="1">
      <c r="A73" s="2" t="s">
        <v>217</v>
      </c>
      <c r="B73" s="3">
        <v>32039.6054</v>
      </c>
      <c r="C73" s="3">
        <v>32144.3534</v>
      </c>
      <c r="D73" s="3">
        <v>32794.477</v>
      </c>
      <c r="E73" s="3">
        <v>33454.7147</v>
      </c>
      <c r="F73" s="3">
        <v>34192.5241</v>
      </c>
      <c r="G73" s="3">
        <v>35097.2618</v>
      </c>
      <c r="H73" s="3">
        <v>35780.1905</v>
      </c>
      <c r="I73" s="3">
        <v>36778.4187</v>
      </c>
      <c r="J73" s="3">
        <v>38446.647</v>
      </c>
      <c r="K73" s="3">
        <v>40165.974</v>
      </c>
      <c r="L73" s="3">
        <v>40221.1184</v>
      </c>
      <c r="M73" s="3">
        <v>37641.6441</v>
      </c>
      <c r="N73" s="3">
        <v>36210.6159</v>
      </c>
      <c r="O73" s="3">
        <v>35800.243</v>
      </c>
      <c r="P73" s="3">
        <v>37076.1281</v>
      </c>
      <c r="Q73" s="3">
        <v>38460.8069</v>
      </c>
      <c r="R73" s="3">
        <v>39714.6166</v>
      </c>
      <c r="S73" s="3">
        <v>42065.8616</v>
      </c>
      <c r="T73" s="3">
        <v>44144.1111</v>
      </c>
      <c r="U73" s="3">
        <v>45870.8259</v>
      </c>
      <c r="V73" s="3">
        <v>48294.0137</v>
      </c>
      <c r="W73" s="3">
        <v>49301.9163</v>
      </c>
      <c r="X73" s="3">
        <v>49862.2433</v>
      </c>
      <c r="Y73" s="3">
        <v>50563.8174</v>
      </c>
      <c r="Z73" s="3">
        <v>52278.3072</v>
      </c>
      <c r="AA73" s="3">
        <v>53387.088</v>
      </c>
      <c r="AB73" s="3">
        <v>55179.4133</v>
      </c>
      <c r="AC73" s="3">
        <v>57760.9104</v>
      </c>
      <c r="AD73" s="3">
        <v>57840.8566</v>
      </c>
      <c r="AE73" s="3">
        <v>52779.7959</v>
      </c>
      <c r="AF73" s="3">
        <v>54046.2704</v>
      </c>
      <c r="AG73" s="3">
        <v>54844.5011</v>
      </c>
      <c r="AH73" s="3">
        <v>53732.2903</v>
      </c>
      <c r="AI73" s="3">
        <v>52785.0729</v>
      </c>
      <c r="AJ73" s="3">
        <v>52157.4644</v>
      </c>
      <c r="AK73" s="3">
        <v>52092.8215</v>
      </c>
      <c r="AL73" s="3">
        <v>53221.0391</v>
      </c>
      <c r="AM73" s="3">
        <v>54657.4323</v>
      </c>
      <c r="AN73" s="3">
        <v>55139.3962</v>
      </c>
      <c r="AO73" s="3">
        <v>55631.7381</v>
      </c>
      <c r="AP73" s="3">
        <v>53936.949</v>
      </c>
      <c r="AQ73" s="3">
        <v>55043.4431</v>
      </c>
      <c r="AR73" s="3">
        <v>55162.7028</v>
      </c>
      <c r="AS73" s="3">
        <v>54721.0199</v>
      </c>
      <c r="AT73" s="3">
        <v>54341.6052</v>
      </c>
      <c r="AU73" s="3">
        <f t="shared" si="2"/>
        <v>35856.26107</v>
      </c>
      <c r="AV73" s="3">
        <f t="shared" si="3"/>
        <v>49931.69838</v>
      </c>
      <c r="AW73" s="3">
        <f t="shared" si="4"/>
        <v>54100.91642</v>
      </c>
      <c r="AX73" s="4">
        <f t="shared" si="5"/>
        <v>0.01048317522</v>
      </c>
      <c r="AY73" s="4">
        <f t="shared" si="6"/>
        <v>0.02286379854</v>
      </c>
      <c r="AZ73" s="4">
        <f t="shared" si="7"/>
        <v>-0.0006577682028</v>
      </c>
    </row>
    <row r="74" ht="14.25" customHeight="1">
      <c r="A74" s="2" t="s">
        <v>218</v>
      </c>
      <c r="B74" s="3">
        <v>36260.7882</v>
      </c>
      <c r="C74" s="3">
        <v>36292.5452</v>
      </c>
      <c r="D74" s="3">
        <v>36839.833</v>
      </c>
      <c r="E74" s="3">
        <v>36937.8739</v>
      </c>
      <c r="F74" s="3">
        <v>37121.6883</v>
      </c>
      <c r="G74" s="3">
        <v>37350.2195</v>
      </c>
      <c r="H74" s="3">
        <v>37857.9349</v>
      </c>
      <c r="I74" s="3">
        <v>38457.3595</v>
      </c>
      <c r="J74" s="3">
        <v>39891.0716</v>
      </c>
      <c r="K74" s="3">
        <v>41207.7481</v>
      </c>
      <c r="L74" s="3">
        <v>41982.38</v>
      </c>
      <c r="M74" s="3">
        <v>41994.9443</v>
      </c>
      <c r="N74" s="3">
        <v>42229.5104</v>
      </c>
      <c r="O74" s="3">
        <v>41563.9996</v>
      </c>
      <c r="P74" s="3">
        <v>42207.7455</v>
      </c>
      <c r="Q74" s="3">
        <v>42822.8013</v>
      </c>
      <c r="R74" s="3">
        <v>43201.0156</v>
      </c>
      <c r="S74" s="3">
        <v>43979.4069</v>
      </c>
      <c r="T74" s="3">
        <v>45281.2436</v>
      </c>
      <c r="U74" s="3">
        <v>46479.994</v>
      </c>
      <c r="V74" s="3">
        <v>47884.7193</v>
      </c>
      <c r="W74" s="3">
        <v>48399.2609</v>
      </c>
      <c r="X74" s="3">
        <v>48526.5854</v>
      </c>
      <c r="Y74" s="3">
        <v>48547.2621</v>
      </c>
      <c r="Z74" s="3">
        <v>49540.9279</v>
      </c>
      <c r="AA74" s="3">
        <v>49954.8563</v>
      </c>
      <c r="AB74" s="3">
        <v>50767.8736</v>
      </c>
      <c r="AC74" s="3">
        <v>51606.8109</v>
      </c>
      <c r="AD74" s="3">
        <v>51377.2903</v>
      </c>
      <c r="AE74" s="3">
        <v>49588.5138</v>
      </c>
      <c r="AF74" s="3">
        <v>50264.4123</v>
      </c>
      <c r="AG74" s="3">
        <v>51051.6085</v>
      </c>
      <c r="AH74" s="3">
        <v>50899.9469</v>
      </c>
      <c r="AI74" s="3">
        <v>50908.356</v>
      </c>
      <c r="AJ74" s="3">
        <v>51137.1841</v>
      </c>
      <c r="AK74" s="3">
        <v>51486.3126</v>
      </c>
      <c r="AL74" s="3">
        <v>51846.9171</v>
      </c>
      <c r="AM74" s="3">
        <v>52773.6064</v>
      </c>
      <c r="AN74" s="3">
        <v>53410.0314</v>
      </c>
      <c r="AO74" s="3">
        <v>54061.0981</v>
      </c>
      <c r="AP74" s="3">
        <v>49722.8625</v>
      </c>
      <c r="AQ74" s="3">
        <v>52655.7793</v>
      </c>
      <c r="AR74" s="3">
        <v>53665.7687</v>
      </c>
      <c r="AS74" s="3">
        <v>53876.1956</v>
      </c>
      <c r="AT74" s="3">
        <v>54181.6954</v>
      </c>
      <c r="AU74" s="3">
        <f t="shared" si="2"/>
        <v>39213.0428</v>
      </c>
      <c r="AV74" s="3">
        <f t="shared" si="3"/>
        <v>48223.9829</v>
      </c>
      <c r="AW74" s="3">
        <f t="shared" si="4"/>
        <v>52129.45166</v>
      </c>
      <c r="AX74" s="4">
        <f t="shared" si="5"/>
        <v>0.01090667773</v>
      </c>
      <c r="AY74" s="4">
        <f t="shared" si="6"/>
        <v>0.01053283593</v>
      </c>
      <c r="AZ74" s="4">
        <f t="shared" si="7"/>
        <v>0.004259479886</v>
      </c>
    </row>
    <row r="75" ht="14.25" customHeight="1">
      <c r="A75" s="2" t="s">
        <v>219</v>
      </c>
      <c r="B75" s="3">
        <v>24815.7552</v>
      </c>
      <c r="C75" s="3">
        <v>25883.987</v>
      </c>
      <c r="D75" s="3">
        <v>27351.334</v>
      </c>
      <c r="E75" s="3">
        <v>27700.6949</v>
      </c>
      <c r="F75" s="3">
        <v>28102.4035</v>
      </c>
      <c r="G75" s="3">
        <v>28543.8621</v>
      </c>
      <c r="H75" s="3">
        <v>29816.9223</v>
      </c>
      <c r="I75" s="3">
        <v>30791.6799</v>
      </c>
      <c r="J75" s="3">
        <v>29372.8505</v>
      </c>
      <c r="K75" s="3">
        <v>29675.3255</v>
      </c>
      <c r="L75" s="3">
        <v>29456.56</v>
      </c>
      <c r="M75" s="3">
        <v>30276.1464</v>
      </c>
      <c r="N75" s="3">
        <v>29572.0154</v>
      </c>
      <c r="O75" s="3">
        <v>28961.6871</v>
      </c>
      <c r="P75" s="3">
        <v>28259.3696</v>
      </c>
      <c r="Q75" s="3">
        <v>27721.12</v>
      </c>
      <c r="R75" s="3">
        <v>27310.6511</v>
      </c>
      <c r="S75" s="3">
        <v>27092.9178</v>
      </c>
      <c r="T75" s="3">
        <v>27309.9815</v>
      </c>
      <c r="U75" s="3">
        <v>27622.3358</v>
      </c>
      <c r="V75" s="3">
        <v>28294.355</v>
      </c>
      <c r="W75" s="3">
        <v>27974.2726</v>
      </c>
      <c r="X75" s="3">
        <v>27864.2017</v>
      </c>
      <c r="Y75" s="3">
        <v>28094.7809</v>
      </c>
      <c r="Z75" s="3">
        <v>27964.6134</v>
      </c>
      <c r="AA75" s="3">
        <v>27620.1256</v>
      </c>
      <c r="AB75" s="3">
        <v>27170.6972</v>
      </c>
      <c r="AC75" s="3">
        <v>27003.4953</v>
      </c>
      <c r="AD75" s="3">
        <v>26492.8719</v>
      </c>
      <c r="AE75" s="3">
        <v>24950.2564</v>
      </c>
      <c r="AF75" s="3">
        <v>23975.689</v>
      </c>
      <c r="AG75" s="3">
        <v>22958.7964</v>
      </c>
      <c r="AH75" s="3">
        <v>22463.1375</v>
      </c>
      <c r="AI75" s="3">
        <v>22232.3308</v>
      </c>
      <c r="AJ75" s="3">
        <v>22040.1003</v>
      </c>
      <c r="AK75" s="3">
        <v>22134.9923</v>
      </c>
      <c r="AL75" s="3">
        <v>22390.7724</v>
      </c>
      <c r="AM75" s="3">
        <v>23125.4931</v>
      </c>
      <c r="AN75" s="3">
        <v>23339.0291</v>
      </c>
      <c r="AO75" s="3">
        <v>23755.1225</v>
      </c>
      <c r="AP75" s="3">
        <v>21864.2075</v>
      </c>
      <c r="AQ75" s="3">
        <v>22100.0088</v>
      </c>
      <c r="AR75" s="3">
        <v>22741.1996</v>
      </c>
      <c r="AS75" s="3">
        <v>22783.2601</v>
      </c>
      <c r="AT75" s="3">
        <v>22704.7573</v>
      </c>
      <c r="AU75" s="3">
        <f t="shared" si="2"/>
        <v>28572.03956</v>
      </c>
      <c r="AV75" s="3">
        <f t="shared" si="3"/>
        <v>27340.39687</v>
      </c>
      <c r="AW75" s="3">
        <f t="shared" si="4"/>
        <v>22707.25978</v>
      </c>
      <c r="AX75" s="4">
        <f t="shared" si="5"/>
        <v>0.009325090818</v>
      </c>
      <c r="AY75" s="4">
        <f t="shared" si="6"/>
        <v>-0.007493956292</v>
      </c>
      <c r="AZ75" s="4">
        <f t="shared" si="7"/>
        <v>-0.0007944466356</v>
      </c>
    </row>
    <row r="76" ht="14.25" customHeight="1">
      <c r="A76" s="2" t="s">
        <v>220</v>
      </c>
      <c r="B76" s="3">
        <v>41328.2522</v>
      </c>
      <c r="C76" s="3">
        <v>42683.362</v>
      </c>
      <c r="D76" s="3">
        <v>40589.1829</v>
      </c>
      <c r="E76" s="3">
        <v>42060.8737</v>
      </c>
      <c r="F76" s="3">
        <v>44374.8381</v>
      </c>
      <c r="G76" s="3">
        <v>42468.6218</v>
      </c>
      <c r="H76" s="3">
        <v>41290.154</v>
      </c>
      <c r="I76" s="3">
        <v>33513.9664</v>
      </c>
      <c r="J76" s="3">
        <v>37001.3563</v>
      </c>
      <c r="K76" s="3">
        <v>39275.0148</v>
      </c>
      <c r="L76" s="3">
        <v>40368.1903</v>
      </c>
      <c r="M76" s="3">
        <v>41826.4691</v>
      </c>
      <c r="N76" s="3">
        <v>39561.6878</v>
      </c>
      <c r="O76" s="3">
        <v>39512.7177</v>
      </c>
      <c r="P76" s="3">
        <v>40647.0652</v>
      </c>
      <c r="Q76" s="3">
        <v>41560.8662</v>
      </c>
      <c r="R76" s="3">
        <v>41887.4806</v>
      </c>
      <c r="S76" s="3">
        <v>43073.1546</v>
      </c>
      <c r="T76" s="3">
        <v>43097.4792</v>
      </c>
      <c r="U76" s="3">
        <v>37388.2939</v>
      </c>
      <c r="V76" s="3">
        <v>35787.4586</v>
      </c>
      <c r="W76" s="3">
        <v>35483.8391</v>
      </c>
      <c r="X76" s="3">
        <v>33706.4378</v>
      </c>
      <c r="Y76" s="3">
        <v>33371.2</v>
      </c>
      <c r="Z76" s="3">
        <v>32455.7133</v>
      </c>
      <c r="AA76" s="3">
        <v>31618.0854</v>
      </c>
      <c r="AB76" s="3">
        <v>29478.4182</v>
      </c>
      <c r="AC76" s="3">
        <v>30114.4672</v>
      </c>
      <c r="AD76" s="3">
        <v>27766.257</v>
      </c>
      <c r="AE76" s="3">
        <v>26599.7196</v>
      </c>
      <c r="AF76" s="3">
        <v>27300.0142</v>
      </c>
      <c r="AG76" s="3">
        <v>28017.9084</v>
      </c>
      <c r="AH76" s="3">
        <v>28271.7092</v>
      </c>
      <c r="AI76" s="3">
        <v>28630.4405</v>
      </c>
      <c r="AJ76" s="3">
        <v>28667.3052</v>
      </c>
      <c r="AK76" s="3">
        <v>28663.6831</v>
      </c>
      <c r="AL76" s="3">
        <v>28408.2901</v>
      </c>
      <c r="AM76" s="3">
        <v>27763.9969</v>
      </c>
      <c r="AN76" s="3">
        <v>27287.3021</v>
      </c>
      <c r="AO76" s="3">
        <v>27720.9759</v>
      </c>
      <c r="AP76" s="3">
        <v>26569.3174</v>
      </c>
      <c r="AQ76" s="3">
        <v>26453.2787</v>
      </c>
      <c r="AR76" s="3">
        <v>26514.054</v>
      </c>
      <c r="AS76" s="3">
        <v>26677.7155</v>
      </c>
      <c r="AT76" s="3">
        <v>26687.6804</v>
      </c>
      <c r="AU76" s="3">
        <f t="shared" si="2"/>
        <v>40433.45015</v>
      </c>
      <c r="AV76" s="3">
        <f t="shared" si="3"/>
        <v>34416.28604</v>
      </c>
      <c r="AW76" s="3">
        <f t="shared" si="4"/>
        <v>27575.57811</v>
      </c>
      <c r="AX76" s="4">
        <f t="shared" si="5"/>
        <v>-0.001186417232</v>
      </c>
      <c r="AY76" s="4">
        <f t="shared" si="6"/>
        <v>-0.03137292363</v>
      </c>
      <c r="AZ76" s="4">
        <f t="shared" si="7"/>
        <v>-0.003468388394</v>
      </c>
    </row>
    <row r="77" ht="14.25" customHeight="1">
      <c r="A77" s="2" t="s">
        <v>221</v>
      </c>
      <c r="B77" s="3">
        <v>4237.2145</v>
      </c>
      <c r="C77" s="3">
        <v>4864.7726</v>
      </c>
      <c r="D77" s="3">
        <v>5057.3563</v>
      </c>
      <c r="E77" s="3">
        <v>4734.4074</v>
      </c>
      <c r="F77" s="3">
        <v>4713.4131</v>
      </c>
      <c r="G77" s="3">
        <v>4701.9037</v>
      </c>
      <c r="H77" s="3">
        <v>4633.2426</v>
      </c>
      <c r="I77" s="3">
        <v>4603.386</v>
      </c>
      <c r="J77" s="3">
        <v>4655.6499</v>
      </c>
      <c r="K77" s="3">
        <v>4637.8918</v>
      </c>
      <c r="L77" s="3">
        <v>4617.4531</v>
      </c>
      <c r="M77" s="3">
        <v>4563.6867</v>
      </c>
      <c r="N77" s="3">
        <v>4544.5454</v>
      </c>
      <c r="O77" s="3">
        <v>4521.247</v>
      </c>
      <c r="P77" s="3">
        <v>4402.0706</v>
      </c>
      <c r="Q77" s="3">
        <v>4334.8598</v>
      </c>
      <c r="R77" s="3">
        <v>4413.5949</v>
      </c>
      <c r="S77" s="3">
        <v>4332.7048</v>
      </c>
      <c r="T77" s="3">
        <v>4389.1519</v>
      </c>
      <c r="U77" s="3">
        <v>4577.7388</v>
      </c>
      <c r="V77" s="3">
        <v>4740.6897</v>
      </c>
      <c r="W77" s="3">
        <v>4889.2417</v>
      </c>
      <c r="X77" s="3">
        <v>4783.0846</v>
      </c>
      <c r="Y77" s="3">
        <v>4758.0749</v>
      </c>
      <c r="Z77" s="3">
        <v>5046.1004</v>
      </c>
      <c r="AA77" s="3">
        <v>4779.9118</v>
      </c>
      <c r="AB77" s="3">
        <v>4606.1562</v>
      </c>
      <c r="AC77" s="3">
        <v>4592.8087</v>
      </c>
      <c r="AD77" s="3">
        <v>4695.2598</v>
      </c>
      <c r="AE77" s="3">
        <v>4839.8449</v>
      </c>
      <c r="AF77" s="3">
        <v>4951.1582</v>
      </c>
      <c r="AG77" s="3">
        <v>4394.0062</v>
      </c>
      <c r="AH77" s="3">
        <v>4468.0063</v>
      </c>
      <c r="AI77" s="3">
        <v>4436.6136</v>
      </c>
      <c r="AJ77" s="3">
        <v>4217.0106</v>
      </c>
      <c r="AK77" s="3">
        <v>4226.3389</v>
      </c>
      <c r="AL77" s="3">
        <v>4170.0671</v>
      </c>
      <c r="AM77" s="3">
        <v>4227.5805</v>
      </c>
      <c r="AN77" s="3">
        <v>4387.5263</v>
      </c>
      <c r="AO77" s="3">
        <v>4522.3543</v>
      </c>
      <c r="AP77" s="3">
        <v>4405.0644</v>
      </c>
      <c r="AQ77" s="3">
        <v>4509.9613</v>
      </c>
      <c r="AR77" s="3">
        <v>4590.4562</v>
      </c>
      <c r="AS77" s="3">
        <v>4687.1991</v>
      </c>
      <c r="AT77" s="3">
        <v>4807.8855</v>
      </c>
      <c r="AU77" s="3">
        <f t="shared" si="2"/>
        <v>4632.54938</v>
      </c>
      <c r="AV77" s="3">
        <f t="shared" si="3"/>
        <v>4674.597364</v>
      </c>
      <c r="AW77" s="3">
        <f t="shared" si="4"/>
        <v>4466.748567</v>
      </c>
      <c r="AX77" s="4">
        <f t="shared" si="5"/>
        <v>0.002730071687</v>
      </c>
      <c r="AY77" s="4">
        <f t="shared" si="6"/>
        <v>0.007902015021</v>
      </c>
      <c r="AZ77" s="4">
        <f t="shared" si="7"/>
        <v>0.006450429092</v>
      </c>
    </row>
    <row r="78" ht="14.25" customHeight="1">
      <c r="A78" s="2" t="s">
        <v>222</v>
      </c>
      <c r="B78" s="3">
        <v>14726.8103</v>
      </c>
      <c r="C78" s="3">
        <v>15281.402</v>
      </c>
      <c r="D78" s="3">
        <v>15369.4263</v>
      </c>
      <c r="E78" s="3">
        <v>15812.0294</v>
      </c>
      <c r="F78" s="3">
        <v>16454.8005</v>
      </c>
      <c r="G78" s="3">
        <v>17081.9832</v>
      </c>
      <c r="H78" s="3">
        <v>15552.2221</v>
      </c>
      <c r="I78" s="3">
        <v>15635.9033</v>
      </c>
      <c r="J78" s="3">
        <v>16397.3327</v>
      </c>
      <c r="K78" s="3">
        <v>15209.354</v>
      </c>
      <c r="L78" s="3">
        <v>13061.5616</v>
      </c>
      <c r="M78" s="3">
        <v>10406.796</v>
      </c>
      <c r="N78" s="3">
        <v>5861.5637</v>
      </c>
      <c r="O78" s="3">
        <v>4228.2674</v>
      </c>
      <c r="P78" s="3">
        <v>3876.7132</v>
      </c>
      <c r="Q78" s="3">
        <v>4058.4232</v>
      </c>
      <c r="R78" s="3">
        <v>4603.0104</v>
      </c>
      <c r="S78" s="3">
        <v>5191.571</v>
      </c>
      <c r="T78" s="3">
        <v>5467.1994</v>
      </c>
      <c r="U78" s="3">
        <v>5746.7831</v>
      </c>
      <c r="V78" s="3">
        <v>5987.6672</v>
      </c>
      <c r="W78" s="3">
        <v>6407.3917</v>
      </c>
      <c r="X78" s="3">
        <v>6841.0761</v>
      </c>
      <c r="Y78" s="3">
        <v>7616.3877</v>
      </c>
      <c r="Z78" s="3">
        <v>8048.6761</v>
      </c>
      <c r="AA78" s="3">
        <v>8810.0279</v>
      </c>
      <c r="AB78" s="3">
        <v>9627.8393</v>
      </c>
      <c r="AC78" s="3">
        <v>10833.1903</v>
      </c>
      <c r="AD78" s="3">
        <v>11110.1371</v>
      </c>
      <c r="AE78" s="3">
        <v>10721.5119</v>
      </c>
      <c r="AF78" s="3">
        <v>11399.8029</v>
      </c>
      <c r="AG78" s="3">
        <v>12336.1175</v>
      </c>
      <c r="AH78" s="3">
        <v>13209.0702</v>
      </c>
      <c r="AI78" s="3">
        <v>13975.8508</v>
      </c>
      <c r="AJ78" s="3">
        <v>14624.4385</v>
      </c>
      <c r="AK78" s="3">
        <v>15169.5685</v>
      </c>
      <c r="AL78" s="3">
        <v>15744.5571</v>
      </c>
      <c r="AM78" s="3">
        <v>16683.7412</v>
      </c>
      <c r="AN78" s="3">
        <v>17700.3246</v>
      </c>
      <c r="AO78" s="3">
        <v>18669.5223</v>
      </c>
      <c r="AP78" s="3">
        <v>17535.3664</v>
      </c>
      <c r="AQ78" s="3">
        <v>19651.6716</v>
      </c>
      <c r="AR78" s="3">
        <v>21811.4849</v>
      </c>
      <c r="AS78" s="3">
        <v>23208.8605</v>
      </c>
      <c r="AT78" s="3">
        <v>25405.0468</v>
      </c>
      <c r="AU78" s="3">
        <f t="shared" si="2"/>
        <v>12997.07771</v>
      </c>
      <c r="AV78" s="3">
        <f t="shared" si="3"/>
        <v>7643.7478</v>
      </c>
      <c r="AW78" s="3">
        <f t="shared" si="4"/>
        <v>17141.69492</v>
      </c>
      <c r="AX78" s="4">
        <f t="shared" si="5"/>
        <v>-0.09093113376</v>
      </c>
      <c r="AY78" s="4">
        <f t="shared" si="6"/>
        <v>0.07185397141</v>
      </c>
      <c r="AZ78" s="4">
        <f t="shared" si="7"/>
        <v>0.05295571787</v>
      </c>
    </row>
    <row r="79" ht="14.25" customHeight="1">
      <c r="A79" s="2" t="s">
        <v>223</v>
      </c>
      <c r="B79" s="3">
        <v>36016.0297</v>
      </c>
      <c r="C79" s="3">
        <v>35915.1796</v>
      </c>
      <c r="D79" s="3">
        <v>35534.928</v>
      </c>
      <c r="E79" s="3">
        <v>35864.1378</v>
      </c>
      <c r="F79" s="3">
        <v>36638.0181</v>
      </c>
      <c r="G79" s="3">
        <v>37218.7366</v>
      </c>
      <c r="H79" s="3">
        <v>37740.1595</v>
      </c>
      <c r="I79" s="3">
        <v>37919.7543</v>
      </c>
      <c r="J79" s="3">
        <v>38925.7892</v>
      </c>
      <c r="K79" s="3">
        <v>39960.286</v>
      </c>
      <c r="L79" s="3">
        <v>41591.2504</v>
      </c>
      <c r="M79" s="3">
        <v>43319.7443</v>
      </c>
      <c r="N79" s="3">
        <v>43751.512</v>
      </c>
      <c r="O79" s="3">
        <v>43027.8196</v>
      </c>
      <c r="P79" s="3">
        <v>43916.5913</v>
      </c>
      <c r="Q79" s="3">
        <v>44472.8325</v>
      </c>
      <c r="R79" s="3">
        <v>44712.0077</v>
      </c>
      <c r="S79" s="3">
        <v>45476.5905</v>
      </c>
      <c r="T79" s="3">
        <v>46549.2263</v>
      </c>
      <c r="U79" s="3">
        <v>47517.3119</v>
      </c>
      <c r="V79" s="3">
        <v>48760.7194</v>
      </c>
      <c r="W79" s="3">
        <v>49387.0719</v>
      </c>
      <c r="X79" s="3">
        <v>49088.9805</v>
      </c>
      <c r="Y79" s="3">
        <v>48602.471</v>
      </c>
      <c r="Z79" s="3">
        <v>49062.9853</v>
      </c>
      <c r="AA79" s="3">
        <v>49325.1198</v>
      </c>
      <c r="AB79" s="3">
        <v>51234.347</v>
      </c>
      <c r="AC79" s="3">
        <v>52793.1129</v>
      </c>
      <c r="AD79" s="3">
        <v>53227.0627</v>
      </c>
      <c r="AE79" s="3">
        <v>50166.9292</v>
      </c>
      <c r="AF79" s="3">
        <v>52187.0632</v>
      </c>
      <c r="AG79" s="3">
        <v>54043.3513</v>
      </c>
      <c r="AH79" s="3">
        <v>54075.3235</v>
      </c>
      <c r="AI79" s="3">
        <v>54111.0907</v>
      </c>
      <c r="AJ79" s="3">
        <v>55042.3655</v>
      </c>
      <c r="AK79" s="3">
        <v>55440.7379</v>
      </c>
      <c r="AL79" s="3">
        <v>56309.2067</v>
      </c>
      <c r="AM79" s="3">
        <v>57614.092</v>
      </c>
      <c r="AN79" s="3">
        <v>57986.2794</v>
      </c>
      <c r="AO79" s="3">
        <v>58477.5325</v>
      </c>
      <c r="AP79" s="3">
        <v>56196.4974</v>
      </c>
      <c r="AQ79" s="3">
        <v>57929.9247</v>
      </c>
      <c r="AR79" s="3">
        <v>58706.9358</v>
      </c>
      <c r="AS79" s="3">
        <v>58230.1982</v>
      </c>
      <c r="AT79" s="3">
        <v>58103.0682</v>
      </c>
      <c r="AU79" s="3">
        <f t="shared" si="2"/>
        <v>39155.99576</v>
      </c>
      <c r="AV79" s="3">
        <f t="shared" si="3"/>
        <v>48993.13829</v>
      </c>
      <c r="AW79" s="3">
        <f t="shared" si="4"/>
        <v>56296.91113</v>
      </c>
      <c r="AX79" s="4">
        <f t="shared" si="5"/>
        <v>0.01426710839</v>
      </c>
      <c r="AY79" s="4">
        <f t="shared" si="6"/>
        <v>0.008642672057</v>
      </c>
      <c r="AZ79" s="4">
        <f t="shared" si="7"/>
        <v>0.005187117113</v>
      </c>
    </row>
    <row r="80" ht="14.25" customHeight="1">
      <c r="A80" s="2" t="s">
        <v>224</v>
      </c>
      <c r="B80" s="3">
        <v>5306.8811</v>
      </c>
      <c r="C80" s="3">
        <v>4961.378</v>
      </c>
      <c r="D80" s="3">
        <v>4447.1287</v>
      </c>
      <c r="E80" s="3">
        <v>4078.5703</v>
      </c>
      <c r="F80" s="3">
        <v>4297.6125</v>
      </c>
      <c r="G80" s="3">
        <v>4415.4277</v>
      </c>
      <c r="H80" s="3">
        <v>4544.9078</v>
      </c>
      <c r="I80" s="3">
        <v>4653.048</v>
      </c>
      <c r="J80" s="3">
        <v>4785.7702</v>
      </c>
      <c r="K80" s="3">
        <v>4884.7157</v>
      </c>
      <c r="L80" s="3">
        <v>4897.7186</v>
      </c>
      <c r="M80" s="3">
        <v>5013.4925</v>
      </c>
      <c r="N80" s="3">
        <v>5068.1973</v>
      </c>
      <c r="O80" s="3">
        <v>5165.7533</v>
      </c>
      <c r="P80" s="3">
        <v>5187.2476</v>
      </c>
      <c r="Q80" s="3">
        <v>5243.5306</v>
      </c>
      <c r="R80" s="3">
        <v>5325.9909</v>
      </c>
      <c r="S80" s="3">
        <v>5382.8572</v>
      </c>
      <c r="T80" s="3">
        <v>5454.6476</v>
      </c>
      <c r="U80" s="3">
        <v>5507.4139</v>
      </c>
      <c r="V80" s="3">
        <v>5555.2914</v>
      </c>
      <c r="W80" s="3">
        <v>5619.2766</v>
      </c>
      <c r="X80" s="3">
        <v>5682.5242</v>
      </c>
      <c r="Y80" s="3">
        <v>5764.2298</v>
      </c>
      <c r="Z80" s="3">
        <v>5858.9382</v>
      </c>
      <c r="AA80" s="3">
        <v>6011.1133</v>
      </c>
      <c r="AB80" s="3">
        <v>6077.3972</v>
      </c>
      <c r="AC80" s="3">
        <v>6131.3987</v>
      </c>
      <c r="AD80" s="3">
        <v>6442.6277</v>
      </c>
      <c r="AE80" s="3">
        <v>6541.9678</v>
      </c>
      <c r="AF80" s="3">
        <v>6846.7812</v>
      </c>
      <c r="AG80" s="3">
        <v>7586.2482</v>
      </c>
      <c r="AH80" s="3">
        <v>8061.6945</v>
      </c>
      <c r="AI80" s="3">
        <v>8464.5099</v>
      </c>
      <c r="AJ80" s="3">
        <v>8457.6826</v>
      </c>
      <c r="AK80" s="3">
        <v>8386.767</v>
      </c>
      <c r="AL80" s="3">
        <v>8455.6927</v>
      </c>
      <c r="AM80" s="3">
        <v>8904.7215</v>
      </c>
      <c r="AN80" s="3">
        <v>9216.105</v>
      </c>
      <c r="AO80" s="3">
        <v>9587.3566</v>
      </c>
      <c r="AP80" s="3">
        <v>9386.4807</v>
      </c>
      <c r="AQ80" s="3">
        <v>9646.4357</v>
      </c>
      <c r="AR80" s="3">
        <v>9710.2666</v>
      </c>
      <c r="AS80" s="3">
        <v>9786.7916</v>
      </c>
      <c r="AT80" s="3">
        <v>10288.4839</v>
      </c>
      <c r="AU80" s="3">
        <f t="shared" si="2"/>
        <v>4780.523287</v>
      </c>
      <c r="AV80" s="3">
        <f t="shared" si="3"/>
        <v>5811.119607</v>
      </c>
      <c r="AW80" s="3">
        <f t="shared" si="4"/>
        <v>8852.40118</v>
      </c>
      <c r="AX80" s="4">
        <f t="shared" si="5"/>
        <v>-0.001627322349</v>
      </c>
      <c r="AY80" s="4">
        <f t="shared" si="6"/>
        <v>0.01592859722</v>
      </c>
      <c r="AZ80" s="4">
        <f t="shared" si="7"/>
        <v>0.02200198238</v>
      </c>
    </row>
    <row r="81" ht="14.25" customHeight="1">
      <c r="A81" s="2" t="s">
        <v>225</v>
      </c>
      <c r="B81" s="3">
        <v>21777.4246</v>
      </c>
      <c r="C81" s="3">
        <v>21432.3806</v>
      </c>
      <c r="D81" s="3">
        <v>21806.4489</v>
      </c>
      <c r="E81" s="3">
        <v>22747.5228</v>
      </c>
      <c r="F81" s="3">
        <v>23268.2864</v>
      </c>
      <c r="G81" s="3">
        <v>24204.0474</v>
      </c>
      <c r="H81" s="3">
        <v>24928.7678</v>
      </c>
      <c r="I81" s="3">
        <v>26281.8875</v>
      </c>
      <c r="J81" s="3">
        <v>27832.4704</v>
      </c>
      <c r="K81" s="3">
        <v>28629.7021</v>
      </c>
      <c r="L81" s="3">
        <v>28937.851</v>
      </c>
      <c r="M81" s="3">
        <v>28694.7361</v>
      </c>
      <c r="N81" s="3">
        <v>28762.5249</v>
      </c>
      <c r="O81" s="3">
        <v>29326.087</v>
      </c>
      <c r="P81" s="3">
        <v>30256.0432</v>
      </c>
      <c r="Q81" s="3">
        <v>30272.1787</v>
      </c>
      <c r="R81" s="3">
        <v>30914.7457</v>
      </c>
      <c r="S81" s="3">
        <v>32281.0493</v>
      </c>
      <c r="T81" s="3">
        <v>32850.5146</v>
      </c>
      <c r="U81" s="3">
        <v>34903.6595</v>
      </c>
      <c r="V81" s="3">
        <v>37778.5345</v>
      </c>
      <c r="W81" s="3">
        <v>40137.7621</v>
      </c>
      <c r="X81" s="3">
        <v>41949.5631</v>
      </c>
      <c r="Y81" s="3">
        <v>44548.4619</v>
      </c>
      <c r="Z81" s="3">
        <v>45744.9491</v>
      </c>
      <c r="AA81" s="3">
        <v>47924.8168</v>
      </c>
      <c r="AB81" s="3">
        <v>51777.5626</v>
      </c>
      <c r="AC81" s="3">
        <v>48213.9768</v>
      </c>
      <c r="AD81" s="3">
        <v>56486.6709</v>
      </c>
      <c r="AE81" s="3">
        <v>57791.1873</v>
      </c>
      <c r="AF81" s="3">
        <v>62510.036</v>
      </c>
      <c r="AG81" s="3">
        <v>62316.5083</v>
      </c>
      <c r="AH81" s="3">
        <v>67895.0646</v>
      </c>
      <c r="AI81" s="3">
        <v>71891.6526</v>
      </c>
      <c r="AJ81" s="3">
        <v>77455.2541</v>
      </c>
      <c r="AK81" s="3">
        <v>86464.3766</v>
      </c>
      <c r="AL81" s="3">
        <v>99183.2883</v>
      </c>
      <c r="AM81" s="3">
        <v>96507.549</v>
      </c>
      <c r="AN81" s="3">
        <v>110922.6566</v>
      </c>
      <c r="AO81" s="3">
        <v>111754.4223</v>
      </c>
      <c r="AP81" s="3">
        <v>105516.8683</v>
      </c>
      <c r="AQ81" s="3">
        <v>100497.545</v>
      </c>
      <c r="AR81" s="3">
        <v>98410.9485</v>
      </c>
      <c r="AS81" s="3">
        <v>95673.0284</v>
      </c>
      <c r="AT81" s="3">
        <v>94821.6837</v>
      </c>
      <c r="AU81" s="3">
        <f t="shared" si="2"/>
        <v>25925.74538</v>
      </c>
      <c r="AV81" s="3">
        <f t="shared" si="3"/>
        <v>43093.10387</v>
      </c>
      <c r="AW81" s="3">
        <f t="shared" si="4"/>
        <v>89454.72549</v>
      </c>
      <c r="AX81" s="4">
        <f t="shared" si="5"/>
        <v>0.02376528973</v>
      </c>
      <c r="AY81" s="4">
        <f t="shared" si="6"/>
        <v>0.04726942423</v>
      </c>
      <c r="AZ81" s="4">
        <f t="shared" si="7"/>
        <v>0.03043773346</v>
      </c>
    </row>
    <row r="82" ht="14.25" customHeight="1">
      <c r="A82" s="2" t="s">
        <v>226</v>
      </c>
      <c r="B82" s="3">
        <v>29723.7342</v>
      </c>
      <c r="C82" s="3">
        <v>29017.9844</v>
      </c>
      <c r="D82" s="3">
        <v>28356.7344</v>
      </c>
      <c r="E82" s="3">
        <v>27729.4012</v>
      </c>
      <c r="F82" s="3">
        <v>27963.8861</v>
      </c>
      <c r="G82" s="3">
        <v>28323.7102</v>
      </c>
      <c r="H82" s="3">
        <v>28116.5117</v>
      </c>
      <c r="I82" s="3">
        <v>27136.1124</v>
      </c>
      <c r="J82" s="3">
        <v>27942.8475</v>
      </c>
      <c r="K82" s="3">
        <v>28655.3552</v>
      </c>
      <c r="L82" s="3">
        <v>28325.2402</v>
      </c>
      <c r="M82" s="3">
        <v>28883.5923</v>
      </c>
      <c r="N82" s="3">
        <v>28785.5396</v>
      </c>
      <c r="O82" s="3">
        <v>28040.0077</v>
      </c>
      <c r="P82" s="3">
        <v>28298.3363</v>
      </c>
      <c r="Q82" s="3">
        <v>28581.4013</v>
      </c>
      <c r="R82" s="3">
        <v>28706.3579</v>
      </c>
      <c r="S82" s="3">
        <v>29451.6348</v>
      </c>
      <c r="T82" s="3">
        <v>30153.1769</v>
      </c>
      <c r="U82" s="3">
        <v>30635.0249</v>
      </c>
      <c r="V82" s="3">
        <v>31569.1393</v>
      </c>
      <c r="W82" s="3">
        <v>32677.6829</v>
      </c>
      <c r="X82" s="3">
        <v>33885.8093</v>
      </c>
      <c r="Y82" s="3">
        <v>35551.3023</v>
      </c>
      <c r="Z82" s="3">
        <v>37191.4216</v>
      </c>
      <c r="AA82" s="3">
        <v>37356.2878</v>
      </c>
      <c r="AB82" s="3">
        <v>39485.5229</v>
      </c>
      <c r="AC82" s="3">
        <v>40642.7741</v>
      </c>
      <c r="AD82" s="3">
        <v>40455.3391</v>
      </c>
      <c r="AE82" s="3">
        <v>38571.427</v>
      </c>
      <c r="AF82" s="3">
        <v>36220.7127</v>
      </c>
      <c r="AG82" s="3">
        <v>32572.6173</v>
      </c>
      <c r="AH82" s="3">
        <v>30056.3993</v>
      </c>
      <c r="AI82" s="3">
        <v>29546.6273</v>
      </c>
      <c r="AJ82" s="3">
        <v>29931.4427</v>
      </c>
      <c r="AK82" s="3">
        <v>30010.3694</v>
      </c>
      <c r="AL82" s="3">
        <v>30145.654</v>
      </c>
      <c r="AM82" s="3">
        <v>30611.8187</v>
      </c>
      <c r="AN82" s="3">
        <v>31317.696</v>
      </c>
      <c r="AO82" s="3">
        <v>32024.8484</v>
      </c>
      <c r="AP82" s="3">
        <v>29040.2981</v>
      </c>
      <c r="AQ82" s="3">
        <v>31754.0241</v>
      </c>
      <c r="AR82" s="3">
        <v>33865.2807</v>
      </c>
      <c r="AS82" s="3">
        <v>35575.4011</v>
      </c>
      <c r="AT82" s="3">
        <v>36980.6529</v>
      </c>
      <c r="AU82" s="3">
        <f t="shared" si="2"/>
        <v>28353.26623</v>
      </c>
      <c r="AV82" s="3">
        <f t="shared" si="3"/>
        <v>34738.06434</v>
      </c>
      <c r="AW82" s="3">
        <f t="shared" si="4"/>
        <v>31976.92285</v>
      </c>
      <c r="AX82" s="4">
        <f t="shared" si="5"/>
        <v>-0.003504049514</v>
      </c>
      <c r="AY82" s="4">
        <f t="shared" si="6"/>
        <v>0.02164197452</v>
      </c>
      <c r="AZ82" s="4">
        <f t="shared" si="7"/>
        <v>0.009107141799</v>
      </c>
    </row>
    <row r="83" ht="14.25" customHeight="1">
      <c r="A83" s="2" t="s">
        <v>227</v>
      </c>
      <c r="B83" s="3">
        <v>52944.0692</v>
      </c>
      <c r="C83" s="3">
        <v>51660.7414</v>
      </c>
      <c r="D83" s="3">
        <v>47797.765</v>
      </c>
      <c r="E83" s="3">
        <v>47850.5509</v>
      </c>
      <c r="F83" s="3">
        <v>43904.5734</v>
      </c>
      <c r="G83" s="3">
        <v>44158.2567</v>
      </c>
      <c r="H83" s="3">
        <v>46070.1899</v>
      </c>
      <c r="I83" s="3">
        <v>47443.8147</v>
      </c>
      <c r="J83" s="3">
        <v>49014.9797</v>
      </c>
      <c r="K83" s="3">
        <v>51335.1751</v>
      </c>
      <c r="L83" s="3">
        <v>44928.2301</v>
      </c>
      <c r="M83" s="3">
        <v>44916.6032</v>
      </c>
      <c r="N83" s="3">
        <v>42789.7477</v>
      </c>
      <c r="O83" s="3">
        <v>40893.8885</v>
      </c>
      <c r="P83" s="3">
        <v>43649.2188</v>
      </c>
      <c r="Q83" s="3">
        <v>45455.7547</v>
      </c>
      <c r="R83" s="3">
        <v>46138.0617</v>
      </c>
      <c r="S83" s="3">
        <v>46781.0844</v>
      </c>
      <c r="T83" s="3">
        <v>50357.5462</v>
      </c>
      <c r="U83" s="3">
        <v>50999.4499</v>
      </c>
      <c r="V83" s="3">
        <v>54463.2911</v>
      </c>
      <c r="W83" s="3">
        <v>54868.0944</v>
      </c>
      <c r="X83" s="3">
        <v>54008.2309</v>
      </c>
      <c r="Y83" s="3">
        <v>53432.8037</v>
      </c>
      <c r="Z83" s="3">
        <v>56704.6275</v>
      </c>
      <c r="AA83" s="3">
        <v>59188.311</v>
      </c>
      <c r="AB83" s="3">
        <v>62213.1225</v>
      </c>
      <c r="AC83" s="3">
        <v>63389.6867</v>
      </c>
      <c r="AD83" s="3">
        <v>67015.0975</v>
      </c>
      <c r="AE83" s="3">
        <v>67301.2343</v>
      </c>
      <c r="AF83" s="3">
        <v>67902.4731</v>
      </c>
      <c r="AG83" s="3">
        <v>66788.4903</v>
      </c>
      <c r="AH83" s="3">
        <v>67223.2908</v>
      </c>
      <c r="AI83" s="3">
        <v>66135.076</v>
      </c>
      <c r="AJ83" s="3">
        <v>69226.6983</v>
      </c>
      <c r="AK83" s="3">
        <v>67286.3228</v>
      </c>
      <c r="AL83" s="3">
        <v>70119.5965</v>
      </c>
      <c r="AM83" s="3">
        <v>69869.2124</v>
      </c>
      <c r="AN83" s="3">
        <v>70084.934</v>
      </c>
      <c r="AO83" s="3">
        <v>71893.8825</v>
      </c>
      <c r="AP83" s="3">
        <v>71874.5092</v>
      </c>
      <c r="AQ83" s="3">
        <v>72765.0095</v>
      </c>
      <c r="AR83" s="3">
        <v>73478.3311</v>
      </c>
      <c r="AS83" s="3">
        <v>74691.9414</v>
      </c>
      <c r="AT83" s="3">
        <v>75572.2681</v>
      </c>
      <c r="AU83" s="3">
        <f t="shared" si="2"/>
        <v>46623.85362</v>
      </c>
      <c r="AV83" s="3">
        <f t="shared" si="3"/>
        <v>56204.33156</v>
      </c>
      <c r="AW83" s="3">
        <f t="shared" si="4"/>
        <v>70327.46907</v>
      </c>
      <c r="AX83" s="4">
        <f t="shared" si="5"/>
        <v>-0.01369469642</v>
      </c>
      <c r="AY83" s="4">
        <f t="shared" si="6"/>
        <v>0.02842794336</v>
      </c>
      <c r="AZ83" s="4">
        <f t="shared" si="7"/>
        <v>0.008864676793</v>
      </c>
    </row>
    <row r="84" ht="14.25" customHeight="1">
      <c r="A84" s="2" t="s">
        <v>228</v>
      </c>
      <c r="B84" s="3">
        <v>8717.8471</v>
      </c>
      <c r="C84" s="3">
        <v>8680.5688</v>
      </c>
      <c r="D84" s="3">
        <v>8862.497</v>
      </c>
      <c r="E84" s="3">
        <v>8827.9816</v>
      </c>
      <c r="F84" s="3">
        <v>8977.6048</v>
      </c>
      <c r="G84" s="3">
        <v>9421.3312</v>
      </c>
      <c r="H84" s="3">
        <v>9961.2924</v>
      </c>
      <c r="I84" s="3">
        <v>10828.937</v>
      </c>
      <c r="J84" s="3">
        <v>10989.6969</v>
      </c>
      <c r="K84" s="3">
        <v>11449.8733</v>
      </c>
      <c r="L84" s="3">
        <v>11844.3345</v>
      </c>
      <c r="M84" s="3">
        <v>11962.8428</v>
      </c>
      <c r="N84" s="3">
        <v>11787.2056</v>
      </c>
      <c r="O84" s="3">
        <v>11353.2133</v>
      </c>
      <c r="P84" s="3">
        <v>11563.5359</v>
      </c>
      <c r="Q84" s="3">
        <v>11726.4637</v>
      </c>
      <c r="R84" s="3">
        <v>12185.1523</v>
      </c>
      <c r="S84" s="3">
        <v>12759.8414</v>
      </c>
      <c r="T84" s="3">
        <v>14234.6077</v>
      </c>
      <c r="U84" s="3">
        <v>15184.2049</v>
      </c>
      <c r="V84" s="3">
        <v>15890.9195</v>
      </c>
      <c r="W84" s="3">
        <v>15441.6249</v>
      </c>
      <c r="X84" s="3">
        <v>15694.4966</v>
      </c>
      <c r="Y84" s="3">
        <v>16820.7513</v>
      </c>
      <c r="Z84" s="3">
        <v>16344.0398</v>
      </c>
      <c r="AA84" s="3">
        <v>18087.4902</v>
      </c>
      <c r="AB84" s="3">
        <v>16966.0388</v>
      </c>
      <c r="AC84" s="3">
        <v>17596.284</v>
      </c>
      <c r="AD84" s="3">
        <v>17358.8847</v>
      </c>
      <c r="AE84" s="3">
        <v>15895.7228</v>
      </c>
      <c r="AF84" s="3">
        <v>15501.7292</v>
      </c>
      <c r="AG84" s="3">
        <v>15349.8531</v>
      </c>
      <c r="AH84" s="3">
        <v>14952.374</v>
      </c>
      <c r="AI84" s="3">
        <v>15079.8938</v>
      </c>
      <c r="AJ84" s="3">
        <v>15993.2329</v>
      </c>
      <c r="AK84" s="3">
        <v>16868.3161</v>
      </c>
      <c r="AL84" s="3">
        <v>17317.9509</v>
      </c>
      <c r="AM84" s="3">
        <v>17875.1273</v>
      </c>
      <c r="AN84" s="3">
        <v>18489.0925</v>
      </c>
      <c r="AO84" s="3">
        <v>18448.5412</v>
      </c>
      <c r="AP84" s="3">
        <v>15796.8099</v>
      </c>
      <c r="AQ84" s="3">
        <v>16314.7953</v>
      </c>
      <c r="AR84" s="3">
        <v>17409.0425</v>
      </c>
      <c r="AS84" s="3">
        <v>17954.5296</v>
      </c>
      <c r="AT84" s="3">
        <v>18494.6609</v>
      </c>
      <c r="AU84" s="3">
        <f t="shared" si="2"/>
        <v>10348.58415</v>
      </c>
      <c r="AV84" s="3">
        <f t="shared" si="3"/>
        <v>15747.14706</v>
      </c>
      <c r="AW84" s="3">
        <f t="shared" si="4"/>
        <v>16789.72995</v>
      </c>
      <c r="AX84" s="4">
        <f t="shared" si="5"/>
        <v>0.02038239628</v>
      </c>
      <c r="AY84" s="4">
        <f t="shared" si="6"/>
        <v>0.02196649643</v>
      </c>
      <c r="AZ84" s="4">
        <f t="shared" si="7"/>
        <v>0.01340159174</v>
      </c>
    </row>
    <row r="85" ht="14.25" customHeight="1">
      <c r="A85" s="2" t="s">
        <v>229</v>
      </c>
      <c r="B85" s="3">
        <v>16061.3165</v>
      </c>
      <c r="C85" s="3">
        <v>15753.5913</v>
      </c>
      <c r="D85" s="3">
        <v>14883.5477</v>
      </c>
      <c r="E85" s="3">
        <v>14159.4628</v>
      </c>
      <c r="F85" s="3">
        <v>13829.5614</v>
      </c>
      <c r="G85" s="3">
        <v>13335.1936</v>
      </c>
      <c r="H85" s="3">
        <v>12998.0169</v>
      </c>
      <c r="I85" s="3">
        <v>13083.424</v>
      </c>
      <c r="J85" s="3">
        <v>13217.4497</v>
      </c>
      <c r="K85" s="3">
        <v>13341.191</v>
      </c>
      <c r="L85" s="3">
        <v>13346.3023</v>
      </c>
      <c r="M85" s="3">
        <v>13460.728</v>
      </c>
      <c r="N85" s="3">
        <v>13723.7712</v>
      </c>
      <c r="O85" s="3">
        <v>13857.9823</v>
      </c>
      <c r="P85" s="3">
        <v>14023.5204</v>
      </c>
      <c r="Q85" s="3">
        <v>14327.9687</v>
      </c>
      <c r="R85" s="3">
        <v>14358.1415</v>
      </c>
      <c r="S85" s="3">
        <v>14574.3385</v>
      </c>
      <c r="T85" s="3">
        <v>14842.6372</v>
      </c>
      <c r="U85" s="3">
        <v>15007.7631</v>
      </c>
      <c r="V85" s="3">
        <v>15119.7774</v>
      </c>
      <c r="W85" s="3">
        <v>15062.0287</v>
      </c>
      <c r="X85" s="3">
        <v>15205.6998</v>
      </c>
      <c r="Y85" s="3">
        <v>15132.6792</v>
      </c>
      <c r="Z85" s="3">
        <v>15142.2627</v>
      </c>
      <c r="AA85" s="3">
        <v>15165.4488</v>
      </c>
      <c r="AB85" s="3">
        <v>15499.0394</v>
      </c>
      <c r="AC85" s="3">
        <v>15965.2748</v>
      </c>
      <c r="AD85" s="3">
        <v>15957.8964</v>
      </c>
      <c r="AE85" s="3">
        <v>15565.1763</v>
      </c>
      <c r="AF85" s="3">
        <v>15487.4979</v>
      </c>
      <c r="AG85" s="3">
        <v>15606.602</v>
      </c>
      <c r="AH85" s="3">
        <v>15561.7551</v>
      </c>
      <c r="AI85" s="3">
        <v>15614.5368</v>
      </c>
      <c r="AJ85" s="3">
        <v>15813.6277</v>
      </c>
      <c r="AK85" s="3">
        <v>16006.6181</v>
      </c>
      <c r="AL85" s="3">
        <v>15951.899</v>
      </c>
      <c r="AM85" s="3">
        <v>15932.7731</v>
      </c>
      <c r="AN85" s="3">
        <v>16027.7637</v>
      </c>
      <c r="AO85" s="3">
        <v>16233.6765</v>
      </c>
      <c r="AP85" s="3">
        <v>15560.9719</v>
      </c>
      <c r="AQ85" s="3">
        <v>16291.8374</v>
      </c>
      <c r="AR85" s="3">
        <v>16532.3334</v>
      </c>
      <c r="AS85" s="3">
        <v>16663.0203</v>
      </c>
      <c r="AT85" s="3">
        <v>16820.9946</v>
      </c>
      <c r="AU85" s="3">
        <f t="shared" si="2"/>
        <v>13938.33727</v>
      </c>
      <c r="AV85" s="3">
        <f t="shared" si="3"/>
        <v>15185.58313</v>
      </c>
      <c r="AW85" s="3">
        <f t="shared" si="4"/>
        <v>16007.0605</v>
      </c>
      <c r="AX85" s="4">
        <f t="shared" si="5"/>
        <v>-0.009644457476</v>
      </c>
      <c r="AY85" s="4">
        <f t="shared" si="6"/>
        <v>0.005933437109</v>
      </c>
      <c r="AZ85" s="4">
        <f t="shared" si="7"/>
        <v>0.005366760809</v>
      </c>
    </row>
    <row r="86" ht="14.25" customHeight="1">
      <c r="A86" s="2" t="s">
        <v>230</v>
      </c>
      <c r="B86" s="3">
        <v>31591.8467</v>
      </c>
      <c r="C86" s="3">
        <v>31090.1702</v>
      </c>
      <c r="D86" s="3">
        <v>31324.9221</v>
      </c>
      <c r="E86" s="3">
        <v>32181.9733</v>
      </c>
      <c r="F86" s="3">
        <v>32394.293</v>
      </c>
      <c r="G86" s="3">
        <v>33190.8361</v>
      </c>
      <c r="H86" s="3">
        <v>33719.4707</v>
      </c>
      <c r="I86" s="3">
        <v>35027.0371</v>
      </c>
      <c r="J86" s="3">
        <v>36471.952</v>
      </c>
      <c r="K86" s="3">
        <v>36794.0718</v>
      </c>
      <c r="L86" s="3">
        <v>36431.1213</v>
      </c>
      <c r="M86" s="3">
        <v>35614.1137</v>
      </c>
      <c r="N86" s="3">
        <v>35242.1116</v>
      </c>
      <c r="O86" s="3">
        <v>34733.6463</v>
      </c>
      <c r="P86" s="3">
        <v>36103.0983</v>
      </c>
      <c r="Q86" s="3">
        <v>34676.5817</v>
      </c>
      <c r="R86" s="3">
        <v>35368.0472</v>
      </c>
      <c r="S86" s="3">
        <v>38968.8233</v>
      </c>
      <c r="T86" s="3">
        <v>40820.8647</v>
      </c>
      <c r="U86" s="3">
        <v>42618.5963</v>
      </c>
      <c r="V86" s="3">
        <v>46747.5151</v>
      </c>
      <c r="W86" s="3">
        <v>47188.9786</v>
      </c>
      <c r="X86" s="3">
        <v>48811.7777</v>
      </c>
      <c r="Y86" s="3">
        <v>48279.6995</v>
      </c>
      <c r="Z86" s="3">
        <v>50941.5662</v>
      </c>
      <c r="AA86" s="3">
        <v>49718.5145</v>
      </c>
      <c r="AB86" s="3">
        <v>52086.7937</v>
      </c>
      <c r="AC86" s="3">
        <v>56789.1133</v>
      </c>
      <c r="AD86" s="3">
        <v>56719.0616</v>
      </c>
      <c r="AE86" s="3">
        <v>73887.9296</v>
      </c>
      <c r="AF86" s="3">
        <v>71269.4517</v>
      </c>
      <c r="AG86" s="3">
        <v>75085.2039</v>
      </c>
      <c r="AH86" s="3">
        <v>73280.782</v>
      </c>
      <c r="AI86" s="3">
        <v>74075.8492</v>
      </c>
      <c r="AJ86" s="3">
        <v>74420.0078</v>
      </c>
      <c r="AK86" s="3">
        <v>74570.8354</v>
      </c>
      <c r="AL86" s="3">
        <v>76182.32</v>
      </c>
      <c r="AM86" s="3">
        <v>78804.3398</v>
      </c>
      <c r="AN86" s="3">
        <v>78642.1977</v>
      </c>
      <c r="AO86" s="3">
        <v>78178.1051</v>
      </c>
      <c r="AP86" s="3">
        <v>70846.4849</v>
      </c>
      <c r="AQ86" s="3">
        <v>77453.6799</v>
      </c>
      <c r="AR86" s="3">
        <v>80281.821</v>
      </c>
      <c r="AS86" s="3">
        <v>82955.199</v>
      </c>
      <c r="AT86" s="3">
        <v>87443.9199</v>
      </c>
      <c r="AU86" s="3">
        <f t="shared" si="2"/>
        <v>34127.37761</v>
      </c>
      <c r="AV86" s="3">
        <f t="shared" si="3"/>
        <v>49210.52009</v>
      </c>
      <c r="AW86" s="3">
        <f t="shared" si="4"/>
        <v>76899.34649</v>
      </c>
      <c r="AX86" s="4">
        <f t="shared" si="5"/>
        <v>0.009579854094</v>
      </c>
      <c r="AY86" s="4">
        <f t="shared" si="6"/>
        <v>0.05552116027</v>
      </c>
      <c r="AZ86" s="4">
        <f t="shared" si="7"/>
        <v>0.01094331274</v>
      </c>
    </row>
    <row r="87" ht="14.25" customHeight="1">
      <c r="A87" s="2" t="s">
        <v>231</v>
      </c>
      <c r="B87" s="3">
        <v>3182.6272</v>
      </c>
      <c r="C87" s="3">
        <v>3156.8163</v>
      </c>
      <c r="D87" s="3">
        <v>3159.9156</v>
      </c>
      <c r="E87" s="3">
        <v>3143.8326</v>
      </c>
      <c r="F87" s="3">
        <v>3127.7594</v>
      </c>
      <c r="G87" s="3">
        <v>3213.461</v>
      </c>
      <c r="H87" s="3">
        <v>3239.4191</v>
      </c>
      <c r="I87" s="3">
        <v>3267.4519</v>
      </c>
      <c r="J87" s="3">
        <v>3387.2141</v>
      </c>
      <c r="K87" s="3">
        <v>3437.0861</v>
      </c>
      <c r="L87" s="3">
        <v>3467.6139</v>
      </c>
      <c r="M87" s="3">
        <v>3418.1025</v>
      </c>
      <c r="N87" s="3">
        <v>3424.8824</v>
      </c>
      <c r="O87" s="3">
        <v>3496.1905</v>
      </c>
      <c r="P87" s="3">
        <v>3537.0192</v>
      </c>
      <c r="Q87" s="3">
        <v>3606.4088</v>
      </c>
      <c r="R87" s="3">
        <v>3689.6751</v>
      </c>
      <c r="S87" s="3">
        <v>3827.9142</v>
      </c>
      <c r="T87" s="3">
        <v>3959.8561</v>
      </c>
      <c r="U87" s="3">
        <v>4063.8138</v>
      </c>
      <c r="V87" s="3">
        <v>4126.5514</v>
      </c>
      <c r="W87" s="3">
        <v>4271.0179</v>
      </c>
      <c r="X87" s="3">
        <v>4460.044</v>
      </c>
      <c r="Y87" s="3">
        <v>4420.6203</v>
      </c>
      <c r="Z87" s="3">
        <v>4435.9411</v>
      </c>
      <c r="AA87" s="3">
        <v>4492.9393</v>
      </c>
      <c r="AB87" s="3">
        <v>4396.5828</v>
      </c>
      <c r="AC87" s="3">
        <v>4587.0904</v>
      </c>
      <c r="AD87" s="3">
        <v>4630.9643</v>
      </c>
      <c r="AE87" s="3">
        <v>4457.589</v>
      </c>
      <c r="AF87" s="3">
        <v>4544.3749</v>
      </c>
      <c r="AG87" s="3">
        <v>4664.4972</v>
      </c>
      <c r="AH87" s="3">
        <v>4800.1774</v>
      </c>
      <c r="AI87" s="3">
        <v>4840.6057</v>
      </c>
      <c r="AJ87" s="3">
        <v>4858.1417</v>
      </c>
      <c r="AK87" s="3">
        <v>4869.9062</v>
      </c>
      <c r="AL87" s="3">
        <v>5227.8342</v>
      </c>
      <c r="AM87" s="3">
        <v>5575.4566</v>
      </c>
      <c r="AN87" s="3">
        <v>5735.1669</v>
      </c>
      <c r="AO87" s="3">
        <v>5869.6394</v>
      </c>
      <c r="AP87" s="3">
        <v>5944.7355</v>
      </c>
      <c r="AQ87" s="3">
        <v>6103.4914</v>
      </c>
      <c r="AR87" s="3">
        <v>6120.0206</v>
      </c>
      <c r="AS87" s="3">
        <v>6301.041</v>
      </c>
      <c r="AT87" s="3">
        <v>6373.6917</v>
      </c>
      <c r="AU87" s="3">
        <f t="shared" si="2"/>
        <v>3310.62612</v>
      </c>
      <c r="AV87" s="3">
        <f t="shared" si="3"/>
        <v>4272.899979</v>
      </c>
      <c r="AW87" s="3">
        <f t="shared" si="4"/>
        <v>5455.252027</v>
      </c>
      <c r="AX87" s="4">
        <f t="shared" si="5"/>
        <v>0.007569743836</v>
      </c>
      <c r="AY87" s="4">
        <f t="shared" si="6"/>
        <v>0.01525051674</v>
      </c>
      <c r="AZ87" s="4">
        <f t="shared" si="7"/>
        <v>0.02255041591</v>
      </c>
    </row>
    <row r="88" ht="14.25" customHeight="1">
      <c r="A88" s="2" t="s">
        <v>232</v>
      </c>
      <c r="B88" s="3">
        <v>2786.845</v>
      </c>
      <c r="C88" s="3">
        <v>2739.8633</v>
      </c>
      <c r="D88" s="3">
        <v>2820.4426</v>
      </c>
      <c r="E88" s="3">
        <v>2694.0929</v>
      </c>
      <c r="F88" s="3">
        <v>2813.1888</v>
      </c>
      <c r="G88" s="3">
        <v>2902.0736</v>
      </c>
      <c r="H88" s="3">
        <v>2843.8593</v>
      </c>
      <c r="I88" s="3">
        <v>2972.443</v>
      </c>
      <c r="J88" s="3">
        <v>3138.1198</v>
      </c>
      <c r="K88" s="3">
        <v>3234.2266</v>
      </c>
      <c r="L88" s="3">
        <v>3289.6236</v>
      </c>
      <c r="M88" s="3">
        <v>3319.2488</v>
      </c>
      <c r="N88" s="3">
        <v>3326.2415</v>
      </c>
      <c r="O88" s="3">
        <v>3291.421</v>
      </c>
      <c r="P88" s="3">
        <v>3283.43</v>
      </c>
      <c r="Q88" s="3">
        <v>3323.3569</v>
      </c>
      <c r="R88" s="3">
        <v>3366.2415</v>
      </c>
      <c r="S88" s="3">
        <v>3492.6315</v>
      </c>
      <c r="T88" s="3">
        <v>2845.8392</v>
      </c>
      <c r="U88" s="3">
        <v>3159.2064</v>
      </c>
      <c r="V88" s="3">
        <v>3085.1362</v>
      </c>
      <c r="W88" s="3">
        <v>3072.0166</v>
      </c>
      <c r="X88" s="3">
        <v>2955.5493</v>
      </c>
      <c r="Y88" s="3">
        <v>2888.7543</v>
      </c>
      <c r="Z88" s="3">
        <v>2888.5427</v>
      </c>
      <c r="AA88" s="3">
        <v>2930.1423</v>
      </c>
      <c r="AB88" s="3">
        <v>2916.0941</v>
      </c>
      <c r="AC88" s="3">
        <v>2926.7457</v>
      </c>
      <c r="AD88" s="3">
        <v>2920.1862</v>
      </c>
      <c r="AE88" s="3">
        <v>2931.364</v>
      </c>
      <c r="AF88" s="3">
        <v>2977.1794</v>
      </c>
      <c r="AG88" s="3">
        <v>3125.2987</v>
      </c>
      <c r="AH88" s="3">
        <v>2982.9007</v>
      </c>
      <c r="AI88" s="3">
        <v>2986.5114</v>
      </c>
      <c r="AJ88" s="3">
        <v>2919.0593</v>
      </c>
      <c r="AK88" s="3">
        <v>2994.4932</v>
      </c>
      <c r="AL88" s="3">
        <v>3088.1704</v>
      </c>
      <c r="AM88" s="3">
        <v>3169.2261</v>
      </c>
      <c r="AN88" s="3">
        <v>3185.9435</v>
      </c>
      <c r="AO88" s="3">
        <v>3232.2983</v>
      </c>
      <c r="AP88" s="3">
        <v>3180.7316</v>
      </c>
      <c r="AQ88" s="3">
        <v>3291.2616</v>
      </c>
      <c r="AR88" s="3">
        <v>3322.9838</v>
      </c>
      <c r="AS88" s="3">
        <v>3405.1148</v>
      </c>
      <c r="AT88" s="3">
        <v>3457.5004</v>
      </c>
      <c r="AU88" s="3">
        <f t="shared" si="2"/>
        <v>3030.34132</v>
      </c>
      <c r="AV88" s="3">
        <f t="shared" si="3"/>
        <v>3027.032143</v>
      </c>
      <c r="AW88" s="3">
        <f t="shared" si="4"/>
        <v>3154.578213</v>
      </c>
      <c r="AX88" s="4">
        <f t="shared" si="5"/>
        <v>0.01178161112</v>
      </c>
      <c r="AY88" s="4">
        <f t="shared" si="6"/>
        <v>-0.008924760262</v>
      </c>
      <c r="AZ88" s="4">
        <f t="shared" si="7"/>
        <v>0.007241525205</v>
      </c>
    </row>
    <row r="89" ht="14.25" customHeight="1">
      <c r="A89" s="2" t="s">
        <v>233</v>
      </c>
      <c r="B89" s="3">
        <v>7105.3985</v>
      </c>
      <c r="C89" s="3">
        <v>7091.7357</v>
      </c>
      <c r="D89" s="3">
        <v>6071.2554</v>
      </c>
      <c r="E89" s="3">
        <v>5580.6899</v>
      </c>
      <c r="F89" s="3">
        <v>5237.3888</v>
      </c>
      <c r="G89" s="3">
        <v>5301.3672</v>
      </c>
      <c r="H89" s="3">
        <v>5219.1537</v>
      </c>
      <c r="I89" s="3">
        <v>5231.7484</v>
      </c>
      <c r="J89" s="3">
        <v>5015.8083</v>
      </c>
      <c r="K89" s="3">
        <v>4748.6503</v>
      </c>
      <c r="L89" s="3">
        <v>4592.0587</v>
      </c>
      <c r="M89" s="3">
        <v>4850.877</v>
      </c>
      <c r="N89" s="3">
        <v>5185.2472</v>
      </c>
      <c r="O89" s="3">
        <v>5557.5093</v>
      </c>
      <c r="P89" s="3">
        <v>5980.3122</v>
      </c>
      <c r="Q89" s="3">
        <v>6231.0355</v>
      </c>
      <c r="R89" s="3">
        <v>6679.7652</v>
      </c>
      <c r="S89" s="3">
        <v>7062.5078</v>
      </c>
      <c r="T89" s="3">
        <v>6915.3028</v>
      </c>
      <c r="U89" s="3">
        <v>7091.9574</v>
      </c>
      <c r="V89" s="3">
        <v>6972.4183</v>
      </c>
      <c r="W89" s="3">
        <v>7722.217</v>
      </c>
      <c r="X89" s="3">
        <v>8449.0346</v>
      </c>
      <c r="Y89" s="3">
        <v>9037.8325</v>
      </c>
      <c r="Z89" s="3">
        <v>10078.7915</v>
      </c>
      <c r="AA89" s="3">
        <v>10673.7378</v>
      </c>
      <c r="AB89" s="3">
        <v>12129.2345</v>
      </c>
      <c r="AC89" s="3">
        <v>12955.795</v>
      </c>
      <c r="AD89" s="3">
        <v>13127.4686</v>
      </c>
      <c r="AE89" s="3">
        <v>13575.9208</v>
      </c>
      <c r="AF89" s="3">
        <v>14060.7359</v>
      </c>
      <c r="AG89" s="3">
        <v>14702.7729</v>
      </c>
      <c r="AH89" s="3">
        <v>15360.25</v>
      </c>
      <c r="AI89" s="3">
        <v>15745.1139</v>
      </c>
      <c r="AJ89" s="3">
        <v>15840.1462</v>
      </c>
      <c r="AK89" s="3">
        <v>15792.6088</v>
      </c>
      <c r="AL89" s="3">
        <v>16192.7187</v>
      </c>
      <c r="AM89" s="3">
        <v>16553.7815</v>
      </c>
      <c r="AN89" s="3">
        <v>16559.0514</v>
      </c>
      <c r="AO89" s="3">
        <v>16925.0854</v>
      </c>
      <c r="AP89" s="3">
        <v>24282.7692</v>
      </c>
      <c r="AQ89" s="3">
        <v>28586.9554</v>
      </c>
      <c r="AR89" s="3">
        <v>46202.2995</v>
      </c>
      <c r="AS89" s="3">
        <v>61054.8729</v>
      </c>
      <c r="AT89" s="3">
        <v>86986.6314</v>
      </c>
      <c r="AU89" s="3">
        <f t="shared" si="2"/>
        <v>5517.946707</v>
      </c>
      <c r="AV89" s="3">
        <f t="shared" si="3"/>
        <v>9462.284557</v>
      </c>
      <c r="AW89" s="3">
        <f t="shared" si="4"/>
        <v>26989.71954</v>
      </c>
      <c r="AX89" s="4">
        <f t="shared" si="5"/>
        <v>-0.01223751036</v>
      </c>
      <c r="AY89" s="4">
        <f t="shared" si="6"/>
        <v>0.05720154886</v>
      </c>
      <c r="AZ89" s="4">
        <f t="shared" si="7"/>
        <v>0.1353941747</v>
      </c>
    </row>
    <row r="90" ht="14.25" customHeight="1">
      <c r="A90" s="2" t="s">
        <v>234</v>
      </c>
      <c r="B90" s="3">
        <v>4440.1947</v>
      </c>
      <c r="C90" s="3">
        <v>4223.8825</v>
      </c>
      <c r="D90" s="3">
        <v>4053.4117</v>
      </c>
      <c r="E90" s="3">
        <v>4011.0439</v>
      </c>
      <c r="F90" s="3">
        <v>3954.7653</v>
      </c>
      <c r="G90" s="3">
        <v>3889.8554</v>
      </c>
      <c r="H90" s="3">
        <v>3806.3802</v>
      </c>
      <c r="I90" s="3">
        <v>3786.6677</v>
      </c>
      <c r="J90" s="3">
        <v>3943.4491</v>
      </c>
      <c r="K90" s="3">
        <v>3961.9092</v>
      </c>
      <c r="L90" s="3">
        <v>4103.1064</v>
      </c>
      <c r="M90" s="3">
        <v>4194.5008</v>
      </c>
      <c r="N90" s="3">
        <v>4062.7972</v>
      </c>
      <c r="O90" s="3">
        <v>3831.9974</v>
      </c>
      <c r="P90" s="3">
        <v>3692.0754</v>
      </c>
      <c r="Q90" s="3">
        <v>4073.3792</v>
      </c>
      <c r="R90" s="3">
        <v>4314.7816</v>
      </c>
      <c r="S90" s="3">
        <v>4517.9033</v>
      </c>
      <c r="T90" s="3">
        <v>4714.3074</v>
      </c>
      <c r="U90" s="3">
        <v>4913.8925</v>
      </c>
      <c r="V90" s="3">
        <v>4978.105</v>
      </c>
      <c r="W90" s="3">
        <v>4866.9003</v>
      </c>
      <c r="X90" s="3">
        <v>4831.5043</v>
      </c>
      <c r="Y90" s="3">
        <v>4809.9897</v>
      </c>
      <c r="Z90" s="3">
        <v>4696.5764</v>
      </c>
      <c r="AA90" s="3">
        <v>4719.2324</v>
      </c>
      <c r="AB90" s="3">
        <v>4726.2536</v>
      </c>
      <c r="AC90" s="3">
        <v>4823.6475</v>
      </c>
      <c r="AD90" s="3">
        <v>4862.3472</v>
      </c>
      <c r="AE90" s="3">
        <v>4925.48</v>
      </c>
      <c r="AF90" s="3">
        <v>4778.9352</v>
      </c>
      <c r="AG90" s="3">
        <v>4858.1101</v>
      </c>
      <c r="AH90" s="3">
        <v>4811.6404</v>
      </c>
      <c r="AI90" s="3">
        <v>4874.6461</v>
      </c>
      <c r="AJ90" s="3">
        <v>4883.2319</v>
      </c>
      <c r="AK90" s="3">
        <v>4857.6382</v>
      </c>
      <c r="AL90" s="3">
        <v>4847.65</v>
      </c>
      <c r="AM90" s="3">
        <v>4842.7941</v>
      </c>
      <c r="AN90" s="3">
        <v>4779.2101</v>
      </c>
      <c r="AO90" s="3">
        <v>4579.306</v>
      </c>
      <c r="AP90" s="3">
        <v>4374.0441</v>
      </c>
      <c r="AQ90" s="3">
        <v>4190.3858</v>
      </c>
      <c r="AR90" s="3">
        <v>4042.9531</v>
      </c>
      <c r="AS90" s="3">
        <v>3899.942</v>
      </c>
      <c r="AT90" s="3">
        <v>3666.2656</v>
      </c>
      <c r="AU90" s="3">
        <f t="shared" si="2"/>
        <v>3997.069127</v>
      </c>
      <c r="AV90" s="3">
        <f t="shared" si="3"/>
        <v>4764.351514</v>
      </c>
      <c r="AW90" s="3">
        <f t="shared" si="4"/>
        <v>4552.45018</v>
      </c>
      <c r="AX90" s="4">
        <f t="shared" si="5"/>
        <v>-0.0130927831</v>
      </c>
      <c r="AY90" s="4">
        <f t="shared" si="6"/>
        <v>0.0136602318</v>
      </c>
      <c r="AZ90" s="4">
        <f t="shared" si="7"/>
        <v>-0.01990465503</v>
      </c>
    </row>
    <row r="91" ht="14.25" customHeight="1">
      <c r="A91" s="2" t="s">
        <v>235</v>
      </c>
      <c r="B91" s="3">
        <v>8470.4211</v>
      </c>
      <c r="C91" s="3">
        <v>8396.3182</v>
      </c>
      <c r="D91" s="3">
        <v>8024.9323</v>
      </c>
      <c r="E91" s="3">
        <v>7696.659</v>
      </c>
      <c r="F91" s="3">
        <v>7779.298</v>
      </c>
      <c r="G91" s="3">
        <v>7840.4197</v>
      </c>
      <c r="H91" s="3">
        <v>7664.7796</v>
      </c>
      <c r="I91" s="3">
        <v>7876.4741</v>
      </c>
      <c r="J91" s="3">
        <v>8006.5567</v>
      </c>
      <c r="K91" s="3">
        <v>8118.378</v>
      </c>
      <c r="L91" s="3">
        <v>7882.0066</v>
      </c>
      <c r="M91" s="3">
        <v>7902.833</v>
      </c>
      <c r="N91" s="3">
        <v>8093.8992</v>
      </c>
      <c r="O91" s="3">
        <v>8328.6367</v>
      </c>
      <c r="P91" s="3">
        <v>7958.7226</v>
      </c>
      <c r="Q91" s="3">
        <v>8009.0977</v>
      </c>
      <c r="R91" s="3">
        <v>8012.4436</v>
      </c>
      <c r="S91" s="3">
        <v>8123.5861</v>
      </c>
      <c r="T91" s="3">
        <v>8075.8661</v>
      </c>
      <c r="U91" s="3">
        <v>7646.4281</v>
      </c>
      <c r="V91" s="3">
        <v>7798.6828</v>
      </c>
      <c r="W91" s="3">
        <v>7732.8215</v>
      </c>
      <c r="X91" s="3">
        <v>7741.5557</v>
      </c>
      <c r="Y91" s="3">
        <v>7806.522</v>
      </c>
      <c r="Z91" s="3">
        <v>8000.802</v>
      </c>
      <c r="AA91" s="3">
        <v>8186.8463</v>
      </c>
      <c r="AB91" s="3">
        <v>8422.2866</v>
      </c>
      <c r="AC91" s="3">
        <v>8636.4079</v>
      </c>
      <c r="AD91" s="3">
        <v>8689.6845</v>
      </c>
      <c r="AE91" s="3">
        <v>8211.0127</v>
      </c>
      <c r="AF91" s="3">
        <v>8228.8656</v>
      </c>
      <c r="AG91" s="3">
        <v>8261.0514</v>
      </c>
      <c r="AH91" s="3">
        <v>8326.1678</v>
      </c>
      <c r="AI91" s="3">
        <v>8276.898</v>
      </c>
      <c r="AJ91" s="3">
        <v>8264.1991</v>
      </c>
      <c r="AK91" s="3">
        <v>8332.4993</v>
      </c>
      <c r="AL91" s="3">
        <v>8393.1765</v>
      </c>
      <c r="AM91" s="3">
        <v>8520.1715</v>
      </c>
      <c r="AN91" s="3">
        <v>8591.7756</v>
      </c>
      <c r="AO91" s="3">
        <v>8557.5113</v>
      </c>
      <c r="AP91" s="3">
        <v>7589.8056</v>
      </c>
      <c r="AQ91" s="3">
        <v>8269.7857</v>
      </c>
      <c r="AR91" s="3">
        <v>8383.5712</v>
      </c>
      <c r="AS91" s="3">
        <v>8464.7265</v>
      </c>
      <c r="AT91" s="3">
        <v>8580.7286</v>
      </c>
      <c r="AU91" s="3">
        <f t="shared" si="2"/>
        <v>8002.688987</v>
      </c>
      <c r="AV91" s="3">
        <f t="shared" si="3"/>
        <v>8077.496136</v>
      </c>
      <c r="AW91" s="3">
        <f t="shared" si="4"/>
        <v>8336.062247</v>
      </c>
      <c r="AX91" s="4">
        <f t="shared" si="5"/>
        <v>-0.004440946454</v>
      </c>
      <c r="AY91" s="4">
        <f t="shared" si="6"/>
        <v>0.001780022175</v>
      </c>
      <c r="AZ91" s="4">
        <f t="shared" si="7"/>
        <v>0.002715606364</v>
      </c>
    </row>
    <row r="92" ht="14.25" customHeight="1">
      <c r="A92" s="2" t="s">
        <v>236</v>
      </c>
      <c r="B92" s="3">
        <v>23272.9015</v>
      </c>
      <c r="C92" s="3">
        <v>24469.0905</v>
      </c>
      <c r="D92" s="3">
        <v>24357.0959</v>
      </c>
      <c r="E92" s="3">
        <v>24998.2807</v>
      </c>
      <c r="F92" s="3">
        <v>26683.5934</v>
      </c>
      <c r="G92" s="3">
        <v>26172.1581</v>
      </c>
      <c r="H92" s="3">
        <v>28445.3064</v>
      </c>
      <c r="I92" s="3">
        <v>31724.3583</v>
      </c>
      <c r="J92" s="3">
        <v>33920.2459</v>
      </c>
      <c r="K92" s="3">
        <v>34237.5298</v>
      </c>
      <c r="L92" s="3">
        <v>35139.7647</v>
      </c>
      <c r="M92" s="3">
        <v>36430.1573</v>
      </c>
      <c r="N92" s="3">
        <v>37549.9825</v>
      </c>
      <c r="O92" s="3">
        <v>38598.2432</v>
      </c>
      <c r="P92" s="3">
        <v>39626.2403</v>
      </c>
      <c r="Q92" s="3">
        <v>39318.3975</v>
      </c>
      <c r="R92" s="3">
        <v>39948.6749</v>
      </c>
      <c r="S92" s="3">
        <v>41142.3189</v>
      </c>
      <c r="T92" s="3">
        <v>37958.5491</v>
      </c>
      <c r="U92" s="3">
        <v>38110.2103</v>
      </c>
      <c r="V92" s="3">
        <v>40163.7807</v>
      </c>
      <c r="W92" s="3">
        <v>39675.8084</v>
      </c>
      <c r="X92" s="3">
        <v>39803.8126</v>
      </c>
      <c r="Y92" s="3">
        <v>40520.622</v>
      </c>
      <c r="Z92" s="3">
        <v>43522.1293</v>
      </c>
      <c r="AA92" s="3">
        <v>46199.2388</v>
      </c>
      <c r="AB92" s="3">
        <v>48888.8555</v>
      </c>
      <c r="AC92" s="3">
        <v>51449.3165</v>
      </c>
      <c r="AD92" s="3">
        <v>51909.475</v>
      </c>
      <c r="AE92" s="3">
        <v>50000.379</v>
      </c>
      <c r="AF92" s="3">
        <v>52729.5167</v>
      </c>
      <c r="AG92" s="3">
        <v>54613.5863</v>
      </c>
      <c r="AH92" s="3">
        <v>54894.1486</v>
      </c>
      <c r="AI92" s="3">
        <v>55945.8511</v>
      </c>
      <c r="AJ92" s="3">
        <v>56835.1911</v>
      </c>
      <c r="AK92" s="3">
        <v>57527.7134</v>
      </c>
      <c r="AL92" s="3">
        <v>58145.3382</v>
      </c>
      <c r="AM92" s="3">
        <v>59819.6345</v>
      </c>
      <c r="AN92" s="3">
        <v>61113.3841</v>
      </c>
      <c r="AO92" s="3">
        <v>59768.8424</v>
      </c>
      <c r="AP92" s="3">
        <v>55602.2926</v>
      </c>
      <c r="AQ92" s="3">
        <v>59065.6431</v>
      </c>
      <c r="AR92" s="3">
        <v>56994.8996</v>
      </c>
      <c r="AS92" s="3">
        <v>58938.269</v>
      </c>
      <c r="AT92" s="3">
        <v>60546.5271</v>
      </c>
      <c r="AU92" s="3">
        <f t="shared" si="2"/>
        <v>31041.66323</v>
      </c>
      <c r="AV92" s="3">
        <f t="shared" si="3"/>
        <v>43520.94079</v>
      </c>
      <c r="AW92" s="3">
        <f t="shared" si="4"/>
        <v>57502.72252</v>
      </c>
      <c r="AX92" s="4">
        <f t="shared" si="5"/>
        <v>0.0387462111</v>
      </c>
      <c r="AY92" s="4">
        <f t="shared" si="6"/>
        <v>0.01731520314</v>
      </c>
      <c r="AZ92" s="4">
        <f t="shared" si="7"/>
        <v>0.007393586243</v>
      </c>
    </row>
    <row r="93" ht="14.25" customHeight="1">
      <c r="A93" s="2" t="s">
        <v>237</v>
      </c>
      <c r="B93" s="3">
        <v>19610.8167</v>
      </c>
      <c r="C93" s="3">
        <v>20224.6947</v>
      </c>
      <c r="D93" s="3">
        <v>20894.4544</v>
      </c>
      <c r="E93" s="3">
        <v>21132.6642</v>
      </c>
      <c r="F93" s="3">
        <v>21771.6834</v>
      </c>
      <c r="G93" s="3">
        <v>21804.4442</v>
      </c>
      <c r="H93" s="3">
        <v>22232.6688</v>
      </c>
      <c r="I93" s="3">
        <v>23196.62</v>
      </c>
      <c r="J93" s="3">
        <v>23219.2532</v>
      </c>
      <c r="K93" s="3">
        <v>23416.3299</v>
      </c>
      <c r="L93" s="3">
        <v>22756.3512</v>
      </c>
      <c r="M93" s="3">
        <v>20004.8495</v>
      </c>
      <c r="N93" s="3">
        <v>19344.6021</v>
      </c>
      <c r="O93" s="3">
        <v>19193.778</v>
      </c>
      <c r="P93" s="3">
        <v>19679.2317</v>
      </c>
      <c r="Q93" s="3">
        <v>19842.8988</v>
      </c>
      <c r="R93" s="3">
        <v>19739.2281</v>
      </c>
      <c r="S93" s="3">
        <v>20225.6308</v>
      </c>
      <c r="T93" s="3">
        <v>20907.4846</v>
      </c>
      <c r="U93" s="3">
        <v>21433.2281</v>
      </c>
      <c r="V93" s="3">
        <v>22381.6097</v>
      </c>
      <c r="W93" s="3">
        <v>23119.2302</v>
      </c>
      <c r="X93" s="3">
        <v>24301.3269</v>
      </c>
      <c r="Y93" s="3">
        <v>25224.6305</v>
      </c>
      <c r="Z93" s="3">
        <v>26382.3016</v>
      </c>
      <c r="AA93" s="3">
        <v>27491.1679</v>
      </c>
      <c r="AB93" s="3">
        <v>28576.7021</v>
      </c>
      <c r="AC93" s="3">
        <v>28614.4544</v>
      </c>
      <c r="AD93" s="3">
        <v>28953.8587</v>
      </c>
      <c r="AE93" s="3">
        <v>26906.6976</v>
      </c>
      <c r="AF93" s="3">
        <v>27011.2506</v>
      </c>
      <c r="AG93" s="3">
        <v>27678.9955</v>
      </c>
      <c r="AH93" s="3">
        <v>27272.1771</v>
      </c>
      <c r="AI93" s="3">
        <v>27821.0747</v>
      </c>
      <c r="AJ93" s="3">
        <v>29072.997</v>
      </c>
      <c r="AK93" s="3">
        <v>30112.1118</v>
      </c>
      <c r="AL93" s="3">
        <v>30866.3898</v>
      </c>
      <c r="AM93" s="3">
        <v>32197.47</v>
      </c>
      <c r="AN93" s="3">
        <v>33961.9777</v>
      </c>
      <c r="AO93" s="3">
        <v>35686.4755</v>
      </c>
      <c r="AP93" s="3">
        <v>34131.6335</v>
      </c>
      <c r="AQ93" s="3">
        <v>36699.1981</v>
      </c>
      <c r="AR93" s="3">
        <v>38484.328</v>
      </c>
      <c r="AS93" s="3">
        <v>38365.1026</v>
      </c>
      <c r="AT93" s="3">
        <v>38599.876</v>
      </c>
      <c r="AU93" s="3">
        <f t="shared" si="2"/>
        <v>21232.1628</v>
      </c>
      <c r="AV93" s="3">
        <f t="shared" si="3"/>
        <v>24589.82509</v>
      </c>
      <c r="AW93" s="3">
        <f t="shared" si="4"/>
        <v>32530.73719</v>
      </c>
      <c r="AX93" s="4">
        <f t="shared" si="5"/>
        <v>0.0002487855683</v>
      </c>
      <c r="AY93" s="4">
        <f t="shared" si="6"/>
        <v>0.02199037514</v>
      </c>
      <c r="AZ93" s="4">
        <f t="shared" si="7"/>
        <v>0.02403977959</v>
      </c>
    </row>
    <row r="94" ht="14.25" customHeight="1">
      <c r="A94" s="2" t="s">
        <v>238</v>
      </c>
      <c r="B94" s="3">
        <v>42281.3795</v>
      </c>
      <c r="C94" s="3">
        <v>43271.563</v>
      </c>
      <c r="D94" s="3">
        <v>43323.4128</v>
      </c>
      <c r="E94" s="3">
        <v>41513.4317</v>
      </c>
      <c r="F94" s="3">
        <v>42420.3585</v>
      </c>
      <c r="G94" s="3">
        <v>43088.0702</v>
      </c>
      <c r="H94" s="3">
        <v>45049.5994</v>
      </c>
      <c r="I94" s="3">
        <v>48027.0279</v>
      </c>
      <c r="J94" s="3">
        <v>47042.2864</v>
      </c>
      <c r="K94" s="3">
        <v>46445.5513</v>
      </c>
      <c r="L94" s="3">
        <v>46526.3804</v>
      </c>
      <c r="M94" s="3">
        <v>45794.0543</v>
      </c>
      <c r="N94" s="3">
        <v>43562.4768</v>
      </c>
      <c r="O94" s="3">
        <v>43545.3684</v>
      </c>
      <c r="P94" s="3">
        <v>44587.9041</v>
      </c>
      <c r="Q94" s="3">
        <v>44258.7899</v>
      </c>
      <c r="R94" s="3">
        <v>45923.3231</v>
      </c>
      <c r="S94" s="3">
        <v>48062.1295</v>
      </c>
      <c r="T94" s="3">
        <v>50894.3546</v>
      </c>
      <c r="U94" s="3">
        <v>52089.0118</v>
      </c>
      <c r="V94" s="3">
        <v>53651.5438</v>
      </c>
      <c r="W94" s="3">
        <v>54729.39</v>
      </c>
      <c r="X94" s="3">
        <v>54282.0199</v>
      </c>
      <c r="Y94" s="3">
        <v>54855.382</v>
      </c>
      <c r="Z94" s="3">
        <v>58437.7664</v>
      </c>
      <c r="AA94" s="3">
        <v>60760.1278</v>
      </c>
      <c r="AB94" s="3">
        <v>62694.9495</v>
      </c>
      <c r="AC94" s="3">
        <v>65900.5625</v>
      </c>
      <c r="AD94" s="3">
        <v>65906.1734</v>
      </c>
      <c r="AE94" s="3">
        <v>60603.4313</v>
      </c>
      <c r="AF94" s="3">
        <v>58865.1693</v>
      </c>
      <c r="AG94" s="3">
        <v>59456.1289</v>
      </c>
      <c r="AH94" s="3">
        <v>59687.4612</v>
      </c>
      <c r="AI94" s="3">
        <v>61502.9955</v>
      </c>
      <c r="AJ94" s="3">
        <v>61519.4992</v>
      </c>
      <c r="AK94" s="3">
        <v>63236.5402</v>
      </c>
      <c r="AL94" s="3">
        <v>65976.3053</v>
      </c>
      <c r="AM94" s="3">
        <v>66576.4816</v>
      </c>
      <c r="AN94" s="3">
        <v>67510.5738</v>
      </c>
      <c r="AO94" s="3">
        <v>66850.6738</v>
      </c>
      <c r="AP94" s="3">
        <v>60945.2478</v>
      </c>
      <c r="AQ94" s="3">
        <v>62858.7374</v>
      </c>
      <c r="AR94" s="3">
        <v>66644.0838</v>
      </c>
      <c r="AS94" s="3">
        <v>69345.1283</v>
      </c>
      <c r="AT94" s="3">
        <v>68475.7705</v>
      </c>
      <c r="AU94" s="3">
        <f t="shared" si="2"/>
        <v>44431.92431</v>
      </c>
      <c r="AV94" s="3">
        <f t="shared" si="3"/>
        <v>56342.15469</v>
      </c>
      <c r="AW94" s="3">
        <f t="shared" si="4"/>
        <v>63963.38644</v>
      </c>
      <c r="AX94" s="4">
        <f t="shared" si="5"/>
        <v>0.003801193819</v>
      </c>
      <c r="AY94" s="4">
        <f t="shared" si="6"/>
        <v>0.02270371653</v>
      </c>
      <c r="AZ94" s="4">
        <f t="shared" si="7"/>
        <v>0.01013972327</v>
      </c>
    </row>
    <row r="95" ht="14.25" customHeight="1">
      <c r="A95" s="2" t="s">
        <v>239</v>
      </c>
      <c r="B95" s="3">
        <v>2424.3092</v>
      </c>
      <c r="C95" s="3">
        <v>2505.5081</v>
      </c>
      <c r="D95" s="3">
        <v>2537.8908</v>
      </c>
      <c r="E95" s="3">
        <v>2629.8796</v>
      </c>
      <c r="F95" s="3">
        <v>2678.6828</v>
      </c>
      <c r="G95" s="3">
        <v>2738.2434</v>
      </c>
      <c r="H95" s="3">
        <v>2799.3645</v>
      </c>
      <c r="I95" s="3">
        <v>2842.8719</v>
      </c>
      <c r="J95" s="3">
        <v>3001.9408</v>
      </c>
      <c r="K95" s="3">
        <v>3123.6075</v>
      </c>
      <c r="L95" s="3">
        <v>3216.0254</v>
      </c>
      <c r="M95" s="3">
        <v>3198.8961</v>
      </c>
      <c r="N95" s="3">
        <v>3256.3794</v>
      </c>
      <c r="O95" s="3">
        <v>3329.4672</v>
      </c>
      <c r="P95" s="3">
        <v>3447.6391</v>
      </c>
      <c r="Q95" s="3">
        <v>3608.6943</v>
      </c>
      <c r="R95" s="3">
        <v>3782.7565</v>
      </c>
      <c r="S95" s="3">
        <v>3865.4768</v>
      </c>
      <c r="T95" s="3">
        <v>3984.1559</v>
      </c>
      <c r="U95" s="3">
        <v>4202.4017</v>
      </c>
      <c r="V95" s="3">
        <v>4301.7182</v>
      </c>
      <c r="W95" s="3">
        <v>4385.7389</v>
      </c>
      <c r="X95" s="3">
        <v>4450.2832</v>
      </c>
      <c r="Y95" s="3">
        <v>4641.5592</v>
      </c>
      <c r="Z95" s="3">
        <v>4886.2222</v>
      </c>
      <c r="AA95" s="3">
        <v>5144.822</v>
      </c>
      <c r="AB95" s="3">
        <v>5425.5283</v>
      </c>
      <c r="AC95" s="3">
        <v>5705.5616</v>
      </c>
      <c r="AD95" s="3">
        <v>5804.0035</v>
      </c>
      <c r="AE95" s="3">
        <v>6052.2524</v>
      </c>
      <c r="AF95" s="3">
        <v>6408.8357</v>
      </c>
      <c r="AG95" s="3">
        <v>6634.1914</v>
      </c>
      <c r="AH95" s="3">
        <v>6835.9484</v>
      </c>
      <c r="AI95" s="3">
        <v>7097.1588</v>
      </c>
      <c r="AJ95" s="3">
        <v>7439.659</v>
      </c>
      <c r="AK95" s="3">
        <v>7854.779</v>
      </c>
      <c r="AL95" s="3">
        <v>8323.3932</v>
      </c>
      <c r="AM95" s="3">
        <v>8734.9404</v>
      </c>
      <c r="AN95" s="3">
        <v>9121.3252</v>
      </c>
      <c r="AO95" s="3">
        <v>9346.1542</v>
      </c>
      <c r="AP95" s="3">
        <v>8847.1761</v>
      </c>
      <c r="AQ95" s="3">
        <v>9163.6558</v>
      </c>
      <c r="AR95" s="3">
        <v>9700.6179</v>
      </c>
      <c r="AS95" s="3">
        <v>10273.9322</v>
      </c>
      <c r="AT95" s="3">
        <v>10747.5269</v>
      </c>
      <c r="AU95" s="3">
        <f t="shared" si="2"/>
        <v>2915.380387</v>
      </c>
      <c r="AV95" s="3">
        <f t="shared" si="3"/>
        <v>4759.462886</v>
      </c>
      <c r="AW95" s="3">
        <f t="shared" si="4"/>
        <v>8435.28628</v>
      </c>
      <c r="AX95" s="4">
        <f t="shared" si="5"/>
        <v>0.02547208339</v>
      </c>
      <c r="AY95" s="4">
        <f t="shared" si="6"/>
        <v>0.03762516409</v>
      </c>
      <c r="AZ95" s="4">
        <f t="shared" si="7"/>
        <v>0.03506054238</v>
      </c>
    </row>
    <row r="96" ht="14.25" customHeight="1">
      <c r="A96" s="2" t="s">
        <v>240</v>
      </c>
      <c r="B96" s="3">
        <v>4991.9683</v>
      </c>
      <c r="C96" s="3">
        <v>5229.8123</v>
      </c>
      <c r="D96" s="3">
        <v>5188.8645</v>
      </c>
      <c r="E96" s="3">
        <v>5476.2189</v>
      </c>
      <c r="F96" s="3">
        <v>5683.1763</v>
      </c>
      <c r="G96" s="3">
        <v>5648.8191</v>
      </c>
      <c r="H96" s="3">
        <v>5801.7303</v>
      </c>
      <c r="I96" s="3">
        <v>5906.6573</v>
      </c>
      <c r="J96" s="3">
        <v>6064.962</v>
      </c>
      <c r="K96" s="3">
        <v>6424.1586</v>
      </c>
      <c r="L96" s="3">
        <v>6827.9088</v>
      </c>
      <c r="M96" s="3">
        <v>7228.8746</v>
      </c>
      <c r="N96" s="3">
        <v>7537.1453</v>
      </c>
      <c r="O96" s="3">
        <v>7863.0643</v>
      </c>
      <c r="P96" s="3">
        <v>8229.4816</v>
      </c>
      <c r="Q96" s="3">
        <v>8673.2109</v>
      </c>
      <c r="R96" s="3">
        <v>9111.0155</v>
      </c>
      <c r="S96" s="3">
        <v>9299.0533</v>
      </c>
      <c r="T96" s="3">
        <v>7878.0284</v>
      </c>
      <c r="U96" s="3">
        <v>7746.9569</v>
      </c>
      <c r="V96" s="3">
        <v>7935.0811</v>
      </c>
      <c r="W96" s="3">
        <v>8033.8035</v>
      </c>
      <c r="X96" s="3">
        <v>8205.1329</v>
      </c>
      <c r="Y96" s="3">
        <v>8407.429</v>
      </c>
      <c r="Z96" s="3">
        <v>8644.2318</v>
      </c>
      <c r="AA96" s="3">
        <v>8952.8018</v>
      </c>
      <c r="AB96" s="3">
        <v>9264.4413</v>
      </c>
      <c r="AC96" s="3">
        <v>9671.6044</v>
      </c>
      <c r="AD96" s="3">
        <v>10068.8453</v>
      </c>
      <c r="AE96" s="3">
        <v>10349.4792</v>
      </c>
      <c r="AF96" s="3">
        <v>10807.0278</v>
      </c>
      <c r="AG96" s="3">
        <v>11283.6821</v>
      </c>
      <c r="AH96" s="3">
        <v>11769.5722</v>
      </c>
      <c r="AI96" s="3">
        <v>12226.5323</v>
      </c>
      <c r="AJ96" s="3">
        <v>12637.3298</v>
      </c>
      <c r="AK96" s="3">
        <v>13047.8399</v>
      </c>
      <c r="AL96" s="3">
        <v>13493.1795</v>
      </c>
      <c r="AM96" s="3">
        <v>13960.5568</v>
      </c>
      <c r="AN96" s="3">
        <v>14465.0203</v>
      </c>
      <c r="AO96" s="3">
        <v>14976.258</v>
      </c>
      <c r="AP96" s="3">
        <v>14482.0206</v>
      </c>
      <c r="AQ96" s="3">
        <v>14861.1163</v>
      </c>
      <c r="AR96" s="3">
        <v>15473.7468</v>
      </c>
      <c r="AS96" s="3">
        <v>16045.8589</v>
      </c>
      <c r="AT96" s="3">
        <v>16638.8993</v>
      </c>
      <c r="AU96" s="3">
        <f t="shared" si="2"/>
        <v>6273.522813</v>
      </c>
      <c r="AV96" s="3">
        <f t="shared" si="3"/>
        <v>8826.278886</v>
      </c>
      <c r="AW96" s="3">
        <f t="shared" si="4"/>
        <v>13744.57604</v>
      </c>
      <c r="AX96" s="4">
        <f t="shared" si="5"/>
        <v>0.03635176165</v>
      </c>
      <c r="AY96" s="4">
        <f t="shared" si="6"/>
        <v>0.01270120746</v>
      </c>
      <c r="AZ96" s="4">
        <f t="shared" si="7"/>
        <v>0.0281302211</v>
      </c>
    </row>
    <row r="97" ht="14.25" customHeight="1">
      <c r="A97" s="2" t="s">
        <v>241</v>
      </c>
      <c r="B97" s="3">
        <v>15891.208</v>
      </c>
      <c r="C97" s="3">
        <v>13591.7188</v>
      </c>
      <c r="D97" s="3">
        <v>14964.9933</v>
      </c>
      <c r="E97" s="3">
        <v>16362.2268</v>
      </c>
      <c r="F97" s="3">
        <v>15207.2657</v>
      </c>
      <c r="G97" s="3">
        <v>14709.5558</v>
      </c>
      <c r="H97" s="3">
        <v>13141.6931</v>
      </c>
      <c r="I97" s="3">
        <v>12393.2198</v>
      </c>
      <c r="J97" s="3">
        <v>11405.1883</v>
      </c>
      <c r="K97" s="3">
        <v>11478.2203</v>
      </c>
      <c r="L97" s="3">
        <v>12487.151</v>
      </c>
      <c r="M97" s="3">
        <v>13669.4633</v>
      </c>
      <c r="N97" s="3">
        <v>14028.1002</v>
      </c>
      <c r="O97" s="3">
        <v>13951.9455</v>
      </c>
      <c r="P97" s="3">
        <v>13714.5311</v>
      </c>
      <c r="Q97" s="3">
        <v>13653.3994</v>
      </c>
      <c r="R97" s="3">
        <v>14254.4426</v>
      </c>
      <c r="S97" s="3">
        <v>14229.3557</v>
      </c>
      <c r="T97" s="3">
        <v>13971.8165</v>
      </c>
      <c r="U97" s="3">
        <v>13819.748</v>
      </c>
      <c r="V97" s="3">
        <v>13752.8715</v>
      </c>
      <c r="W97" s="3">
        <v>13461.0998</v>
      </c>
      <c r="X97" s="3">
        <v>13892.1484</v>
      </c>
      <c r="Y97" s="3">
        <v>14452.1477</v>
      </c>
      <c r="Z97" s="3">
        <v>14348.0344</v>
      </c>
      <c r="AA97" s="3">
        <v>14231.8895</v>
      </c>
      <c r="AB97" s="3">
        <v>14377.5002</v>
      </c>
      <c r="AC97" s="3">
        <v>15063.0951</v>
      </c>
      <c r="AD97" s="3">
        <v>14999.1915</v>
      </c>
      <c r="AE97" s="3">
        <v>14850.3413</v>
      </c>
      <c r="AF97" s="3">
        <v>15332.8199</v>
      </c>
      <c r="AG97" s="3">
        <v>15619.0407</v>
      </c>
      <c r="AH97" s="3">
        <v>14907.5418</v>
      </c>
      <c r="AI97" s="3">
        <v>14310.4582</v>
      </c>
      <c r="AJ97" s="3">
        <v>14570.3274</v>
      </c>
      <c r="AK97" s="3">
        <v>14319.1704</v>
      </c>
      <c r="AL97" s="3">
        <v>15043.1499</v>
      </c>
      <c r="AM97" s="3">
        <v>15405.1148</v>
      </c>
      <c r="AN97" s="3">
        <v>15049.2527</v>
      </c>
      <c r="AO97" s="3">
        <v>14438.562</v>
      </c>
      <c r="AP97" s="3">
        <v>14613.406</v>
      </c>
      <c r="AQ97" s="3">
        <v>15117.7405</v>
      </c>
      <c r="AR97" s="3">
        <v>15471.2898</v>
      </c>
      <c r="AS97" s="3">
        <v>15952.1301</v>
      </c>
      <c r="AT97" s="3">
        <v>16267.2334</v>
      </c>
      <c r="AU97" s="3">
        <f t="shared" si="2"/>
        <v>13799.7654</v>
      </c>
      <c r="AV97" s="3">
        <f t="shared" si="3"/>
        <v>14264.54873</v>
      </c>
      <c r="AW97" s="3">
        <f t="shared" si="4"/>
        <v>15094.48251</v>
      </c>
      <c r="AX97" s="4">
        <f t="shared" si="5"/>
        <v>-0.01046698338</v>
      </c>
      <c r="AY97" s="4">
        <f t="shared" si="6"/>
        <v>0.006020502039</v>
      </c>
      <c r="AZ97" s="4">
        <f t="shared" si="7"/>
        <v>0.002908660258</v>
      </c>
    </row>
    <row r="98" ht="14.25" customHeight="1">
      <c r="A98" s="2" t="s">
        <v>242</v>
      </c>
      <c r="B98" s="3">
        <v>28909.1346</v>
      </c>
      <c r="C98" s="3">
        <v>23198.2974</v>
      </c>
      <c r="D98" s="3">
        <v>22364.4951</v>
      </c>
      <c r="E98" s="3">
        <v>19872.0079</v>
      </c>
      <c r="F98" s="3">
        <v>19254.8847</v>
      </c>
      <c r="G98" s="3">
        <v>18746.9291</v>
      </c>
      <c r="H98" s="3">
        <v>19721.5631</v>
      </c>
      <c r="I98" s="3">
        <v>22831.837</v>
      </c>
      <c r="J98" s="3">
        <v>22917.1247</v>
      </c>
      <c r="K98" s="3">
        <v>20262.9761</v>
      </c>
      <c r="L98" s="3">
        <v>19931.1715</v>
      </c>
      <c r="M98" s="3">
        <v>6651.1735</v>
      </c>
      <c r="N98" s="3">
        <v>8070.8088</v>
      </c>
      <c r="O98" s="3">
        <v>11366.9401</v>
      </c>
      <c r="P98" s="3">
        <v>10281.3386</v>
      </c>
      <c r="Q98" s="3">
        <v>8069.3301</v>
      </c>
      <c r="R98" s="3">
        <v>11629.4752</v>
      </c>
      <c r="S98" s="3">
        <v>13674.0563</v>
      </c>
      <c r="T98" s="3">
        <v>17786.8602</v>
      </c>
      <c r="U98" s="3">
        <v>20155.9028</v>
      </c>
      <c r="V98" s="3">
        <v>19691.5898</v>
      </c>
      <c r="W98" s="3">
        <v>19430.0227</v>
      </c>
      <c r="X98" s="3">
        <v>17441.455</v>
      </c>
      <c r="Y98" s="3">
        <v>11266.4767</v>
      </c>
      <c r="Z98" s="3">
        <v>16798.6455</v>
      </c>
      <c r="AA98" s="3">
        <v>16501.8677</v>
      </c>
      <c r="AB98" s="3">
        <v>17232.3517</v>
      </c>
      <c r="AC98" s="3">
        <v>17623.822</v>
      </c>
      <c r="AD98" s="3">
        <v>18615.3452</v>
      </c>
      <c r="AE98" s="3">
        <v>18448.9486</v>
      </c>
      <c r="AF98" s="3">
        <v>18911.0702</v>
      </c>
      <c r="AG98" s="3">
        <v>19541.6286</v>
      </c>
      <c r="AH98" s="3">
        <v>21183.3929</v>
      </c>
      <c r="AI98" s="3">
        <v>21641.1374</v>
      </c>
      <c r="AJ98" s="3">
        <v>20817.5674</v>
      </c>
      <c r="AK98" s="3">
        <v>21082.5357</v>
      </c>
      <c r="AL98" s="3">
        <v>23245.9988</v>
      </c>
      <c r="AM98" s="3">
        <v>22127.7211</v>
      </c>
      <c r="AN98" s="3">
        <v>21972.9905</v>
      </c>
      <c r="AO98" s="3">
        <v>22529.1783</v>
      </c>
      <c r="AP98" s="3">
        <v>19258.0134</v>
      </c>
      <c r="AQ98" s="3">
        <v>18588.9428</v>
      </c>
      <c r="AR98" s="3">
        <v>19520.786</v>
      </c>
      <c r="AS98" s="3">
        <v>18502.685</v>
      </c>
      <c r="AT98" s="3">
        <v>18015.2025</v>
      </c>
      <c r="AU98" s="3">
        <f t="shared" si="2"/>
        <v>18292.04548</v>
      </c>
      <c r="AV98" s="3">
        <f t="shared" si="3"/>
        <v>16878.34424</v>
      </c>
      <c r="AW98" s="3">
        <f t="shared" si="4"/>
        <v>20462.59004</v>
      </c>
      <c r="AX98" s="4">
        <f t="shared" si="5"/>
        <v>-0.07118416219</v>
      </c>
      <c r="AY98" s="4">
        <f t="shared" si="6"/>
        <v>0.06084623283</v>
      </c>
      <c r="AZ98" s="4">
        <f t="shared" si="7"/>
        <v>-0.005792515837</v>
      </c>
    </row>
    <row r="99" ht="14.25" customHeight="1">
      <c r="A99" s="2" t="s">
        <v>243</v>
      </c>
      <c r="B99" s="3">
        <v>27456.7522</v>
      </c>
      <c r="C99" s="3">
        <v>28020.8969</v>
      </c>
      <c r="D99" s="3">
        <v>28331.8549</v>
      </c>
      <c r="E99" s="3">
        <v>27949.8285</v>
      </c>
      <c r="F99" s="3">
        <v>28860.2408</v>
      </c>
      <c r="G99" s="3">
        <v>29462.5703</v>
      </c>
      <c r="H99" s="3">
        <v>29079.3759</v>
      </c>
      <c r="I99" s="3">
        <v>30257.7098</v>
      </c>
      <c r="J99" s="3">
        <v>31766.3186</v>
      </c>
      <c r="K99" s="3">
        <v>33511.1333</v>
      </c>
      <c r="L99" s="3">
        <v>36062.4081</v>
      </c>
      <c r="M99" s="3">
        <v>36265.9998</v>
      </c>
      <c r="N99" s="3">
        <v>36877.0443</v>
      </c>
      <c r="O99" s="3">
        <v>37320.0763</v>
      </c>
      <c r="P99" s="3">
        <v>38945.8446</v>
      </c>
      <c r="Q99" s="3">
        <v>42061.6236</v>
      </c>
      <c r="R99" s="3">
        <v>44479.4767</v>
      </c>
      <c r="S99" s="3">
        <v>48540.5284</v>
      </c>
      <c r="T99" s="3">
        <v>51789.9088</v>
      </c>
      <c r="U99" s="3">
        <v>56086.8069</v>
      </c>
      <c r="V99" s="3">
        <v>59960.8884</v>
      </c>
      <c r="W99" s="3">
        <v>61494.6542</v>
      </c>
      <c r="X99" s="3">
        <v>63468.3073</v>
      </c>
      <c r="Y99" s="3">
        <v>63877.2875</v>
      </c>
      <c r="Z99" s="3">
        <v>66574.6524</v>
      </c>
      <c r="AA99" s="3">
        <v>68414.8838</v>
      </c>
      <c r="AB99" s="3">
        <v>69448.116</v>
      </c>
      <c r="AC99" s="3">
        <v>70796.3492</v>
      </c>
      <c r="AD99" s="3">
        <v>66266.7492</v>
      </c>
      <c r="AE99" s="3">
        <v>62345.3187</v>
      </c>
      <c r="AF99" s="3">
        <v>63136.6847</v>
      </c>
      <c r="AG99" s="3">
        <v>63868.0334</v>
      </c>
      <c r="AH99" s="3">
        <v>63544.4071</v>
      </c>
      <c r="AI99" s="3">
        <v>64580.6042</v>
      </c>
      <c r="AJ99" s="3">
        <v>70053.5002</v>
      </c>
      <c r="AK99" s="3">
        <v>86375.6035</v>
      </c>
      <c r="AL99" s="3">
        <v>86443.7968</v>
      </c>
      <c r="AM99" s="3">
        <v>93679.0275</v>
      </c>
      <c r="AN99" s="3">
        <v>99214.6362</v>
      </c>
      <c r="AO99" s="3">
        <v>102437.7815</v>
      </c>
      <c r="AP99" s="3">
        <v>108038.4389</v>
      </c>
      <c r="AQ99" s="3">
        <v>123671.4213</v>
      </c>
      <c r="AR99" s="3">
        <v>131000.0022</v>
      </c>
      <c r="AS99" s="3">
        <v>122600.1841</v>
      </c>
      <c r="AT99" s="3">
        <v>122175.93</v>
      </c>
      <c r="AU99" s="3">
        <f t="shared" si="2"/>
        <v>32011.20362</v>
      </c>
      <c r="AV99" s="3">
        <f t="shared" si="3"/>
        <v>60967.42339</v>
      </c>
      <c r="AW99" s="3">
        <f t="shared" si="4"/>
        <v>93388.00344</v>
      </c>
      <c r="AX99" s="4">
        <f t="shared" si="5"/>
        <v>0.02528289403</v>
      </c>
      <c r="AY99" s="4">
        <f t="shared" si="6"/>
        <v>0.02850975575</v>
      </c>
      <c r="AZ99" s="4">
        <f t="shared" si="7"/>
        <v>0.04742172918</v>
      </c>
    </row>
    <row r="100" ht="14.25" customHeight="1">
      <c r="A100" s="2" t="s">
        <v>244</v>
      </c>
      <c r="B100" s="3">
        <v>19884.8477</v>
      </c>
      <c r="C100" s="3">
        <v>19508.123</v>
      </c>
      <c r="D100" s="3">
        <v>19804.0718</v>
      </c>
      <c r="E100" s="3">
        <v>20582.7084</v>
      </c>
      <c r="F100" s="3">
        <v>21770.7343</v>
      </c>
      <c r="G100" s="3">
        <v>21804.2843</v>
      </c>
      <c r="H100" s="3">
        <v>25739.6754</v>
      </c>
      <c r="I100" s="3">
        <v>27810.2348</v>
      </c>
      <c r="J100" s="3">
        <v>30518.9339</v>
      </c>
      <c r="K100" s="3">
        <v>31989.2327</v>
      </c>
      <c r="L100" s="3">
        <v>32672.6305</v>
      </c>
      <c r="M100" s="3">
        <v>32661.9063</v>
      </c>
      <c r="N100" s="3">
        <v>32586.8368</v>
      </c>
      <c r="O100" s="3">
        <v>33177.7506</v>
      </c>
      <c r="P100" s="3">
        <v>34272.3086</v>
      </c>
      <c r="Q100" s="3">
        <v>35547.8991</v>
      </c>
      <c r="R100" s="3">
        <v>38059.5285</v>
      </c>
      <c r="S100" s="3">
        <v>40949.26</v>
      </c>
      <c r="T100" s="3">
        <v>45976.7495</v>
      </c>
      <c r="U100" s="3">
        <v>51656.4479</v>
      </c>
      <c r="V100" s="3">
        <v>53701.6234</v>
      </c>
      <c r="W100" s="3">
        <v>55887.0991</v>
      </c>
      <c r="X100" s="3">
        <v>58703.7289</v>
      </c>
      <c r="Y100" s="3">
        <v>61562.2717</v>
      </c>
      <c r="Z100" s="3">
        <v>64073.4092</v>
      </c>
      <c r="AA100" s="3">
        <v>67053.2634</v>
      </c>
      <c r="AB100" s="3">
        <v>71325.3356</v>
      </c>
      <c r="AC100" s="3">
        <v>75753.8436</v>
      </c>
      <c r="AD100" s="3">
        <v>78536.9233</v>
      </c>
      <c r="AE100" s="3">
        <v>79174.3742</v>
      </c>
      <c r="AF100" s="3">
        <v>80746.2087</v>
      </c>
      <c r="AG100" s="3">
        <v>81511.5631</v>
      </c>
      <c r="AH100" s="3">
        <v>87462.0232</v>
      </c>
      <c r="AI100" s="3">
        <v>90965.1991</v>
      </c>
      <c r="AJ100" s="3">
        <v>95658.6639</v>
      </c>
      <c r="AK100" s="3">
        <v>95428.0442</v>
      </c>
      <c r="AL100" s="3">
        <v>102032.1891</v>
      </c>
      <c r="AM100" s="3">
        <v>104158.2389</v>
      </c>
      <c r="AN100" s="3">
        <v>105786.4493</v>
      </c>
      <c r="AO100" s="3">
        <v>105315.2728</v>
      </c>
      <c r="AP100" s="3">
        <v>95377.8667</v>
      </c>
      <c r="AQ100" s="3">
        <v>98526.3567</v>
      </c>
      <c r="AR100" s="3">
        <v>102909.6065</v>
      </c>
      <c r="AS100" s="3">
        <v>107091.0641</v>
      </c>
      <c r="AT100" s="3">
        <v>113612.8589</v>
      </c>
      <c r="AU100" s="3">
        <f t="shared" si="2"/>
        <v>26985.61861</v>
      </c>
      <c r="AV100" s="3">
        <f t="shared" si="3"/>
        <v>60172.41845</v>
      </c>
      <c r="AW100" s="3">
        <f t="shared" si="4"/>
        <v>97772.10701</v>
      </c>
      <c r="AX100" s="4">
        <f t="shared" si="5"/>
        <v>0.03965015048</v>
      </c>
      <c r="AY100" s="4">
        <f t="shared" si="6"/>
        <v>0.05886541708</v>
      </c>
      <c r="AZ100" s="4">
        <f t="shared" si="7"/>
        <v>0.02400149453</v>
      </c>
    </row>
    <row r="101" ht="14.25" customHeight="1">
      <c r="A101" s="2" t="s">
        <v>245</v>
      </c>
      <c r="B101" s="3">
        <v>28290.8189</v>
      </c>
      <c r="C101" s="3">
        <v>29120.5205</v>
      </c>
      <c r="D101" s="3">
        <v>29060.5262</v>
      </c>
      <c r="E101" s="3">
        <v>29433.3534</v>
      </c>
      <c r="F101" s="3">
        <v>29154.3338</v>
      </c>
      <c r="G101" s="3">
        <v>29773.2296</v>
      </c>
      <c r="H101" s="3">
        <v>30505.1606</v>
      </c>
      <c r="I101" s="3">
        <v>32126.7875</v>
      </c>
      <c r="J101" s="3">
        <v>32490.7899</v>
      </c>
      <c r="K101" s="3">
        <v>32063.5274</v>
      </c>
      <c r="L101" s="3">
        <v>32960.5805</v>
      </c>
      <c r="M101" s="3">
        <v>33462.4598</v>
      </c>
      <c r="N101" s="3">
        <v>34543.734</v>
      </c>
      <c r="O101" s="3">
        <v>34875.4458</v>
      </c>
      <c r="P101" s="3">
        <v>36330.6664</v>
      </c>
      <c r="Q101" s="3">
        <v>38403.8654</v>
      </c>
      <c r="R101" s="3">
        <v>39302.955</v>
      </c>
      <c r="S101" s="3">
        <v>39449.6751</v>
      </c>
      <c r="T101" s="3">
        <v>39843.8948</v>
      </c>
      <c r="U101" s="3">
        <v>39909.7418</v>
      </c>
      <c r="V101" s="3">
        <v>41974.1343</v>
      </c>
      <c r="W101" s="3">
        <v>40916.9679</v>
      </c>
      <c r="X101" s="3">
        <v>39938.3813</v>
      </c>
      <c r="Y101" s="3">
        <v>39704.1648</v>
      </c>
      <c r="Z101" s="3">
        <v>40761.8633</v>
      </c>
      <c r="AA101" s="3">
        <v>41675.8689</v>
      </c>
      <c r="AB101" s="3">
        <v>43184.7725</v>
      </c>
      <c r="AC101" s="3">
        <v>44954.7707</v>
      </c>
      <c r="AD101" s="3">
        <v>45581.042</v>
      </c>
      <c r="AE101" s="3">
        <v>45323.8919</v>
      </c>
      <c r="AF101" s="3">
        <v>47008.5771</v>
      </c>
      <c r="AG101" s="3">
        <v>48741.8816</v>
      </c>
      <c r="AH101" s="3">
        <v>49069.502</v>
      </c>
      <c r="AI101" s="3">
        <v>50189.9102</v>
      </c>
      <c r="AJ101" s="3">
        <v>51144.9944</v>
      </c>
      <c r="AK101" s="3">
        <v>51348.0212</v>
      </c>
      <c r="AL101" s="3">
        <v>52619.4609</v>
      </c>
      <c r="AM101" s="3">
        <v>53897.6707</v>
      </c>
      <c r="AN101" s="3">
        <v>55077.2109</v>
      </c>
      <c r="AO101" s="3">
        <v>55855.4861</v>
      </c>
      <c r="AP101" s="3">
        <v>54701.8151</v>
      </c>
      <c r="AQ101" s="3">
        <v>57726.4106</v>
      </c>
      <c r="AR101" s="3">
        <v>60631.5863</v>
      </c>
      <c r="AS101" s="3">
        <v>61107.8533</v>
      </c>
      <c r="AT101" s="3">
        <v>60625.1648</v>
      </c>
      <c r="AU101" s="3">
        <f t="shared" si="2"/>
        <v>31612.79562</v>
      </c>
      <c r="AV101" s="3">
        <f t="shared" si="3"/>
        <v>41608.72316</v>
      </c>
      <c r="AW101" s="3">
        <f t="shared" si="4"/>
        <v>53983.03635</v>
      </c>
      <c r="AX101" s="4">
        <f t="shared" si="5"/>
        <v>0.01802661405</v>
      </c>
      <c r="AY101" s="4">
        <f t="shared" si="6"/>
        <v>0.01190431272</v>
      </c>
      <c r="AZ101" s="4">
        <f t="shared" si="7"/>
        <v>0.01570573116</v>
      </c>
    </row>
    <row r="102" ht="14.25" customHeight="1">
      <c r="A102" s="2" t="s">
        <v>246</v>
      </c>
      <c r="B102" s="3">
        <v>37251.8469</v>
      </c>
      <c r="C102" s="3">
        <v>37155.4994</v>
      </c>
      <c r="D102" s="3">
        <v>36979.6763</v>
      </c>
      <c r="E102" s="3">
        <v>37078.0218</v>
      </c>
      <c r="F102" s="3">
        <v>37901.8594</v>
      </c>
      <c r="G102" s="3">
        <v>38557.7549</v>
      </c>
      <c r="H102" s="3">
        <v>39265.8202</v>
      </c>
      <c r="I102" s="3">
        <v>40133.3916</v>
      </c>
      <c r="J102" s="3">
        <v>41421.8728</v>
      </c>
      <c r="K102" s="3">
        <v>42428.6375</v>
      </c>
      <c r="L102" s="3">
        <v>42870.0821</v>
      </c>
      <c r="M102" s="3">
        <v>43006.5004</v>
      </c>
      <c r="N102" s="3">
        <v>42892.393</v>
      </c>
      <c r="O102" s="3">
        <v>42222.6225</v>
      </c>
      <c r="P102" s="3">
        <v>42608.3455</v>
      </c>
      <c r="Q102" s="3">
        <v>43581.8104</v>
      </c>
      <c r="R102" s="3">
        <v>44140.1374</v>
      </c>
      <c r="S102" s="3">
        <v>44743.3082</v>
      </c>
      <c r="T102" s="3">
        <v>45393.4318</v>
      </c>
      <c r="U102" s="3">
        <v>46004.1505</v>
      </c>
      <c r="V102" s="3">
        <v>47622.633</v>
      </c>
      <c r="W102" s="3">
        <v>48416.8338</v>
      </c>
      <c r="X102" s="3">
        <v>48342.1312</v>
      </c>
      <c r="Y102" s="3">
        <v>48059.5267</v>
      </c>
      <c r="Z102" s="3">
        <v>48318.1553</v>
      </c>
      <c r="AA102" s="3">
        <v>48416.1678</v>
      </c>
      <c r="AB102" s="3">
        <v>49101.1451</v>
      </c>
      <c r="AC102" s="3">
        <v>49552.8018</v>
      </c>
      <c r="AD102" s="3">
        <v>48701.1033</v>
      </c>
      <c r="AE102" s="3">
        <v>45842.5354</v>
      </c>
      <c r="AF102" s="3">
        <v>46386.2105</v>
      </c>
      <c r="AG102" s="3">
        <v>46495.2119</v>
      </c>
      <c r="AH102" s="3">
        <v>44924.3482</v>
      </c>
      <c r="AI102" s="3">
        <v>43947.2204</v>
      </c>
      <c r="AJ102" s="3">
        <v>43880.1768</v>
      </c>
      <c r="AK102" s="3">
        <v>44230.8239</v>
      </c>
      <c r="AL102" s="3">
        <v>44811.0178</v>
      </c>
      <c r="AM102" s="3">
        <v>45553.2709</v>
      </c>
      <c r="AN102" s="3">
        <v>45970.7397</v>
      </c>
      <c r="AO102" s="3">
        <v>46196.6235</v>
      </c>
      <c r="AP102" s="3">
        <v>42101.3002</v>
      </c>
      <c r="AQ102" s="3">
        <v>45628.5285</v>
      </c>
      <c r="AR102" s="3">
        <v>47306.2846</v>
      </c>
      <c r="AS102" s="3">
        <v>47610.423</v>
      </c>
      <c r="AT102" s="3">
        <v>47952.0792</v>
      </c>
      <c r="AU102" s="3">
        <f t="shared" si="2"/>
        <v>40118.28829</v>
      </c>
      <c r="AV102" s="3">
        <f t="shared" si="3"/>
        <v>47332.43295</v>
      </c>
      <c r="AW102" s="3">
        <f t="shared" si="4"/>
        <v>45532.95061</v>
      </c>
      <c r="AX102" s="4">
        <f t="shared" si="5"/>
        <v>0.009642521914</v>
      </c>
      <c r="AY102" s="4">
        <f t="shared" si="6"/>
        <v>0.003618854442</v>
      </c>
      <c r="AZ102" s="4">
        <f t="shared" si="7"/>
        <v>0.002206203295</v>
      </c>
    </row>
    <row r="103" ht="14.25" customHeight="1">
      <c r="A103" s="2" t="s">
        <v>247</v>
      </c>
      <c r="B103" s="3">
        <v>12670.0429</v>
      </c>
      <c r="C103" s="3">
        <v>12659.4123</v>
      </c>
      <c r="D103" s="3">
        <v>12513.3362</v>
      </c>
      <c r="E103" s="3">
        <v>12497.3306</v>
      </c>
      <c r="F103" s="3">
        <v>12123.0637</v>
      </c>
      <c r="G103" s="3">
        <v>11312.1024</v>
      </c>
      <c r="H103" s="3">
        <v>11316.5506</v>
      </c>
      <c r="I103" s="3">
        <v>11993.3207</v>
      </c>
      <c r="J103" s="3">
        <v>12156.4193</v>
      </c>
      <c r="K103" s="3">
        <v>12782.905</v>
      </c>
      <c r="L103" s="3">
        <v>13254.7114</v>
      </c>
      <c r="M103" s="3">
        <v>13169.4115</v>
      </c>
      <c r="N103" s="3">
        <v>14324.9721</v>
      </c>
      <c r="O103" s="3">
        <v>14409.8122</v>
      </c>
      <c r="P103" s="3">
        <v>14340.1882</v>
      </c>
      <c r="Q103" s="3">
        <v>14292.1414</v>
      </c>
      <c r="R103" s="3">
        <v>14142.3516</v>
      </c>
      <c r="S103" s="3">
        <v>13818.3283</v>
      </c>
      <c r="T103" s="3">
        <v>13468.5979</v>
      </c>
      <c r="U103" s="3">
        <v>13408.1506</v>
      </c>
      <c r="V103" s="3">
        <v>13308.2447</v>
      </c>
      <c r="W103" s="3">
        <v>13291.5705</v>
      </c>
      <c r="X103" s="3">
        <v>13179.5487</v>
      </c>
      <c r="Y103" s="3">
        <v>13438.2609</v>
      </c>
      <c r="Z103" s="3">
        <v>13386.1794</v>
      </c>
      <c r="AA103" s="3">
        <v>13277.5466</v>
      </c>
      <c r="AB103" s="3">
        <v>13442.466</v>
      </c>
      <c r="AC103" s="3">
        <v>13425.9627</v>
      </c>
      <c r="AD103" s="3">
        <v>13103.6951</v>
      </c>
      <c r="AE103" s="3">
        <v>12363.5084</v>
      </c>
      <c r="AF103" s="3">
        <v>11971.2894</v>
      </c>
      <c r="AG103" s="3">
        <v>11953.7748</v>
      </c>
      <c r="AH103" s="3">
        <v>11658.4145</v>
      </c>
      <c r="AI103" s="3">
        <v>11485.758</v>
      </c>
      <c r="AJ103" s="3">
        <v>11360.1864</v>
      </c>
      <c r="AK103" s="3">
        <v>11294.5185</v>
      </c>
      <c r="AL103" s="3">
        <v>11271.172</v>
      </c>
      <c r="AM103" s="3">
        <v>11198.4386</v>
      </c>
      <c r="AN103" s="3">
        <v>11266.342</v>
      </c>
      <c r="AO103" s="3">
        <v>11235.7275</v>
      </c>
      <c r="AP103" s="3">
        <v>10022.7761</v>
      </c>
      <c r="AQ103" s="3">
        <v>10312.1579</v>
      </c>
      <c r="AR103" s="3">
        <v>10755.2193</v>
      </c>
      <c r="AS103" s="3">
        <v>10912.3686</v>
      </c>
      <c r="AT103" s="3">
        <v>10821.6852</v>
      </c>
      <c r="AU103" s="3">
        <f t="shared" si="2"/>
        <v>12768.23861</v>
      </c>
      <c r="AV103" s="3">
        <f t="shared" si="3"/>
        <v>13361.02939</v>
      </c>
      <c r="AW103" s="3">
        <f t="shared" si="4"/>
        <v>11167.98859</v>
      </c>
      <c r="AX103" s="4">
        <f t="shared" si="5"/>
        <v>0.008883914002</v>
      </c>
      <c r="AY103" s="4">
        <f t="shared" si="6"/>
        <v>-0.01030090499</v>
      </c>
      <c r="AZ103" s="4">
        <f t="shared" si="7"/>
        <v>-0.007081599424</v>
      </c>
    </row>
    <row r="104" ht="14.25" customHeight="1">
      <c r="A104" s="2" t="s">
        <v>248</v>
      </c>
      <c r="B104" s="3">
        <v>26218.9811</v>
      </c>
      <c r="C104" s="3">
        <v>27091.1735</v>
      </c>
      <c r="D104" s="3">
        <v>27774.7387</v>
      </c>
      <c r="E104" s="3">
        <v>28536.5085</v>
      </c>
      <c r="F104" s="3">
        <v>29589.4888</v>
      </c>
      <c r="G104" s="3">
        <v>30860.79</v>
      </c>
      <c r="H104" s="3">
        <v>31620.0435</v>
      </c>
      <c r="I104" s="3">
        <v>32795.8435</v>
      </c>
      <c r="J104" s="3">
        <v>34600.1195</v>
      </c>
      <c r="K104" s="3">
        <v>35846.0027</v>
      </c>
      <c r="L104" s="3">
        <v>37114.2966</v>
      </c>
      <c r="M104" s="3">
        <v>37841.0994</v>
      </c>
      <c r="N104" s="3">
        <v>37607.6427</v>
      </c>
      <c r="O104" s="3">
        <v>36873.4727</v>
      </c>
      <c r="P104" s="3">
        <v>36723.9136</v>
      </c>
      <c r="Q104" s="3">
        <v>37238.8995</v>
      </c>
      <c r="R104" s="3">
        <v>38022.8801</v>
      </c>
      <c r="S104" s="3">
        <v>38056.0799</v>
      </c>
      <c r="T104" s="3">
        <v>37272.2375</v>
      </c>
      <c r="U104" s="3">
        <v>36886.3744</v>
      </c>
      <c r="V104" s="3">
        <v>37674.5186</v>
      </c>
      <c r="W104" s="3">
        <v>37610.4172</v>
      </c>
      <c r="X104" s="3">
        <v>37432.0365</v>
      </c>
      <c r="Y104" s="3">
        <v>37823.3249</v>
      </c>
      <c r="Z104" s="3">
        <v>38477.6009</v>
      </c>
      <c r="AA104" s="3">
        <v>39019.6339</v>
      </c>
      <c r="AB104" s="3">
        <v>39424.1332</v>
      </c>
      <c r="AC104" s="3">
        <v>39892.5703</v>
      </c>
      <c r="AD104" s="3">
        <v>39309.5157</v>
      </c>
      <c r="AE104" s="3">
        <v>37005.1191</v>
      </c>
      <c r="AF104" s="3">
        <v>38479.2481</v>
      </c>
      <c r="AG104" s="3">
        <v>38477.91</v>
      </c>
      <c r="AH104" s="3">
        <v>39021.0848</v>
      </c>
      <c r="AI104" s="3">
        <v>39829.9779</v>
      </c>
      <c r="AJ104" s="3">
        <v>39973.5007</v>
      </c>
      <c r="AK104" s="3">
        <v>40610.064</v>
      </c>
      <c r="AL104" s="3">
        <v>40903.5167</v>
      </c>
      <c r="AM104" s="3">
        <v>41563.3635</v>
      </c>
      <c r="AN104" s="3">
        <v>41813.4892</v>
      </c>
      <c r="AO104" s="3">
        <v>41637.2031</v>
      </c>
      <c r="AP104" s="3">
        <v>39885.454</v>
      </c>
      <c r="AQ104" s="3">
        <v>40829.5244</v>
      </c>
      <c r="AR104" s="3">
        <v>41371.6556</v>
      </c>
      <c r="AS104" s="3">
        <v>42165.9307</v>
      </c>
      <c r="AT104" s="3">
        <v>42308.7625</v>
      </c>
      <c r="AU104" s="3">
        <f t="shared" si="2"/>
        <v>32739.60765</v>
      </c>
      <c r="AV104" s="3">
        <f t="shared" si="3"/>
        <v>38136.17444</v>
      </c>
      <c r="AW104" s="3">
        <f t="shared" si="4"/>
        <v>40591.37901</v>
      </c>
      <c r="AX104" s="4">
        <f t="shared" si="5"/>
        <v>0.02435942482</v>
      </c>
      <c r="AY104" s="4">
        <f t="shared" si="6"/>
        <v>-0.0004497305042</v>
      </c>
      <c r="AZ104" s="4">
        <f t="shared" si="7"/>
        <v>0.006802310292</v>
      </c>
    </row>
    <row r="105" ht="14.25" customHeight="1">
      <c r="A105" s="2" t="s">
        <v>249</v>
      </c>
      <c r="B105" s="3">
        <v>50239.5733</v>
      </c>
      <c r="C105" s="3">
        <v>49345.7252</v>
      </c>
      <c r="D105" s="3">
        <v>49685.358</v>
      </c>
      <c r="E105" s="3">
        <v>50952.8808</v>
      </c>
      <c r="F105" s="3">
        <v>51147.5891</v>
      </c>
      <c r="G105" s="3">
        <v>52215.189</v>
      </c>
      <c r="H105" s="3">
        <v>53026.5886</v>
      </c>
      <c r="I105" s="3">
        <v>55334.458</v>
      </c>
      <c r="J105" s="3">
        <v>57898.1342</v>
      </c>
      <c r="K105" s="3">
        <v>58617.8369</v>
      </c>
      <c r="L105" s="3">
        <v>58132.0991</v>
      </c>
      <c r="M105" s="3">
        <v>56883.8602</v>
      </c>
      <c r="N105" s="3">
        <v>56962.7668</v>
      </c>
      <c r="O105" s="3">
        <v>58346.6816</v>
      </c>
      <c r="P105" s="3">
        <v>60545.4396</v>
      </c>
      <c r="Q105" s="3">
        <v>60911.7353</v>
      </c>
      <c r="R105" s="3">
        <v>62499.4101</v>
      </c>
      <c r="S105" s="3">
        <v>65560.3355</v>
      </c>
      <c r="T105" s="3">
        <v>67661.0998</v>
      </c>
      <c r="U105" s="3">
        <v>71920.5784</v>
      </c>
      <c r="V105" s="3">
        <v>77639.2382</v>
      </c>
      <c r="W105" s="3">
        <v>76396.1154</v>
      </c>
      <c r="X105" s="3">
        <v>74940.0827</v>
      </c>
      <c r="Y105" s="3">
        <v>72876.0169</v>
      </c>
      <c r="Z105" s="3">
        <v>71698.3216</v>
      </c>
      <c r="AA105" s="3">
        <v>71124.4289</v>
      </c>
      <c r="AB105" s="3">
        <v>73647.2744</v>
      </c>
      <c r="AC105" s="3">
        <v>76871.2274</v>
      </c>
      <c r="AD105" s="3">
        <v>73675.7083</v>
      </c>
      <c r="AE105" s="3">
        <v>69433.5458</v>
      </c>
      <c r="AF105" s="3">
        <v>65976.1199</v>
      </c>
      <c r="AG105" s="3">
        <v>65373.6949</v>
      </c>
      <c r="AH105" s="3">
        <v>63360.8888</v>
      </c>
      <c r="AI105" s="3">
        <v>62318.476</v>
      </c>
      <c r="AJ105" s="3">
        <v>66150.0686</v>
      </c>
      <c r="AK105" s="3">
        <v>65999.2409</v>
      </c>
      <c r="AL105" s="3">
        <v>65786.7245</v>
      </c>
      <c r="AM105" s="3">
        <v>66979.9649</v>
      </c>
      <c r="AN105" s="3">
        <v>70406.8908</v>
      </c>
      <c r="AO105" s="3">
        <v>72022.8028</v>
      </c>
      <c r="AP105" s="3">
        <v>63080.4852</v>
      </c>
      <c r="AQ105" s="3">
        <v>70509.0167</v>
      </c>
      <c r="AR105" s="3">
        <v>74736.9131</v>
      </c>
      <c r="AS105" s="3">
        <v>78943.9513</v>
      </c>
      <c r="AT105" s="3">
        <v>84987.3874</v>
      </c>
      <c r="AU105" s="3">
        <f t="shared" si="2"/>
        <v>54622.27869</v>
      </c>
      <c r="AV105" s="3">
        <f t="shared" si="3"/>
        <v>71853.09881</v>
      </c>
      <c r="AW105" s="3">
        <f t="shared" si="4"/>
        <v>69108.84172</v>
      </c>
      <c r="AX105" s="4">
        <f t="shared" si="5"/>
        <v>0.01341715014</v>
      </c>
      <c r="AY105" s="4">
        <f t="shared" si="6"/>
        <v>0.009397039337</v>
      </c>
      <c r="AZ105" s="4">
        <f t="shared" si="7"/>
        <v>0.01891836271</v>
      </c>
    </row>
    <row r="106" ht="14.25" customHeight="1">
      <c r="A106" s="2" t="s">
        <v>250</v>
      </c>
      <c r="B106" s="3">
        <v>20039.7498</v>
      </c>
      <c r="C106" s="3">
        <v>22462.8128</v>
      </c>
      <c r="D106" s="3">
        <v>22906.0013</v>
      </c>
      <c r="E106" s="3">
        <v>21284.0436</v>
      </c>
      <c r="F106" s="3">
        <v>21064.5812</v>
      </c>
      <c r="G106" s="3">
        <v>19430.7303</v>
      </c>
      <c r="H106" s="3">
        <v>19423.3251</v>
      </c>
      <c r="I106" s="3">
        <v>18817.4472</v>
      </c>
      <c r="J106" s="3">
        <v>18058.9777</v>
      </c>
      <c r="K106" s="3">
        <v>15222.1225</v>
      </c>
      <c r="L106" s="3">
        <v>13447.3489</v>
      </c>
      <c r="M106" s="3">
        <v>12080.7575</v>
      </c>
      <c r="N106" s="3">
        <v>12806.9135</v>
      </c>
      <c r="O106" s="3">
        <v>12438.2255</v>
      </c>
      <c r="P106" s="3">
        <v>12237.6126</v>
      </c>
      <c r="Q106" s="3">
        <v>12316.8256</v>
      </c>
      <c r="R106" s="3">
        <v>12082.1039</v>
      </c>
      <c r="S106" s="3">
        <v>12114.8662</v>
      </c>
      <c r="T106" s="3">
        <v>12168.9465</v>
      </c>
      <c r="U106" s="3">
        <v>12281.8193</v>
      </c>
      <c r="V106" s="3">
        <v>12500.6085</v>
      </c>
      <c r="W106" s="3">
        <v>12838.105</v>
      </c>
      <c r="X106" s="3">
        <v>13240.6772</v>
      </c>
      <c r="Y106" s="3">
        <v>13423.5626</v>
      </c>
      <c r="Z106" s="3">
        <v>14134.4594</v>
      </c>
      <c r="AA106" s="3">
        <v>14795.764</v>
      </c>
      <c r="AB106" s="3">
        <v>14887.5433</v>
      </c>
      <c r="AC106" s="3">
        <v>15051.5791</v>
      </c>
      <c r="AD106" s="3">
        <v>15661.2718</v>
      </c>
      <c r="AE106" s="3">
        <v>15994.5047</v>
      </c>
      <c r="AF106" s="3">
        <v>15926.5117</v>
      </c>
      <c r="AG106" s="3">
        <v>15849.3184</v>
      </c>
      <c r="AH106" s="3">
        <v>15861.436</v>
      </c>
      <c r="AI106" s="3">
        <v>15336.5661</v>
      </c>
      <c r="AJ106" s="3">
        <v>14334.8479</v>
      </c>
      <c r="AK106" s="3">
        <v>13417.7282</v>
      </c>
      <c r="AL106" s="3">
        <v>12905.8736</v>
      </c>
      <c r="AM106" s="3">
        <v>12791.4299</v>
      </c>
      <c r="AN106" s="3">
        <v>12632.1065</v>
      </c>
      <c r="AO106" s="3">
        <v>12435.7571</v>
      </c>
      <c r="AP106" s="3">
        <v>12126.535</v>
      </c>
      <c r="AQ106" s="3">
        <v>12017.0282</v>
      </c>
      <c r="AR106" s="3">
        <v>12097.3631</v>
      </c>
      <c r="AS106" s="3">
        <v>12202.8307</v>
      </c>
      <c r="AT106" s="3">
        <v>12299.7712</v>
      </c>
      <c r="AU106" s="3">
        <f t="shared" si="2"/>
        <v>17448.0433</v>
      </c>
      <c r="AV106" s="3">
        <f t="shared" si="3"/>
        <v>13655.41511</v>
      </c>
      <c r="AW106" s="3">
        <f t="shared" si="4"/>
        <v>13482.34024</v>
      </c>
      <c r="AX106" s="4">
        <f t="shared" si="5"/>
        <v>-0.03461551534</v>
      </c>
      <c r="AY106" s="4">
        <f t="shared" si="6"/>
        <v>0.0188380199</v>
      </c>
      <c r="AZ106" s="4">
        <f t="shared" si="7"/>
        <v>-0.01794740877</v>
      </c>
    </row>
    <row r="107" ht="14.25" customHeight="1">
      <c r="A107" s="2" t="s">
        <v>251</v>
      </c>
      <c r="B107" s="3">
        <v>22883.5567</v>
      </c>
      <c r="C107" s="3">
        <v>22642.4332</v>
      </c>
      <c r="D107" s="3">
        <v>22457.5698</v>
      </c>
      <c r="E107" s="3">
        <v>22325.3513</v>
      </c>
      <c r="F107" s="3">
        <v>22182.4108</v>
      </c>
      <c r="G107" s="3">
        <v>22037.4295</v>
      </c>
      <c r="H107" s="3">
        <v>21830.5426</v>
      </c>
      <c r="I107" s="3">
        <v>21546.1163</v>
      </c>
      <c r="J107" s="3">
        <v>21284.5073</v>
      </c>
      <c r="K107" s="3">
        <v>21130.9455</v>
      </c>
      <c r="L107" s="3">
        <v>21082.6626</v>
      </c>
      <c r="M107" s="3">
        <v>18602.6097</v>
      </c>
      <c r="N107" s="3">
        <v>17501.07</v>
      </c>
      <c r="O107" s="3">
        <v>15872.715</v>
      </c>
      <c r="P107" s="3">
        <v>13993.6033</v>
      </c>
      <c r="Q107" s="3">
        <v>13001.6412</v>
      </c>
      <c r="R107" s="3">
        <v>13225.5053</v>
      </c>
      <c r="S107" s="3">
        <v>13671.8395</v>
      </c>
      <c r="T107" s="3">
        <v>13653.6913</v>
      </c>
      <c r="U107" s="3">
        <v>14088.2981</v>
      </c>
      <c r="V107" s="3">
        <v>15320.6094</v>
      </c>
      <c r="W107" s="3">
        <v>17195.9516</v>
      </c>
      <c r="X107" s="3">
        <v>18641.5227</v>
      </c>
      <c r="Y107" s="3">
        <v>20124.5776</v>
      </c>
      <c r="Z107" s="3">
        <v>21776.9008</v>
      </c>
      <c r="AA107" s="3">
        <v>23574.8364</v>
      </c>
      <c r="AB107" s="3">
        <v>25735.5355</v>
      </c>
      <c r="AC107" s="3">
        <v>27633.295</v>
      </c>
      <c r="AD107" s="3">
        <v>28175.2678</v>
      </c>
      <c r="AE107" s="3">
        <v>28125.1687</v>
      </c>
      <c r="AF107" s="3">
        <v>29690.9784</v>
      </c>
      <c r="AG107" s="3">
        <v>31844.096</v>
      </c>
      <c r="AH107" s="3">
        <v>32889.195</v>
      </c>
      <c r="AI107" s="3">
        <v>34385.3465</v>
      </c>
      <c r="AJ107" s="3">
        <v>35382.5433</v>
      </c>
      <c r="AK107" s="3">
        <v>35373.0985</v>
      </c>
      <c r="AL107" s="3">
        <v>35362.8087</v>
      </c>
      <c r="AM107" s="3">
        <v>37551.3031</v>
      </c>
      <c r="AN107" s="3">
        <v>38600.6399</v>
      </c>
      <c r="AO107" s="3">
        <v>39868.6852</v>
      </c>
      <c r="AP107" s="3">
        <v>38471.2152</v>
      </c>
      <c r="AQ107" s="3">
        <v>40193.6545</v>
      </c>
      <c r="AR107" s="3">
        <v>41177.4575</v>
      </c>
      <c r="AS107" s="3">
        <v>42195.0051</v>
      </c>
      <c r="AT107" s="3">
        <v>44810.3506</v>
      </c>
      <c r="AU107" s="3">
        <f t="shared" si="2"/>
        <v>20491.56824</v>
      </c>
      <c r="AV107" s="3">
        <f t="shared" si="3"/>
        <v>20067.35712</v>
      </c>
      <c r="AW107" s="3">
        <f t="shared" si="4"/>
        <v>37186.42517</v>
      </c>
      <c r="AX107" s="4">
        <f t="shared" si="5"/>
        <v>-0.03451998612</v>
      </c>
      <c r="AY107" s="4">
        <f t="shared" si="6"/>
        <v>0.0566605587</v>
      </c>
      <c r="AZ107" s="4">
        <f t="shared" si="7"/>
        <v>0.02469917596</v>
      </c>
    </row>
    <row r="108" ht="14.25" customHeight="1">
      <c r="A108" s="2" t="s">
        <v>252</v>
      </c>
      <c r="B108" s="3">
        <v>7846.9147</v>
      </c>
      <c r="C108" s="3">
        <v>7830.5079</v>
      </c>
      <c r="D108" s="3">
        <v>7802.6448</v>
      </c>
      <c r="E108" s="3">
        <v>7582.2529</v>
      </c>
      <c r="F108" s="3">
        <v>7389.513</v>
      </c>
      <c r="G108" s="3">
        <v>7381.3787</v>
      </c>
      <c r="H108" s="3">
        <v>7584.5643</v>
      </c>
      <c r="I108" s="3">
        <v>7709.0349</v>
      </c>
      <c r="J108" s="3">
        <v>7850.8049</v>
      </c>
      <c r="K108" s="3">
        <v>7876.8922</v>
      </c>
      <c r="L108" s="3">
        <v>7867.0642</v>
      </c>
      <c r="M108" s="3">
        <v>7664.6687</v>
      </c>
      <c r="N108" s="3">
        <v>7320.1384</v>
      </c>
      <c r="O108" s="3">
        <v>7078.7029</v>
      </c>
      <c r="P108" s="3">
        <v>7004.738</v>
      </c>
      <c r="Q108" s="3">
        <v>7059.2224</v>
      </c>
      <c r="R108" s="3">
        <v>7108.109</v>
      </c>
      <c r="S108" s="3">
        <v>6893.807</v>
      </c>
      <c r="T108" s="3">
        <v>6890.1916</v>
      </c>
      <c r="U108" s="3">
        <v>6788.1199</v>
      </c>
      <c r="V108" s="3">
        <v>6567.2669</v>
      </c>
      <c r="W108" s="3">
        <v>6591.0241</v>
      </c>
      <c r="X108" s="3">
        <v>6368.1282</v>
      </c>
      <c r="Y108" s="3">
        <v>6302.7137</v>
      </c>
      <c r="Z108" s="3">
        <v>6368.1701</v>
      </c>
      <c r="AA108" s="3">
        <v>6487.5816</v>
      </c>
      <c r="AB108" s="3">
        <v>6638.6719</v>
      </c>
      <c r="AC108" s="3">
        <v>6831.6354</v>
      </c>
      <c r="AD108" s="3">
        <v>6596.3331</v>
      </c>
      <c r="AE108" s="3">
        <v>6852.2645</v>
      </c>
      <c r="AF108" s="3">
        <v>7144.8873</v>
      </c>
      <c r="AG108" s="3">
        <v>7256.1179</v>
      </c>
      <c r="AH108" s="3">
        <v>7331.2719</v>
      </c>
      <c r="AI108" s="3">
        <v>7369.927</v>
      </c>
      <c r="AJ108" s="3">
        <v>7503.305</v>
      </c>
      <c r="AK108" s="3">
        <v>7640.4816</v>
      </c>
      <c r="AL108" s="3">
        <v>7726.6665</v>
      </c>
      <c r="AM108" s="3">
        <v>7782.9765</v>
      </c>
      <c r="AN108" s="3">
        <v>7977.1803</v>
      </c>
      <c r="AO108" s="3">
        <v>8141.5075</v>
      </c>
      <c r="AP108" s="3">
        <v>7884.1929</v>
      </c>
      <c r="AQ108" s="3">
        <v>8239.8598</v>
      </c>
      <c r="AR108" s="3">
        <v>8386.1828</v>
      </c>
      <c r="AS108" s="3">
        <v>8587.3007</v>
      </c>
      <c r="AT108" s="3">
        <v>8677.6242</v>
      </c>
      <c r="AU108" s="3">
        <f t="shared" si="2"/>
        <v>7585.988033</v>
      </c>
      <c r="AV108" s="3">
        <f t="shared" si="3"/>
        <v>6663.144071</v>
      </c>
      <c r="AW108" s="3">
        <f t="shared" si="4"/>
        <v>7843.298793</v>
      </c>
      <c r="AX108" s="4">
        <f t="shared" si="5"/>
        <v>-0.008076752442</v>
      </c>
      <c r="AY108" s="4">
        <f t="shared" si="6"/>
        <v>-0.002123151648</v>
      </c>
      <c r="AZ108" s="4">
        <f t="shared" si="7"/>
        <v>0.01286077029</v>
      </c>
    </row>
    <row r="109" ht="14.25" customHeight="1">
      <c r="A109" s="2" t="s">
        <v>253</v>
      </c>
      <c r="B109" s="3">
        <v>4555.7924</v>
      </c>
      <c r="C109" s="3">
        <v>4714.1285</v>
      </c>
      <c r="D109" s="3">
        <v>4542.363</v>
      </c>
      <c r="E109" s="3">
        <v>3990.533</v>
      </c>
      <c r="F109" s="3">
        <v>4426.0477</v>
      </c>
      <c r="G109" s="3">
        <v>3729.9607</v>
      </c>
      <c r="H109" s="3">
        <v>3524.6941</v>
      </c>
      <c r="I109" s="3">
        <v>3460.2188</v>
      </c>
      <c r="J109" s="3">
        <v>4099.3395</v>
      </c>
      <c r="K109" s="3">
        <v>3696.604</v>
      </c>
      <c r="L109" s="3">
        <v>3375.6718</v>
      </c>
      <c r="M109" s="3">
        <v>3126.2906</v>
      </c>
      <c r="N109" s="3">
        <v>3825.9876</v>
      </c>
      <c r="O109" s="3">
        <v>3781.3676</v>
      </c>
      <c r="P109" s="3">
        <v>3820.7892</v>
      </c>
      <c r="Q109" s="3">
        <v>3886.0586</v>
      </c>
      <c r="R109" s="3">
        <v>3833.4965</v>
      </c>
      <c r="S109" s="3">
        <v>3816.8181</v>
      </c>
      <c r="T109" s="3">
        <v>3920.1373</v>
      </c>
      <c r="U109" s="3">
        <v>3697.687</v>
      </c>
      <c r="V109" s="3">
        <v>3866.6366</v>
      </c>
      <c r="W109" s="3">
        <v>3659.1318</v>
      </c>
      <c r="X109" s="3">
        <v>3615.5226</v>
      </c>
      <c r="Y109" s="3">
        <v>3461.6629</v>
      </c>
      <c r="Z109" s="3">
        <v>3345.8529</v>
      </c>
      <c r="AA109" s="3">
        <v>3295.9622</v>
      </c>
      <c r="AB109" s="3">
        <v>3391.9892</v>
      </c>
      <c r="AC109" s="3">
        <v>3401.3031</v>
      </c>
      <c r="AD109" s="3">
        <v>3212.426</v>
      </c>
      <c r="AE109" s="3">
        <v>3143.3299</v>
      </c>
      <c r="AF109" s="3">
        <v>3101.0203</v>
      </c>
      <c r="AG109" s="3">
        <v>3126.9404</v>
      </c>
      <c r="AH109" s="3">
        <v>3236.5411</v>
      </c>
      <c r="AI109" s="3">
        <v>3413.2162</v>
      </c>
      <c r="AJ109" s="3">
        <v>3385.9243</v>
      </c>
      <c r="AK109" s="3">
        <v>3688.7341</v>
      </c>
      <c r="AL109" s="3">
        <v>3867.6474</v>
      </c>
      <c r="AM109" s="3">
        <v>3927.7184</v>
      </c>
      <c r="AN109" s="3">
        <v>3981.9411</v>
      </c>
      <c r="AO109" s="3">
        <v>4030.8932</v>
      </c>
      <c r="AP109" s="3">
        <v>3885.481</v>
      </c>
      <c r="AQ109" s="3">
        <v>4130.8912</v>
      </c>
      <c r="AR109" s="3">
        <v>4228.651</v>
      </c>
      <c r="AS109" s="3">
        <v>4300.4907</v>
      </c>
      <c r="AT109" s="3">
        <v>4472.1839</v>
      </c>
      <c r="AU109" s="3">
        <f t="shared" si="2"/>
        <v>3911.319233</v>
      </c>
      <c r="AV109" s="3">
        <f t="shared" si="3"/>
        <v>3547.282579</v>
      </c>
      <c r="AW109" s="3">
        <f t="shared" si="4"/>
        <v>3785.218287</v>
      </c>
      <c r="AX109" s="4">
        <f t="shared" si="5"/>
        <v>-0.01248868101</v>
      </c>
      <c r="AY109" s="4">
        <f t="shared" si="6"/>
        <v>-0.01503671066</v>
      </c>
      <c r="AZ109" s="4">
        <f t="shared" si="7"/>
        <v>0.025888127</v>
      </c>
    </row>
    <row r="110" ht="14.25" customHeight="1">
      <c r="A110" s="2" t="s">
        <v>254</v>
      </c>
      <c r="B110" s="3">
        <v>8489.8448</v>
      </c>
      <c r="C110" s="3">
        <v>8823.6327</v>
      </c>
      <c r="D110" s="3">
        <v>9250.2918</v>
      </c>
      <c r="E110" s="3">
        <v>10148.3433</v>
      </c>
      <c r="F110" s="3">
        <v>10874.5355</v>
      </c>
      <c r="G110" s="3">
        <v>11390.2843</v>
      </c>
      <c r="H110" s="3">
        <v>12336.8255</v>
      </c>
      <c r="I110" s="3">
        <v>13533.9621</v>
      </c>
      <c r="J110" s="3">
        <v>14719.9068</v>
      </c>
      <c r="K110" s="3">
        <v>15279.4009</v>
      </c>
      <c r="L110" s="3">
        <v>16293.7619</v>
      </c>
      <c r="M110" s="3">
        <v>17622.436</v>
      </c>
      <c r="N110" s="3">
        <v>18358.1888</v>
      </c>
      <c r="O110" s="3">
        <v>19263.1593</v>
      </c>
      <c r="P110" s="3">
        <v>20685.3389</v>
      </c>
      <c r="Q110" s="3">
        <v>22316.5285</v>
      </c>
      <c r="R110" s="3">
        <v>23748.7324</v>
      </c>
      <c r="S110" s="3">
        <v>24901.1547</v>
      </c>
      <c r="T110" s="3">
        <v>23330.99</v>
      </c>
      <c r="U110" s="3">
        <v>25648.8456</v>
      </c>
      <c r="V110" s="3">
        <v>27533.3233</v>
      </c>
      <c r="W110" s="3">
        <v>28396.1978</v>
      </c>
      <c r="X110" s="3">
        <v>30116.8644</v>
      </c>
      <c r="Y110" s="3">
        <v>30638.0708</v>
      </c>
      <c r="Z110" s="3">
        <v>31841.8715</v>
      </c>
      <c r="AA110" s="3">
        <v>32850.195</v>
      </c>
      <c r="AB110" s="3">
        <v>34215.8584</v>
      </c>
      <c r="AC110" s="3">
        <v>35837.5298</v>
      </c>
      <c r="AD110" s="3">
        <v>36564.0556</v>
      </c>
      <c r="AE110" s="3">
        <v>36500.5538</v>
      </c>
      <c r="AF110" s="3">
        <v>38581.7047</v>
      </c>
      <c r="AG110" s="3">
        <v>39417.3247</v>
      </c>
      <c r="AH110" s="3">
        <v>39619.9365</v>
      </c>
      <c r="AI110" s="3">
        <v>40115.7866</v>
      </c>
      <c r="AJ110" s="3">
        <v>40643.7533</v>
      </c>
      <c r="AK110" s="3">
        <v>41063.7388</v>
      </c>
      <c r="AL110" s="3">
        <v>41687.4108</v>
      </c>
      <c r="AM110" s="3">
        <v>42528.4044</v>
      </c>
      <c r="AN110" s="3">
        <v>43305.9412</v>
      </c>
      <c r="AO110" s="3">
        <v>43840.8242</v>
      </c>
      <c r="AP110" s="3">
        <v>43126.8414</v>
      </c>
      <c r="AQ110" s="3">
        <v>44664.1509</v>
      </c>
      <c r="AR110" s="3">
        <v>45611.0769</v>
      </c>
      <c r="AS110" s="3">
        <v>46035.8674</v>
      </c>
      <c r="AT110" s="3">
        <v>46764.7576</v>
      </c>
      <c r="AU110" s="3">
        <f t="shared" si="2"/>
        <v>13804.66084</v>
      </c>
      <c r="AV110" s="3">
        <f t="shared" si="3"/>
        <v>30151.73165</v>
      </c>
      <c r="AW110" s="3">
        <f t="shared" si="4"/>
        <v>42467.16796</v>
      </c>
      <c r="AX110" s="4">
        <f t="shared" si="5"/>
        <v>0.06567780477</v>
      </c>
      <c r="AY110" s="4">
        <f t="shared" si="6"/>
        <v>0.03576765326</v>
      </c>
      <c r="AZ110" s="4">
        <f t="shared" si="7"/>
        <v>0.01228372155</v>
      </c>
    </row>
    <row r="111" ht="14.25" customHeight="1">
      <c r="A111" s="2" t="s">
        <v>255</v>
      </c>
      <c r="B111" s="3">
        <v>17572.3842</v>
      </c>
      <c r="C111" s="3">
        <v>17135.1488</v>
      </c>
      <c r="D111" s="3">
        <v>16831.116</v>
      </c>
      <c r="E111" s="3">
        <v>16536.8664</v>
      </c>
      <c r="F111" s="3">
        <v>16215.901</v>
      </c>
      <c r="G111" s="3">
        <v>15871.9826</v>
      </c>
      <c r="H111" s="3">
        <v>15505.1113</v>
      </c>
      <c r="I111" s="3">
        <v>15109.6428</v>
      </c>
      <c r="J111" s="3">
        <v>14905.5118</v>
      </c>
      <c r="K111" s="3">
        <v>14902.6898</v>
      </c>
      <c r="L111" s="3">
        <v>15050.7553</v>
      </c>
      <c r="M111" s="3">
        <v>13157.3229</v>
      </c>
      <c r="N111" s="3">
        <v>9535.8325</v>
      </c>
      <c r="O111" s="3">
        <v>6957.95</v>
      </c>
      <c r="P111" s="3">
        <v>6748.363</v>
      </c>
      <c r="Q111" s="3">
        <v>7076.8539</v>
      </c>
      <c r="R111" s="3">
        <v>7477.4021</v>
      </c>
      <c r="S111" s="3">
        <v>7844.8379</v>
      </c>
      <c r="T111" s="3">
        <v>7681.345</v>
      </c>
      <c r="U111" s="3">
        <v>6820.9847</v>
      </c>
      <c r="V111" s="3">
        <v>7590.0975</v>
      </c>
      <c r="W111" s="3">
        <v>9302.9163</v>
      </c>
      <c r="X111" s="3">
        <v>9271.497</v>
      </c>
      <c r="Y111" s="3">
        <v>8575.3822</v>
      </c>
      <c r="Z111" s="3">
        <v>8330.6132</v>
      </c>
      <c r="AA111" s="3">
        <v>8320.6418</v>
      </c>
      <c r="AB111" s="3">
        <v>8303.5211</v>
      </c>
      <c r="AC111" s="3">
        <v>8675.2841</v>
      </c>
      <c r="AD111" s="3">
        <v>9029.7382</v>
      </c>
      <c r="AE111" s="3">
        <v>9404.5114</v>
      </c>
      <c r="AF111" s="3">
        <v>9783.4236</v>
      </c>
      <c r="AG111" s="3">
        <v>10348.4055</v>
      </c>
      <c r="AH111" s="3">
        <v>10298.5486</v>
      </c>
      <c r="AI111" s="3">
        <v>10669.7471</v>
      </c>
      <c r="AJ111" s="3">
        <v>10999.1788</v>
      </c>
      <c r="AK111" s="3">
        <v>11758.5084</v>
      </c>
      <c r="AL111" s="3">
        <v>12419.6293</v>
      </c>
      <c r="AM111" s="3">
        <v>12824.881</v>
      </c>
      <c r="AN111" s="3">
        <v>13100.1286</v>
      </c>
      <c r="AO111" s="3">
        <v>13688.4397</v>
      </c>
      <c r="AP111" s="3">
        <v>12808.5129</v>
      </c>
      <c r="AQ111" s="3">
        <v>14082.2149</v>
      </c>
      <c r="AR111" s="3">
        <v>14768.5465</v>
      </c>
      <c r="AS111" s="3">
        <v>15487.9906</v>
      </c>
      <c r="AT111" s="3">
        <v>16224.3672</v>
      </c>
      <c r="AU111" s="3">
        <f t="shared" si="2"/>
        <v>14135.77189</v>
      </c>
      <c r="AV111" s="3">
        <f t="shared" si="3"/>
        <v>8330.626607</v>
      </c>
      <c r="AW111" s="3">
        <f t="shared" si="4"/>
        <v>12617.50151</v>
      </c>
      <c r="AX111" s="4">
        <f t="shared" si="5"/>
        <v>-0.0660750414</v>
      </c>
      <c r="AY111" s="4">
        <f t="shared" si="6"/>
        <v>0.02051911415</v>
      </c>
      <c r="AZ111" s="4">
        <f t="shared" si="7"/>
        <v>0.03264154838</v>
      </c>
    </row>
    <row r="112" ht="14.25" customHeight="1">
      <c r="A112" s="2" t="s">
        <v>256</v>
      </c>
      <c r="B112" s="3">
        <v>87040.4075</v>
      </c>
      <c r="C112" s="3">
        <v>66019.4664</v>
      </c>
      <c r="D112" s="3">
        <v>54588.0108</v>
      </c>
      <c r="E112" s="3">
        <v>55316.6542</v>
      </c>
      <c r="F112" s="3">
        <v>55163.1847</v>
      </c>
      <c r="G112" s="3">
        <v>50290.1927</v>
      </c>
      <c r="H112" s="3">
        <v>52177.9344</v>
      </c>
      <c r="I112" s="3">
        <v>54254.484</v>
      </c>
      <c r="J112" s="3">
        <v>46946.5105</v>
      </c>
      <c r="K112" s="3">
        <v>56863.8014</v>
      </c>
      <c r="L112" s="3">
        <v>55033.9473</v>
      </c>
      <c r="M112" s="3">
        <v>40147.4094</v>
      </c>
      <c r="N112" s="3">
        <v>60325.2782</v>
      </c>
      <c r="O112" s="3">
        <v>77217.3523</v>
      </c>
      <c r="P112" s="3">
        <v>81742.3455</v>
      </c>
      <c r="Q112" s="3">
        <v>80903.6484</v>
      </c>
      <c r="R112" s="3">
        <v>81024.4719</v>
      </c>
      <c r="S112" s="3">
        <v>80231.8829</v>
      </c>
      <c r="T112" s="3">
        <v>79930.6654</v>
      </c>
      <c r="U112" s="3">
        <v>75145.8511</v>
      </c>
      <c r="V112" s="3">
        <v>75158.6402</v>
      </c>
      <c r="W112" s="3">
        <v>71920.2999</v>
      </c>
      <c r="X112" s="3">
        <v>70825.8203</v>
      </c>
      <c r="Y112" s="3">
        <v>79548.338</v>
      </c>
      <c r="Z112" s="3">
        <v>84112.3717</v>
      </c>
      <c r="AA112" s="3">
        <v>88606.0653</v>
      </c>
      <c r="AB112" s="3">
        <v>89593.5201</v>
      </c>
      <c r="AC112" s="3">
        <v>88848.0489</v>
      </c>
      <c r="AD112" s="3">
        <v>85266.7583</v>
      </c>
      <c r="AE112" s="3">
        <v>74309.8464</v>
      </c>
      <c r="AF112" s="3">
        <v>68281.1216</v>
      </c>
      <c r="AG112" s="3">
        <v>69627.0084</v>
      </c>
      <c r="AH112" s="3">
        <v>69227.5167</v>
      </c>
      <c r="AI112" s="3">
        <v>66484.9231</v>
      </c>
      <c r="AJ112" s="3">
        <v>63811.6601</v>
      </c>
      <c r="AK112" s="3">
        <v>61150.8496</v>
      </c>
      <c r="AL112" s="3">
        <v>59976.9429</v>
      </c>
      <c r="AM112" s="3">
        <v>54838.4083</v>
      </c>
      <c r="AN112" s="3">
        <v>53881.5801</v>
      </c>
      <c r="AO112" s="3">
        <v>53167.072</v>
      </c>
      <c r="AP112" s="3">
        <v>51716.5164</v>
      </c>
      <c r="AQ112" s="3">
        <v>51964.8946</v>
      </c>
      <c r="AR112" s="3">
        <v>51896.2372</v>
      </c>
      <c r="AS112" s="3">
        <v>47481.2977</v>
      </c>
      <c r="AT112" s="3">
        <v>43623.6947</v>
      </c>
      <c r="AU112" s="3">
        <f t="shared" si="2"/>
        <v>59541.79862</v>
      </c>
      <c r="AV112" s="3">
        <f t="shared" si="3"/>
        <v>80323.04146</v>
      </c>
      <c r="AW112" s="3">
        <f t="shared" si="4"/>
        <v>57808.64823</v>
      </c>
      <c r="AX112" s="4">
        <f t="shared" si="5"/>
        <v>-0.004475689294</v>
      </c>
      <c r="AY112" s="4">
        <f t="shared" si="6"/>
        <v>-0.006054131978</v>
      </c>
      <c r="AZ112" s="4">
        <f t="shared" si="7"/>
        <v>-0.03284506833</v>
      </c>
    </row>
    <row r="113" ht="14.25" customHeight="1">
      <c r="A113" s="2" t="s">
        <v>257</v>
      </c>
      <c r="B113" s="3">
        <v>8410.0417</v>
      </c>
      <c r="C113" s="3">
        <v>8188.865</v>
      </c>
      <c r="D113" s="3">
        <v>7975.7955</v>
      </c>
      <c r="E113" s="3">
        <v>7767.9881</v>
      </c>
      <c r="F113" s="3">
        <v>7572.0197</v>
      </c>
      <c r="G113" s="3">
        <v>7399.8112</v>
      </c>
      <c r="H113" s="3">
        <v>7248.1081</v>
      </c>
      <c r="I113" s="3">
        <v>7109.2725</v>
      </c>
      <c r="J113" s="3">
        <v>7906.1199</v>
      </c>
      <c r="K113" s="3">
        <v>7988.5047</v>
      </c>
      <c r="L113" s="3">
        <v>8305.4602</v>
      </c>
      <c r="M113" s="3">
        <v>7535.7197</v>
      </c>
      <c r="N113" s="3">
        <v>6397.0141</v>
      </c>
      <c r="O113" s="3">
        <v>5398.9771</v>
      </c>
      <c r="P113" s="3">
        <v>4311.632</v>
      </c>
      <c r="Q113" s="3">
        <v>4014.6419</v>
      </c>
      <c r="R113" s="3">
        <v>4216.8462</v>
      </c>
      <c r="S113" s="3">
        <v>4541.5052</v>
      </c>
      <c r="T113" s="3">
        <v>4541.0497</v>
      </c>
      <c r="U113" s="3">
        <v>4608.5157</v>
      </c>
      <c r="V113" s="3">
        <v>4769.3053</v>
      </c>
      <c r="W113" s="3">
        <v>4941.1783</v>
      </c>
      <c r="X113" s="3">
        <v>4861.8978</v>
      </c>
      <c r="Y113" s="3">
        <v>5122.2034</v>
      </c>
      <c r="Z113" s="3">
        <v>5393.5432</v>
      </c>
      <c r="AA113" s="3">
        <v>5295.8413</v>
      </c>
      <c r="AB113" s="3">
        <v>5381.0904</v>
      </c>
      <c r="AC113" s="3">
        <v>5762.934</v>
      </c>
      <c r="AD113" s="3">
        <v>6156.753</v>
      </c>
      <c r="AE113" s="3">
        <v>6208.1763</v>
      </c>
      <c r="AF113" s="3">
        <v>6026.6357</v>
      </c>
      <c r="AG113" s="3">
        <v>6245.4829</v>
      </c>
      <c r="AH113" s="3">
        <v>6124.2394</v>
      </c>
      <c r="AI113" s="3">
        <v>6673.9815</v>
      </c>
      <c r="AJ113" s="3">
        <v>6818.8675</v>
      </c>
      <c r="AK113" s="3">
        <v>7028.7754</v>
      </c>
      <c r="AL113" s="3">
        <v>7266.4886</v>
      </c>
      <c r="AM113" s="3">
        <v>7566.8094</v>
      </c>
      <c r="AN113" s="3">
        <v>7759.4471</v>
      </c>
      <c r="AO113" s="3">
        <v>8023.9672</v>
      </c>
      <c r="AP113" s="3">
        <v>7285.5374</v>
      </c>
      <c r="AQ113" s="3">
        <v>7592.8007</v>
      </c>
      <c r="AR113" s="3">
        <v>8118.0</v>
      </c>
      <c r="AS113" s="3">
        <v>8404.1632</v>
      </c>
      <c r="AT113" s="3">
        <v>9005.6368</v>
      </c>
      <c r="AU113" s="3">
        <f t="shared" si="2"/>
        <v>7301.021967</v>
      </c>
      <c r="AV113" s="3">
        <f t="shared" si="3"/>
        <v>5128.631414</v>
      </c>
      <c r="AW113" s="3">
        <f t="shared" si="4"/>
        <v>7329.388853</v>
      </c>
      <c r="AX113" s="4">
        <f t="shared" si="5"/>
        <v>-0.04660133739</v>
      </c>
      <c r="AY113" s="4">
        <f t="shared" si="6"/>
        <v>0.03162690286</v>
      </c>
      <c r="AZ113" s="4">
        <f t="shared" si="7"/>
        <v>0.02648700908</v>
      </c>
    </row>
    <row r="114" ht="14.25" customHeight="1">
      <c r="A114" s="2" t="s">
        <v>258</v>
      </c>
      <c r="B114" s="3">
        <v>2391.8584</v>
      </c>
      <c r="C114" s="3">
        <v>2706.9148</v>
      </c>
      <c r="D114" s="3">
        <v>2833.7495</v>
      </c>
      <c r="E114" s="3">
        <v>2893.0438</v>
      </c>
      <c r="F114" s="3">
        <v>3019.5698</v>
      </c>
      <c r="G114" s="3">
        <v>3087.2437</v>
      </c>
      <c r="H114" s="3">
        <v>3147.8103</v>
      </c>
      <c r="I114" s="3">
        <v>3014.3287</v>
      </c>
      <c r="J114" s="3">
        <v>2868.4067</v>
      </c>
      <c r="K114" s="3">
        <v>3180.525</v>
      </c>
      <c r="L114" s="3">
        <v>3296.769</v>
      </c>
      <c r="M114" s="3">
        <v>3341.7018</v>
      </c>
      <c r="N114" s="3">
        <v>3430.8249</v>
      </c>
      <c r="O114" s="3">
        <v>3534.7818</v>
      </c>
      <c r="P114" s="3">
        <v>3708.478</v>
      </c>
      <c r="Q114" s="3">
        <v>3882.6497</v>
      </c>
      <c r="R114" s="3">
        <v>4046.473</v>
      </c>
      <c r="S114" s="3">
        <v>4230.8284</v>
      </c>
      <c r="T114" s="3">
        <v>4314.8192</v>
      </c>
      <c r="U114" s="3">
        <v>4541.7994</v>
      </c>
      <c r="V114" s="3">
        <v>4713.5455</v>
      </c>
      <c r="W114" s="3">
        <v>4884.9372</v>
      </c>
      <c r="X114" s="3">
        <v>5109.6236</v>
      </c>
      <c r="Y114" s="3">
        <v>5308.0295</v>
      </c>
      <c r="Z114" s="3">
        <v>5556.5874</v>
      </c>
      <c r="AA114" s="3">
        <v>5788.3564</v>
      </c>
      <c r="AB114" s="3">
        <v>5557.6159</v>
      </c>
      <c r="AC114" s="3">
        <v>6341.6604</v>
      </c>
      <c r="AD114" s="3">
        <v>6595.5897</v>
      </c>
      <c r="AE114" s="3">
        <v>6843.2676</v>
      </c>
      <c r="AF114" s="3">
        <v>7160.0586</v>
      </c>
      <c r="AG114" s="3">
        <v>7484.4191</v>
      </c>
      <c r="AH114" s="3">
        <v>7824.5222</v>
      </c>
      <c r="AI114" s="3">
        <v>8200.0933</v>
      </c>
      <c r="AJ114" s="3">
        <v>8576.3874</v>
      </c>
      <c r="AK114" s="3">
        <v>8960.0597</v>
      </c>
      <c r="AL114" s="3">
        <v>9357.8802</v>
      </c>
      <c r="AM114" s="3">
        <v>9765.7882</v>
      </c>
      <c r="AN114" s="3">
        <v>10124.5169</v>
      </c>
      <c r="AO114" s="3">
        <v>10415.3477</v>
      </c>
      <c r="AP114" s="3">
        <v>10487.9975</v>
      </c>
      <c r="AQ114" s="3">
        <v>10511.3367</v>
      </c>
      <c r="AR114" s="3">
        <v>10475.8272</v>
      </c>
      <c r="AS114" s="3">
        <v>11169.1155</v>
      </c>
      <c r="AT114" s="3">
        <v>11412.8517</v>
      </c>
      <c r="AU114" s="3">
        <f t="shared" si="2"/>
        <v>3097.06708</v>
      </c>
      <c r="AV114" s="3">
        <f t="shared" si="3"/>
        <v>5273.795229</v>
      </c>
      <c r="AW114" s="3">
        <f t="shared" si="4"/>
        <v>9461.746793</v>
      </c>
      <c r="AX114" s="4">
        <f t="shared" si="5"/>
        <v>0.03182085843</v>
      </c>
      <c r="AY114" s="4">
        <f t="shared" si="6"/>
        <v>0.04131252901</v>
      </c>
      <c r="AZ114" s="4">
        <f t="shared" si="7"/>
        <v>0.03059561697</v>
      </c>
    </row>
    <row r="115" ht="14.25" customHeight="1">
      <c r="A115" s="2" t="s">
        <v>259</v>
      </c>
      <c r="B115" s="3">
        <v>20914.7635</v>
      </c>
      <c r="C115" s="3">
        <v>20748.3112</v>
      </c>
      <c r="D115" s="3">
        <v>20017.2646</v>
      </c>
      <c r="E115" s="3">
        <v>19060.1284</v>
      </c>
      <c r="F115" s="3">
        <v>19302.0373</v>
      </c>
      <c r="G115" s="3">
        <v>19289.7179</v>
      </c>
      <c r="H115" s="3">
        <v>19344.8753</v>
      </c>
      <c r="I115" s="3">
        <v>19437.4111</v>
      </c>
      <c r="J115" s="3">
        <v>19114.8659</v>
      </c>
      <c r="K115" s="3">
        <v>18920.9747</v>
      </c>
      <c r="L115" s="3">
        <v>18516.9532</v>
      </c>
      <c r="M115" s="3">
        <v>18544.112</v>
      </c>
      <c r="N115" s="3">
        <v>18502.1139</v>
      </c>
      <c r="O115" s="3">
        <v>18668.7063</v>
      </c>
      <c r="P115" s="3">
        <v>19066.0081</v>
      </c>
      <c r="Q115" s="3">
        <v>18588.2099</v>
      </c>
      <c r="R115" s="3">
        <v>18926.7145</v>
      </c>
      <c r="S115" s="3">
        <v>19506.9879</v>
      </c>
      <c r="T115" s="3">
        <v>19643.3417</v>
      </c>
      <c r="U115" s="3">
        <v>19352.435</v>
      </c>
      <c r="V115" s="3">
        <v>19634.1021</v>
      </c>
      <c r="W115" s="3">
        <v>19319.8165</v>
      </c>
      <c r="X115" s="3">
        <v>18988.0317</v>
      </c>
      <c r="Y115" s="3">
        <v>18977.3921</v>
      </c>
      <c r="Z115" s="3">
        <v>19534.9866</v>
      </c>
      <c r="AA115" s="3">
        <v>19904.8497</v>
      </c>
      <c r="AB115" s="3">
        <v>20545.8804</v>
      </c>
      <c r="AC115" s="3">
        <v>21149.1128</v>
      </c>
      <c r="AD115" s="3">
        <v>21400.2613</v>
      </c>
      <c r="AE115" s="3">
        <v>20477.9835</v>
      </c>
      <c r="AF115" s="3">
        <v>21263.9076</v>
      </c>
      <c r="AG115" s="3">
        <v>21797.8432</v>
      </c>
      <c r="AH115" s="3">
        <v>21951.9761</v>
      </c>
      <c r="AI115" s="3">
        <v>22105.8291</v>
      </c>
      <c r="AJ115" s="3">
        <v>22019.033</v>
      </c>
      <c r="AK115" s="3">
        <v>21793.3634</v>
      </c>
      <c r="AL115" s="3">
        <v>21318.0851</v>
      </c>
      <c r="AM115" s="3">
        <v>21288.8264</v>
      </c>
      <c r="AN115" s="3">
        <v>21326.2047</v>
      </c>
      <c r="AO115" s="3">
        <v>21059.3769</v>
      </c>
      <c r="AP115" s="3">
        <v>19255.9794</v>
      </c>
      <c r="AQ115" s="3">
        <v>20347.5095</v>
      </c>
      <c r="AR115" s="3">
        <v>20861.146</v>
      </c>
      <c r="AS115" s="3">
        <v>21072.2563</v>
      </c>
      <c r="AT115" s="3">
        <v>21213.6499</v>
      </c>
      <c r="AU115" s="3">
        <f t="shared" si="2"/>
        <v>19296.54956</v>
      </c>
      <c r="AV115" s="3">
        <f t="shared" si="3"/>
        <v>19811.56399</v>
      </c>
      <c r="AW115" s="3">
        <f t="shared" si="4"/>
        <v>21244.99911</v>
      </c>
      <c r="AX115" s="4">
        <f t="shared" si="5"/>
        <v>-0.006588785864</v>
      </c>
      <c r="AY115" s="4">
        <f t="shared" si="6"/>
        <v>0.006939886607</v>
      </c>
      <c r="AZ115" s="4">
        <f t="shared" si="7"/>
        <v>-0.001938560804</v>
      </c>
    </row>
    <row r="116" ht="14.25" customHeight="1">
      <c r="A116" s="2" t="s">
        <v>260</v>
      </c>
      <c r="B116" s="3">
        <v>20489.6544</v>
      </c>
      <c r="C116" s="3">
        <v>20139.1574</v>
      </c>
      <c r="D116" s="3">
        <v>19449.7924</v>
      </c>
      <c r="E116" s="3">
        <v>18502.553</v>
      </c>
      <c r="F116" s="3">
        <v>18652.2316</v>
      </c>
      <c r="G116" s="3">
        <v>18655.5638</v>
      </c>
      <c r="H116" s="3">
        <v>18801.7743</v>
      </c>
      <c r="I116" s="3">
        <v>18892.0167</v>
      </c>
      <c r="J116" s="3">
        <v>18514.4538</v>
      </c>
      <c r="K116" s="3">
        <v>18324.8563</v>
      </c>
      <c r="L116" s="3">
        <v>17872.5561</v>
      </c>
      <c r="M116" s="3">
        <v>17973.5433</v>
      </c>
      <c r="N116" s="3">
        <v>17997.209</v>
      </c>
      <c r="O116" s="3">
        <v>18241.9584</v>
      </c>
      <c r="P116" s="3">
        <v>18676.9854</v>
      </c>
      <c r="Q116" s="3">
        <v>18396.8054</v>
      </c>
      <c r="R116" s="3">
        <v>18670.4569</v>
      </c>
      <c r="S116" s="3">
        <v>19196.4743</v>
      </c>
      <c r="T116" s="3">
        <v>19265.6353</v>
      </c>
      <c r="U116" s="3">
        <v>18889.5005</v>
      </c>
      <c r="V116" s="3">
        <v>19136.9701</v>
      </c>
      <c r="W116" s="3">
        <v>18801.2302</v>
      </c>
      <c r="X116" s="3">
        <v>18451.0053</v>
      </c>
      <c r="Y116" s="3">
        <v>18463.0421</v>
      </c>
      <c r="Z116" s="3">
        <v>19053.3922</v>
      </c>
      <c r="AA116" s="3">
        <v>19439.9317</v>
      </c>
      <c r="AB116" s="3">
        <v>20075.6409</v>
      </c>
      <c r="AC116" s="3">
        <v>20719.2387</v>
      </c>
      <c r="AD116" s="3">
        <v>21058.7869</v>
      </c>
      <c r="AE116" s="3">
        <v>20195.9415</v>
      </c>
      <c r="AF116" s="3">
        <v>21031.1769</v>
      </c>
      <c r="AG116" s="3">
        <v>21560.3226</v>
      </c>
      <c r="AH116" s="3">
        <v>21733.871</v>
      </c>
      <c r="AI116" s="3">
        <v>21952.7785</v>
      </c>
      <c r="AJ116" s="3">
        <v>21864.1682</v>
      </c>
      <c r="AK116" s="3">
        <v>21609.1501</v>
      </c>
      <c r="AL116" s="3">
        <v>21145.5611</v>
      </c>
      <c r="AM116" s="3">
        <v>21141.7528</v>
      </c>
      <c r="AN116" s="3">
        <v>21106.9343</v>
      </c>
      <c r="AO116" s="3">
        <v>20878.166</v>
      </c>
      <c r="AP116" s="3">
        <v>19178.9971</v>
      </c>
      <c r="AQ116" s="3">
        <v>20292.5084</v>
      </c>
      <c r="AR116" s="3">
        <v>20847.7679</v>
      </c>
      <c r="AS116" s="3">
        <v>21026.8926</v>
      </c>
      <c r="AT116" s="3">
        <v>21195.4766</v>
      </c>
      <c r="AU116" s="3">
        <f t="shared" si="2"/>
        <v>18745.62039</v>
      </c>
      <c r="AV116" s="3">
        <f t="shared" si="3"/>
        <v>19386.94619</v>
      </c>
      <c r="AW116" s="3">
        <f t="shared" si="4"/>
        <v>21104.36827</v>
      </c>
      <c r="AX116" s="4">
        <f t="shared" si="5"/>
        <v>-0.006594450313</v>
      </c>
      <c r="AY116" s="4">
        <f t="shared" si="6"/>
        <v>0.006686875008</v>
      </c>
      <c r="AZ116" s="4">
        <f t="shared" si="7"/>
        <v>-0.001218322801</v>
      </c>
    </row>
    <row r="117" ht="14.25" customHeight="1">
      <c r="A117" s="2" t="s">
        <v>261</v>
      </c>
      <c r="B117" s="3">
        <v>21407.2472</v>
      </c>
      <c r="C117" s="3">
        <v>21456.9421</v>
      </c>
      <c r="D117" s="3">
        <v>21467.9083</v>
      </c>
      <c r="E117" s="3">
        <v>21413.6326</v>
      </c>
      <c r="F117" s="3">
        <v>21359.3569</v>
      </c>
      <c r="G117" s="3">
        <v>21363.2437</v>
      </c>
      <c r="H117" s="3">
        <v>21346.3085</v>
      </c>
      <c r="I117" s="3">
        <v>21316.1862</v>
      </c>
      <c r="J117" s="3">
        <v>21286.758</v>
      </c>
      <c r="K117" s="3">
        <v>21290.0895</v>
      </c>
      <c r="L117" s="3">
        <v>21506.2205</v>
      </c>
      <c r="M117" s="3">
        <v>19298.2689</v>
      </c>
      <c r="N117" s="3">
        <v>12678.4396</v>
      </c>
      <c r="O117" s="3">
        <v>10973.5445</v>
      </c>
      <c r="P117" s="3">
        <v>11195.7833</v>
      </c>
      <c r="Q117" s="3">
        <v>11332.6525</v>
      </c>
      <c r="R117" s="3">
        <v>11669.9668</v>
      </c>
      <c r="S117" s="3">
        <v>12806.4248</v>
      </c>
      <c r="T117" s="3">
        <v>13700.7937</v>
      </c>
      <c r="U117" s="3">
        <v>14094.8824</v>
      </c>
      <c r="V117" s="3">
        <v>15025.8978</v>
      </c>
      <c r="W117" s="3">
        <v>16047.419</v>
      </c>
      <c r="X117" s="3">
        <v>17475.9384</v>
      </c>
      <c r="Y117" s="3">
        <v>18993.1591</v>
      </c>
      <c r="Z117" s="3">
        <v>20675.0113</v>
      </c>
      <c r="AA117" s="3">
        <v>23178.4947</v>
      </c>
      <c r="AB117" s="3">
        <v>26265.8235</v>
      </c>
      <c r="AC117" s="3">
        <v>29021.6681</v>
      </c>
      <c r="AD117" s="3">
        <v>28248.7601</v>
      </c>
      <c r="AE117" s="3">
        <v>23926.6941</v>
      </c>
      <c r="AF117" s="3">
        <v>23262.4763</v>
      </c>
      <c r="AG117" s="3">
        <v>24386.0247</v>
      </c>
      <c r="AH117" s="3">
        <v>26318.1558</v>
      </c>
      <c r="AI117" s="3">
        <v>27092.0355</v>
      </c>
      <c r="AJ117" s="3">
        <v>27965.1661</v>
      </c>
      <c r="AK117" s="3">
        <v>29286.9388</v>
      </c>
      <c r="AL117" s="3">
        <v>30388.6936</v>
      </c>
      <c r="AM117" s="3">
        <v>31821.655</v>
      </c>
      <c r="AN117" s="3">
        <v>33495.0397</v>
      </c>
      <c r="AO117" s="3">
        <v>34033.2157</v>
      </c>
      <c r="AP117" s="3">
        <v>33047.5082</v>
      </c>
      <c r="AQ117" s="3">
        <v>35657.1832</v>
      </c>
      <c r="AR117" s="3">
        <v>36558.3539</v>
      </c>
      <c r="AS117" s="3">
        <v>37405.1102</v>
      </c>
      <c r="AT117" s="3">
        <v>37405.8042</v>
      </c>
      <c r="AU117" s="3">
        <f t="shared" si="2"/>
        <v>19290.66199</v>
      </c>
      <c r="AV117" s="3">
        <f t="shared" si="3"/>
        <v>19366.49527</v>
      </c>
      <c r="AW117" s="3">
        <f t="shared" si="4"/>
        <v>31208.22406</v>
      </c>
      <c r="AX117" s="4">
        <f t="shared" si="5"/>
        <v>-0.04524398248</v>
      </c>
      <c r="AY117" s="4">
        <f t="shared" si="6"/>
        <v>0.05482939362</v>
      </c>
      <c r="AZ117" s="4">
        <f t="shared" si="7"/>
        <v>0.03102995867</v>
      </c>
    </row>
    <row r="118" ht="14.25" customHeight="1">
      <c r="A118" s="2" t="s">
        <v>262</v>
      </c>
      <c r="B118" s="3">
        <v>15041.4651</v>
      </c>
      <c r="C118" s="3">
        <v>14677.6518</v>
      </c>
      <c r="D118" s="3">
        <v>9070.579</v>
      </c>
      <c r="E118" s="3">
        <v>10907.337</v>
      </c>
      <c r="F118" s="3">
        <v>15351.5937</v>
      </c>
      <c r="G118" s="3">
        <v>18559.535</v>
      </c>
      <c r="H118" s="3">
        <v>16747.0879</v>
      </c>
      <c r="I118" s="3">
        <v>18922.3029</v>
      </c>
      <c r="J118" s="3">
        <v>13220.0197</v>
      </c>
      <c r="K118" s="3">
        <v>7410.3931</v>
      </c>
      <c r="L118" s="3">
        <v>9143.8445</v>
      </c>
      <c r="M118" s="3">
        <v>12302.1453</v>
      </c>
      <c r="N118" s="3">
        <v>12490.747</v>
      </c>
      <c r="O118" s="3">
        <v>13001.9683</v>
      </c>
      <c r="P118" s="3">
        <v>13674.7954</v>
      </c>
      <c r="Q118" s="3">
        <v>14169.4655</v>
      </c>
      <c r="R118" s="3">
        <v>14493.4377</v>
      </c>
      <c r="S118" s="3">
        <v>13781.6486</v>
      </c>
      <c r="T118" s="3">
        <v>13893.7813</v>
      </c>
      <c r="U118" s="3">
        <v>13458.0828</v>
      </c>
      <c r="V118" s="3">
        <v>13274.8182</v>
      </c>
      <c r="W118" s="3">
        <v>13422.2539</v>
      </c>
      <c r="X118" s="3">
        <v>13551.0956</v>
      </c>
      <c r="Y118" s="3">
        <v>13652.2553</v>
      </c>
      <c r="Z118" s="3">
        <v>14123.2803</v>
      </c>
      <c r="AA118" s="3">
        <v>14121.9148</v>
      </c>
      <c r="AB118" s="3">
        <v>13947.7039</v>
      </c>
      <c r="AC118" s="3">
        <v>14788.1513</v>
      </c>
      <c r="AD118" s="3">
        <v>15691.8034</v>
      </c>
      <c r="AE118" s="3">
        <v>16873.6509</v>
      </c>
      <c r="AF118" s="3">
        <v>17865.8801</v>
      </c>
      <c r="AG118" s="3">
        <v>17676.5572</v>
      </c>
      <c r="AH118" s="3">
        <v>17516.8321</v>
      </c>
      <c r="AI118" s="3">
        <v>16480.5203</v>
      </c>
      <c r="AJ118" s="3">
        <v>15212.8266</v>
      </c>
      <c r="AK118" s="3">
        <v>15023.8163</v>
      </c>
      <c r="AL118" s="3">
        <v>15762.1811</v>
      </c>
      <c r="AM118" s="3">
        <v>16484.2978</v>
      </c>
      <c r="AN118" s="3">
        <v>16818.1249</v>
      </c>
      <c r="AO118" s="3">
        <v>16264.0169</v>
      </c>
      <c r="AP118" s="3">
        <v>12639.2015</v>
      </c>
      <c r="AQ118" s="3">
        <v>12551.1984</v>
      </c>
      <c r="AR118" s="3">
        <v>12634.3583</v>
      </c>
      <c r="AS118" s="3">
        <v>12490.8111</v>
      </c>
      <c r="AT118" s="3">
        <v>11408.2756</v>
      </c>
      <c r="AU118" s="3">
        <f t="shared" si="2"/>
        <v>13368.09771</v>
      </c>
      <c r="AV118" s="3">
        <f t="shared" si="3"/>
        <v>14219.56271</v>
      </c>
      <c r="AW118" s="3">
        <f t="shared" si="4"/>
        <v>15121.92655</v>
      </c>
      <c r="AX118" s="4">
        <f t="shared" si="5"/>
        <v>-0.006780929375</v>
      </c>
      <c r="AY118" s="4">
        <f t="shared" si="6"/>
        <v>0.01255414665</v>
      </c>
      <c r="AZ118" s="4">
        <f t="shared" si="7"/>
        <v>-0.03079447744</v>
      </c>
    </row>
    <row r="119" ht="14.25" customHeight="1">
      <c r="A119" s="2" t="s">
        <v>263</v>
      </c>
      <c r="B119" s="3">
        <v>1873.6207</v>
      </c>
      <c r="C119" s="3">
        <v>1843.0517</v>
      </c>
      <c r="D119" s="3">
        <v>1858.3753</v>
      </c>
      <c r="E119" s="3">
        <v>1654.5965</v>
      </c>
      <c r="F119" s="3">
        <v>1655.2895</v>
      </c>
      <c r="G119" s="3">
        <v>1763.3039</v>
      </c>
      <c r="H119" s="3">
        <v>1745.7784</v>
      </c>
      <c r="I119" s="3">
        <v>1788.7204</v>
      </c>
      <c r="J119" s="3">
        <v>1942.9404</v>
      </c>
      <c r="K119" s="3">
        <v>2063.8531</v>
      </c>
      <c r="L119" s="3">
        <v>2159.4163</v>
      </c>
      <c r="M119" s="3">
        <v>2211.3446</v>
      </c>
      <c r="N119" s="3">
        <v>2274.3269</v>
      </c>
      <c r="O119" s="3">
        <v>2321.9074</v>
      </c>
      <c r="P119" s="3">
        <v>2364.3352</v>
      </c>
      <c r="Q119" s="3">
        <v>2437.8015</v>
      </c>
      <c r="R119" s="3">
        <v>2640.0715</v>
      </c>
      <c r="S119" s="3">
        <v>2820.7139</v>
      </c>
      <c r="T119" s="3">
        <v>2653.4056</v>
      </c>
      <c r="U119" s="3">
        <v>2705.3116</v>
      </c>
      <c r="V119" s="3">
        <v>2822.9829</v>
      </c>
      <c r="W119" s="3">
        <v>2927.1189</v>
      </c>
      <c r="X119" s="3">
        <v>2933.3445</v>
      </c>
      <c r="Y119" s="3">
        <v>3066.7194</v>
      </c>
      <c r="Z119" s="3">
        <v>3139.7275</v>
      </c>
      <c r="AA119" s="3">
        <v>3234.3854</v>
      </c>
      <c r="AB119" s="3">
        <v>3365.4803</v>
      </c>
      <c r="AC119" s="3">
        <v>3794.1848</v>
      </c>
      <c r="AD119" s="3">
        <v>3924.7321</v>
      </c>
      <c r="AE119" s="3">
        <v>3817.7348</v>
      </c>
      <c r="AF119" s="3">
        <v>3959.2131</v>
      </c>
      <c r="AG119" s="3">
        <v>4082.797</v>
      </c>
      <c r="AH119" s="3">
        <v>4281.0768</v>
      </c>
      <c r="AI119" s="3">
        <v>4293.3603</v>
      </c>
      <c r="AJ119" s="3">
        <v>4297.0151</v>
      </c>
      <c r="AK119" s="3">
        <v>4353.2242</v>
      </c>
      <c r="AL119" s="3">
        <v>4445.8144</v>
      </c>
      <c r="AM119" s="3">
        <v>4234.4464</v>
      </c>
      <c r="AN119" s="3">
        <v>4102.6362</v>
      </c>
      <c r="AO119" s="3">
        <v>3988.3291</v>
      </c>
      <c r="AP119" s="3">
        <v>3603.2148</v>
      </c>
      <c r="AQ119" s="3">
        <v>3638.9477</v>
      </c>
      <c r="AR119" s="3">
        <v>3644.3126</v>
      </c>
      <c r="AS119" s="3">
        <v>3660.4075</v>
      </c>
      <c r="AT119" s="3">
        <v>3630.699</v>
      </c>
      <c r="AU119" s="3">
        <f t="shared" si="2"/>
        <v>1968.057353</v>
      </c>
      <c r="AV119" s="3">
        <f t="shared" si="3"/>
        <v>3131.850943</v>
      </c>
      <c r="AW119" s="3">
        <f t="shared" si="4"/>
        <v>4014.36628</v>
      </c>
      <c r="AX119" s="4">
        <f t="shared" si="5"/>
        <v>0.01675482229</v>
      </c>
      <c r="AY119" s="4">
        <f t="shared" si="6"/>
        <v>0.03255885506</v>
      </c>
      <c r="AZ119" s="4">
        <f t="shared" si="7"/>
        <v>-0.008347613631</v>
      </c>
    </row>
    <row r="120" ht="14.25" customHeight="1">
      <c r="A120" s="2" t="s">
        <v>264</v>
      </c>
      <c r="B120" s="3">
        <v>4658.1208</v>
      </c>
      <c r="C120" s="3">
        <v>4360.1819</v>
      </c>
      <c r="D120" s="3">
        <v>4318.9401</v>
      </c>
      <c r="E120" s="3">
        <v>4051.6757</v>
      </c>
      <c r="F120" s="3">
        <v>3906.8157</v>
      </c>
      <c r="G120" s="3">
        <v>3711.0273</v>
      </c>
      <c r="H120" s="3">
        <v>3559.7095</v>
      </c>
      <c r="I120" s="3">
        <v>3518.0274</v>
      </c>
      <c r="J120" s="3">
        <v>3508.6343</v>
      </c>
      <c r="K120" s="3">
        <v>3497.1864</v>
      </c>
      <c r="L120" s="3">
        <v>1941.4463</v>
      </c>
      <c r="M120" s="3">
        <v>1899.0303</v>
      </c>
      <c r="N120" s="3">
        <v>1163.723</v>
      </c>
      <c r="O120" s="3">
        <v>749.8374</v>
      </c>
      <c r="P120" s="3">
        <v>587.8056</v>
      </c>
      <c r="Q120" s="3">
        <v>556.9843</v>
      </c>
      <c r="R120" s="3">
        <v>605.4177</v>
      </c>
      <c r="S120" s="3">
        <v>1153.1557</v>
      </c>
      <c r="T120" s="3">
        <v>1354.3745</v>
      </c>
      <c r="U120" s="3">
        <v>1556.474</v>
      </c>
      <c r="V120" s="3">
        <v>1925.155</v>
      </c>
      <c r="W120" s="3">
        <v>1920.4584</v>
      </c>
      <c r="X120" s="3">
        <v>1937.7771</v>
      </c>
      <c r="Y120" s="3">
        <v>1340.4316</v>
      </c>
      <c r="Z120" s="3">
        <v>1357.3099</v>
      </c>
      <c r="AA120" s="3">
        <v>1365.5289</v>
      </c>
      <c r="AB120" s="3">
        <v>1485.8786</v>
      </c>
      <c r="AC120" s="3">
        <v>1971.3869</v>
      </c>
      <c r="AD120" s="3">
        <v>2061.9427</v>
      </c>
      <c r="AE120" s="3">
        <v>2180.5312</v>
      </c>
      <c r="AF120" s="3">
        <v>2303.2292</v>
      </c>
      <c r="AG120" s="3">
        <v>2411.3972</v>
      </c>
      <c r="AH120" s="3">
        <v>2614.6708</v>
      </c>
      <c r="AI120" s="3">
        <v>2718.876</v>
      </c>
      <c r="AJ120" s="3">
        <v>2840.6934</v>
      </c>
      <c r="AK120" s="3">
        <v>3075.2286</v>
      </c>
      <c r="AL120" s="3">
        <v>3041.0316</v>
      </c>
      <c r="AM120" s="3">
        <v>3142.008</v>
      </c>
      <c r="AN120" s="3">
        <v>3241.2231</v>
      </c>
      <c r="AO120" s="3">
        <v>3095.6293</v>
      </c>
      <c r="AP120" s="3">
        <v>2908.2067</v>
      </c>
      <c r="AQ120" s="3">
        <v>2908.7937</v>
      </c>
      <c r="AR120" s="3">
        <v>2838.3451</v>
      </c>
      <c r="AS120" s="3">
        <v>2896.4652</v>
      </c>
      <c r="AT120" s="3">
        <v>2947.9808</v>
      </c>
      <c r="AU120" s="3">
        <f t="shared" si="2"/>
        <v>3028.81078</v>
      </c>
      <c r="AV120" s="3">
        <f t="shared" si="3"/>
        <v>1586.844443</v>
      </c>
      <c r="AW120" s="3">
        <f t="shared" si="4"/>
        <v>2865.585247</v>
      </c>
      <c r="AX120" s="4">
        <f t="shared" si="5"/>
        <v>-0.1374438914</v>
      </c>
      <c r="AY120" s="4">
        <f t="shared" si="6"/>
        <v>0.1023946491</v>
      </c>
      <c r="AZ120" s="4">
        <f t="shared" si="7"/>
        <v>0.01445447946</v>
      </c>
    </row>
    <row r="121" ht="14.25" customHeight="1">
      <c r="A121" s="2" t="s">
        <v>265</v>
      </c>
      <c r="B121" s="3">
        <v>77668.7465</v>
      </c>
      <c r="C121" s="3">
        <v>58878.3043</v>
      </c>
      <c r="D121" s="3">
        <v>58222.3776</v>
      </c>
      <c r="E121" s="3">
        <v>56082.73</v>
      </c>
      <c r="F121" s="3">
        <v>51768.0265</v>
      </c>
      <c r="G121" s="3">
        <v>53618.4542</v>
      </c>
      <c r="H121" s="3">
        <v>45581.3573</v>
      </c>
      <c r="I121" s="3">
        <v>37375.0423</v>
      </c>
      <c r="J121" s="3">
        <v>38691.9451</v>
      </c>
      <c r="K121" s="3">
        <v>39914.405</v>
      </c>
      <c r="L121" s="3">
        <v>39826.9751</v>
      </c>
      <c r="M121" s="3">
        <v>44292.2887</v>
      </c>
      <c r="N121" s="3">
        <v>41429.0146</v>
      </c>
      <c r="O121" s="3">
        <v>38341.2282</v>
      </c>
      <c r="P121" s="3">
        <v>37602.921</v>
      </c>
      <c r="Q121" s="3">
        <v>35377.5267</v>
      </c>
      <c r="R121" s="3">
        <v>34842.381</v>
      </c>
      <c r="S121" s="3">
        <v>35400.3115</v>
      </c>
      <c r="T121" s="3">
        <v>32991.4858</v>
      </c>
      <c r="U121" s="3">
        <v>32123.2962</v>
      </c>
      <c r="V121" s="3">
        <v>31884.3212</v>
      </c>
      <c r="W121" s="3">
        <v>31184.2276</v>
      </c>
      <c r="X121" s="3">
        <v>30543.5427</v>
      </c>
      <c r="Y121" s="3">
        <v>34262.4451</v>
      </c>
      <c r="Z121" s="3">
        <v>35539.9499</v>
      </c>
      <c r="AA121" s="3">
        <v>38909.2263</v>
      </c>
      <c r="AB121" s="3">
        <v>40303.1485</v>
      </c>
      <c r="AC121" s="3">
        <v>41469.5036</v>
      </c>
      <c r="AD121" s="3">
        <v>40115.3534</v>
      </c>
      <c r="AE121" s="3">
        <v>37192.6707</v>
      </c>
      <c r="AF121" s="3">
        <v>37982.3449</v>
      </c>
      <c r="AG121" s="3">
        <v>19446.2442</v>
      </c>
      <c r="AH121" s="3">
        <v>37623.7733</v>
      </c>
      <c r="AI121" s="3">
        <v>30122.4455</v>
      </c>
      <c r="AJ121" s="3">
        <v>22665.7209</v>
      </c>
      <c r="AK121" s="3">
        <v>22062.1898</v>
      </c>
      <c r="AL121" s="3">
        <v>21335.7893</v>
      </c>
      <c r="AM121" s="3">
        <v>27704.6119</v>
      </c>
      <c r="AN121" s="3">
        <v>29272.0224</v>
      </c>
      <c r="AO121" s="3">
        <v>25351.3299</v>
      </c>
      <c r="AP121" s="3">
        <v>12556.7385</v>
      </c>
      <c r="AQ121" s="3">
        <v>15522.4037</v>
      </c>
      <c r="AR121" s="3">
        <v>13485.7394</v>
      </c>
      <c r="AS121" s="3">
        <v>14681.1132</v>
      </c>
      <c r="AT121" s="3">
        <v>13600.3801</v>
      </c>
      <c r="AU121" s="3">
        <f t="shared" si="2"/>
        <v>47952.92109</v>
      </c>
      <c r="AV121" s="3">
        <f t="shared" si="3"/>
        <v>35482.99025</v>
      </c>
      <c r="AW121" s="3">
        <f t="shared" si="4"/>
        <v>22894.1898</v>
      </c>
      <c r="AX121" s="4">
        <f t="shared" si="5"/>
        <v>-0.05049286026</v>
      </c>
      <c r="AY121" s="4">
        <f t="shared" si="6"/>
        <v>0.003580318233</v>
      </c>
      <c r="AZ121" s="4">
        <f t="shared" si="7"/>
        <v>-0.02521634928</v>
      </c>
    </row>
    <row r="122" ht="14.25" customHeight="1">
      <c r="A122" s="2" t="s">
        <v>266</v>
      </c>
      <c r="B122" s="3">
        <v>103011.3925</v>
      </c>
      <c r="C122" s="3">
        <v>105784.081</v>
      </c>
      <c r="D122" s="3">
        <v>102351.5739</v>
      </c>
      <c r="E122" s="3">
        <v>100949.6738</v>
      </c>
      <c r="F122" s="3">
        <v>103154.7873</v>
      </c>
      <c r="G122" s="3">
        <v>108125.0257</v>
      </c>
      <c r="H122" s="3">
        <v>110017.9301</v>
      </c>
      <c r="I122" s="3">
        <v>117538.3183</v>
      </c>
      <c r="J122" s="3">
        <v>121308.6101</v>
      </c>
      <c r="K122" s="3">
        <v>128196.0029</v>
      </c>
      <c r="L122" s="3">
        <v>122190.6555</v>
      </c>
      <c r="M122" s="3">
        <v>126301.3051</v>
      </c>
      <c r="N122" s="3">
        <v>125213.0177</v>
      </c>
      <c r="O122" s="3">
        <v>123724.8</v>
      </c>
      <c r="P122" s="3">
        <v>124691.2916</v>
      </c>
      <c r="Q122" s="3">
        <v>125149.5466</v>
      </c>
      <c r="R122" s="3">
        <v>128989.7034</v>
      </c>
      <c r="S122" s="3">
        <v>140105.2531</v>
      </c>
      <c r="T122" s="3">
        <v>147643.7314</v>
      </c>
      <c r="U122" s="3">
        <v>160815.4636</v>
      </c>
      <c r="V122" s="3">
        <v>163700.903</v>
      </c>
      <c r="W122" s="3">
        <v>160433.1556</v>
      </c>
      <c r="X122" s="3">
        <v>157181.4709</v>
      </c>
      <c r="Y122" s="3">
        <v>152306.4391</v>
      </c>
      <c r="Z122" s="3">
        <v>154989.847</v>
      </c>
      <c r="AA122" s="3">
        <v>160461.7722</v>
      </c>
      <c r="AB122" s="3">
        <v>172675.668</v>
      </c>
      <c r="AC122" s="3">
        <v>186619.5019</v>
      </c>
      <c r="AD122" s="3">
        <v>179624.0367</v>
      </c>
      <c r="AE122" s="3">
        <v>158826.0271</v>
      </c>
      <c r="AF122" s="3">
        <v>168458.8953</v>
      </c>
      <c r="AG122" s="3">
        <v>159404.9084</v>
      </c>
      <c r="AH122" s="3">
        <v>159464.8706</v>
      </c>
      <c r="AI122" s="3">
        <v>165054.6929</v>
      </c>
      <c r="AJ122" s="3">
        <v>168135.224</v>
      </c>
      <c r="AK122" s="3">
        <v>166589.6172</v>
      </c>
      <c r="AL122" s="3">
        <v>169108.2654</v>
      </c>
      <c r="AM122" s="3">
        <v>172535.0024</v>
      </c>
      <c r="AN122" s="3">
        <v>172359.2483</v>
      </c>
      <c r="AO122" s="3">
        <v>171126.1625</v>
      </c>
      <c r="AP122" s="3">
        <v>167900.6773</v>
      </c>
      <c r="AQ122" s="3">
        <v>167004.3626</v>
      </c>
      <c r="AR122" s="3">
        <v>169442.4633</v>
      </c>
      <c r="AS122" s="3">
        <v>173756.5479</v>
      </c>
      <c r="AT122" s="3">
        <v>176126.811</v>
      </c>
      <c r="AU122" s="3">
        <f t="shared" si="2"/>
        <v>114837.231</v>
      </c>
      <c r="AV122" s="3">
        <f t="shared" si="3"/>
        <v>158883.7838</v>
      </c>
      <c r="AW122" s="3">
        <f t="shared" si="4"/>
        <v>168431.1833</v>
      </c>
      <c r="AX122" s="4">
        <f t="shared" si="5"/>
        <v>0.01373644888</v>
      </c>
      <c r="AY122" s="4">
        <f t="shared" si="6"/>
        <v>0.01716712136</v>
      </c>
      <c r="AZ122" s="4">
        <f t="shared" si="7"/>
        <v>0.00715092475</v>
      </c>
    </row>
    <row r="123" ht="14.25" customHeight="1">
      <c r="A123" s="2" t="s">
        <v>267</v>
      </c>
      <c r="B123" s="3">
        <v>22537.3208</v>
      </c>
      <c r="C123" s="3">
        <v>22535.4428</v>
      </c>
      <c r="D123" s="3">
        <v>22529.6748</v>
      </c>
      <c r="E123" s="3">
        <v>22502.8469</v>
      </c>
      <c r="F123" s="3">
        <v>22492.7865</v>
      </c>
      <c r="G123" s="3">
        <v>22525.5165</v>
      </c>
      <c r="H123" s="3">
        <v>22541.2108</v>
      </c>
      <c r="I123" s="3">
        <v>22546.8447</v>
      </c>
      <c r="J123" s="3">
        <v>22440.8745</v>
      </c>
      <c r="K123" s="3">
        <v>22435.3747</v>
      </c>
      <c r="L123" s="3">
        <v>22699.6296</v>
      </c>
      <c r="M123" s="3">
        <v>21298.2739</v>
      </c>
      <c r="N123" s="3">
        <v>16723.0424</v>
      </c>
      <c r="O123" s="3">
        <v>14024.289</v>
      </c>
      <c r="P123" s="3">
        <v>12692.2833</v>
      </c>
      <c r="Q123" s="3">
        <v>13159.2231</v>
      </c>
      <c r="R123" s="3">
        <v>13876.0648</v>
      </c>
      <c r="S123" s="3">
        <v>15092.8446</v>
      </c>
      <c r="T123" s="3">
        <v>16285.3451</v>
      </c>
      <c r="U123" s="3">
        <v>16137.5233</v>
      </c>
      <c r="V123" s="3">
        <v>16779.1127</v>
      </c>
      <c r="W123" s="3">
        <v>17825.8036</v>
      </c>
      <c r="X123" s="3">
        <v>19147.4805</v>
      </c>
      <c r="Y123" s="3">
        <v>21147.9034</v>
      </c>
      <c r="Z123" s="3">
        <v>22525.1141</v>
      </c>
      <c r="AA123" s="3">
        <v>24466.9181</v>
      </c>
      <c r="AB123" s="3">
        <v>26531.9963</v>
      </c>
      <c r="AC123" s="3">
        <v>29582.1953</v>
      </c>
      <c r="AD123" s="3">
        <v>30559.536</v>
      </c>
      <c r="AE123" s="3">
        <v>26121.9317</v>
      </c>
      <c r="AF123" s="3">
        <v>26518.9848</v>
      </c>
      <c r="AG123" s="3">
        <v>28832.087</v>
      </c>
      <c r="AH123" s="3">
        <v>30256.1124</v>
      </c>
      <c r="AI123" s="3">
        <v>31624.7381</v>
      </c>
      <c r="AJ123" s="3">
        <v>33015.631</v>
      </c>
      <c r="AK123" s="3">
        <v>34153.9392</v>
      </c>
      <c r="AL123" s="3">
        <v>35438.8618</v>
      </c>
      <c r="AM123" s="3">
        <v>37549.0109</v>
      </c>
      <c r="AN123" s="3">
        <v>39636.7588</v>
      </c>
      <c r="AO123" s="3">
        <v>41506.664</v>
      </c>
      <c r="AP123" s="3">
        <v>41319.9417</v>
      </c>
      <c r="AQ123" s="3">
        <v>43899.9816</v>
      </c>
      <c r="AR123" s="3">
        <v>44825.2762</v>
      </c>
      <c r="AS123" s="3">
        <v>44696.234</v>
      </c>
      <c r="AT123" s="3">
        <v>45779.679</v>
      </c>
      <c r="AU123" s="3">
        <f t="shared" si="2"/>
        <v>20835.02741</v>
      </c>
      <c r="AV123" s="3">
        <f t="shared" si="3"/>
        <v>21148.55496</v>
      </c>
      <c r="AW123" s="3">
        <f t="shared" si="4"/>
        <v>37270.26003</v>
      </c>
      <c r="AX123" s="4">
        <f t="shared" si="5"/>
        <v>-0.04018310387</v>
      </c>
      <c r="AY123" s="4">
        <f t="shared" si="6"/>
        <v>0.05019427314</v>
      </c>
      <c r="AZ123" s="4">
        <f t="shared" si="7"/>
        <v>0.03357648197</v>
      </c>
    </row>
    <row r="124" ht="14.25" customHeight="1">
      <c r="A124" s="2" t="s">
        <v>268</v>
      </c>
      <c r="B124" s="3">
        <v>55236.0962</v>
      </c>
      <c r="C124" s="3">
        <v>54539.337</v>
      </c>
      <c r="D124" s="3">
        <v>54807.5511</v>
      </c>
      <c r="E124" s="3">
        <v>56033.5188</v>
      </c>
      <c r="F124" s="3">
        <v>59034.2475</v>
      </c>
      <c r="G124" s="3">
        <v>60162.9543</v>
      </c>
      <c r="H124" s="3">
        <v>65470.059</v>
      </c>
      <c r="I124" s="3">
        <v>67314.6121</v>
      </c>
      <c r="J124" s="3">
        <v>72230.5159</v>
      </c>
      <c r="K124" s="3">
        <v>78451.142</v>
      </c>
      <c r="L124" s="3">
        <v>81656.1018</v>
      </c>
      <c r="M124" s="3">
        <v>87567.4352</v>
      </c>
      <c r="N124" s="3">
        <v>88083.2827</v>
      </c>
      <c r="O124" s="3">
        <v>90799.1999</v>
      </c>
      <c r="P124" s="3">
        <v>93281.1765</v>
      </c>
      <c r="Q124" s="3">
        <v>93547.3989</v>
      </c>
      <c r="R124" s="3">
        <v>93900.7578</v>
      </c>
      <c r="S124" s="3">
        <v>98036.7493</v>
      </c>
      <c r="T124" s="3">
        <v>103502.4423</v>
      </c>
      <c r="U124" s="3">
        <v>110637.2537</v>
      </c>
      <c r="V124" s="3">
        <v>116771.0754</v>
      </c>
      <c r="W124" s="3">
        <v>118796.5403</v>
      </c>
      <c r="X124" s="3">
        <v>121260.5087</v>
      </c>
      <c r="Y124" s="3">
        <v>122837.1797</v>
      </c>
      <c r="Z124" s="3">
        <v>126155.3338</v>
      </c>
      <c r="AA124" s="3">
        <v>127157.3194</v>
      </c>
      <c r="AB124" s="3">
        <v>132444.6732</v>
      </c>
      <c r="AC124" s="3">
        <v>140716.6562</v>
      </c>
      <c r="AD124" s="3">
        <v>137472.1946</v>
      </c>
      <c r="AE124" s="3">
        <v>130140.2889</v>
      </c>
      <c r="AF124" s="3">
        <v>132160.9405</v>
      </c>
      <c r="AG124" s="3">
        <v>129937.8005</v>
      </c>
      <c r="AH124" s="3">
        <v>128805.4422</v>
      </c>
      <c r="AI124" s="3">
        <v>129375.5632</v>
      </c>
      <c r="AJ124" s="3">
        <v>129140.046</v>
      </c>
      <c r="AK124" s="3">
        <v>128527.0206</v>
      </c>
      <c r="AL124" s="3">
        <v>131321.9414</v>
      </c>
      <c r="AM124" s="3">
        <v>129445.6873</v>
      </c>
      <c r="AN124" s="3">
        <v>128235.7361</v>
      </c>
      <c r="AO124" s="3">
        <v>129014.2376</v>
      </c>
      <c r="AP124" s="3">
        <v>125282.2271</v>
      </c>
      <c r="AQ124" s="3">
        <v>131713.8063</v>
      </c>
      <c r="AR124" s="3">
        <v>130093.4012</v>
      </c>
      <c r="AS124" s="3">
        <v>127841.2157</v>
      </c>
      <c r="AT124" s="3">
        <v>131576.7117</v>
      </c>
      <c r="AU124" s="3">
        <f t="shared" si="2"/>
        <v>70977.81533</v>
      </c>
      <c r="AV124" s="3">
        <f t="shared" si="3"/>
        <v>119987.7838</v>
      </c>
      <c r="AW124" s="3">
        <f t="shared" si="4"/>
        <v>129498.1185</v>
      </c>
      <c r="AX124" s="4">
        <f t="shared" si="5"/>
        <v>0.03813796622</v>
      </c>
      <c r="AY124" s="4">
        <f t="shared" si="6"/>
        <v>0.0238620175</v>
      </c>
      <c r="AZ124" s="4">
        <f t="shared" si="7"/>
        <v>0.0008956981982</v>
      </c>
    </row>
    <row r="125" ht="14.25" customHeight="1">
      <c r="A125" s="2" t="s">
        <v>269</v>
      </c>
      <c r="B125" s="3">
        <v>24834.5779</v>
      </c>
      <c r="C125" s="3">
        <v>23706.4012</v>
      </c>
      <c r="D125" s="3">
        <v>21833.2883</v>
      </c>
      <c r="E125" s="3">
        <v>20915.6654</v>
      </c>
      <c r="F125" s="3">
        <v>20367.2461</v>
      </c>
      <c r="G125" s="3">
        <v>19879.5447</v>
      </c>
      <c r="H125" s="3">
        <v>20006.8563</v>
      </c>
      <c r="I125" s="3">
        <v>19370.1351</v>
      </c>
      <c r="J125" s="3">
        <v>19495.1616</v>
      </c>
      <c r="K125" s="3">
        <v>18823.8377</v>
      </c>
      <c r="L125" s="3">
        <v>19636.1837</v>
      </c>
      <c r="M125" s="3">
        <v>19564.3669</v>
      </c>
      <c r="N125" s="3">
        <v>20256.4197</v>
      </c>
      <c r="O125" s="3">
        <v>20405.7661</v>
      </c>
      <c r="P125" s="3">
        <v>20229.9781</v>
      </c>
      <c r="Q125" s="3">
        <v>20331.0113</v>
      </c>
      <c r="R125" s="3">
        <v>21053.2598</v>
      </c>
      <c r="S125" s="3">
        <v>21414.629</v>
      </c>
      <c r="T125" s="3">
        <v>21799.9914</v>
      </c>
      <c r="U125" s="3">
        <v>21161.3115</v>
      </c>
      <c r="V125" s="3">
        <v>21481.0595</v>
      </c>
      <c r="W125" s="3">
        <v>20781.6617</v>
      </c>
      <c r="X125" s="3">
        <v>20657.4513</v>
      </c>
      <c r="Y125" s="3">
        <v>21112.6719</v>
      </c>
      <c r="Z125" s="3">
        <v>22155.4846</v>
      </c>
      <c r="AA125" s="3">
        <v>22612.9903</v>
      </c>
      <c r="AB125" s="3">
        <v>23152.5957</v>
      </c>
      <c r="AC125" s="3">
        <v>23601.4507</v>
      </c>
      <c r="AD125" s="3">
        <v>23813.3103</v>
      </c>
      <c r="AE125" s="3">
        <v>23196.9915</v>
      </c>
      <c r="AF125" s="3">
        <v>23734.3118</v>
      </c>
      <c r="AG125" s="3">
        <v>24424.7324</v>
      </c>
      <c r="AH125" s="3">
        <v>24069.8921</v>
      </c>
      <c r="AI125" s="3">
        <v>23759.2844</v>
      </c>
      <c r="AJ125" s="3">
        <v>23685.3458</v>
      </c>
      <c r="AK125" s="3">
        <v>23948.9461</v>
      </c>
      <c r="AL125" s="3">
        <v>24330.8809</v>
      </c>
      <c r="AM125" s="3">
        <v>24547.8003</v>
      </c>
      <c r="AN125" s="3">
        <v>24486.9193</v>
      </c>
      <c r="AO125" s="3">
        <v>24277.3448</v>
      </c>
      <c r="AP125" s="3">
        <v>23311.4087</v>
      </c>
      <c r="AQ125" s="3">
        <v>24117.2259</v>
      </c>
      <c r="AR125" s="3">
        <v>25020.6487</v>
      </c>
      <c r="AS125" s="3">
        <v>25048.0697</v>
      </c>
      <c r="AT125" s="3">
        <v>25010.3658</v>
      </c>
      <c r="AU125" s="3">
        <f t="shared" si="2"/>
        <v>20621.69525</v>
      </c>
      <c r="AV125" s="3">
        <f t="shared" si="3"/>
        <v>21999.6328</v>
      </c>
      <c r="AW125" s="3">
        <f t="shared" si="4"/>
        <v>24251.54511</v>
      </c>
      <c r="AX125" s="4">
        <f t="shared" si="5"/>
        <v>-0.01454119657</v>
      </c>
      <c r="AY125" s="4">
        <f t="shared" si="6"/>
        <v>0.009464163395</v>
      </c>
      <c r="AZ125" s="4">
        <f t="shared" si="7"/>
        <v>0.00169387077</v>
      </c>
    </row>
    <row r="126" ht="14.25" customHeight="1">
      <c r="A126" s="2" t="s">
        <v>270</v>
      </c>
      <c r="B126" s="3">
        <v>22105.3818</v>
      </c>
      <c r="C126" s="3">
        <v>21068.3079</v>
      </c>
      <c r="D126" s="3">
        <v>19779.0041</v>
      </c>
      <c r="E126" s="3">
        <v>19169.4087</v>
      </c>
      <c r="F126" s="3">
        <v>18852.4382</v>
      </c>
      <c r="G126" s="3">
        <v>18319.3482</v>
      </c>
      <c r="H126" s="3">
        <v>18225.6375</v>
      </c>
      <c r="I126" s="3">
        <v>18041.8205</v>
      </c>
      <c r="J126" s="3">
        <v>18012.1023</v>
      </c>
      <c r="K126" s="3">
        <v>17719.2735</v>
      </c>
      <c r="L126" s="3">
        <v>18537.5078</v>
      </c>
      <c r="M126" s="3">
        <v>18389.2572</v>
      </c>
      <c r="N126" s="3">
        <v>18845.3657</v>
      </c>
      <c r="O126" s="3">
        <v>18991.8481</v>
      </c>
      <c r="P126" s="3">
        <v>18639.991</v>
      </c>
      <c r="Q126" s="3">
        <v>18656.7882</v>
      </c>
      <c r="R126" s="3">
        <v>19296.4418</v>
      </c>
      <c r="S126" s="3">
        <v>19625.3132</v>
      </c>
      <c r="T126" s="3">
        <v>19889.988</v>
      </c>
      <c r="U126" s="3">
        <v>19516.5054</v>
      </c>
      <c r="V126" s="3">
        <v>19866.3224</v>
      </c>
      <c r="W126" s="3">
        <v>19301.6102</v>
      </c>
      <c r="X126" s="3">
        <v>19186.1379</v>
      </c>
      <c r="Y126" s="3">
        <v>19491.8877</v>
      </c>
      <c r="Z126" s="3">
        <v>20413.8973</v>
      </c>
      <c r="AA126" s="3">
        <v>20905.8444</v>
      </c>
      <c r="AB126" s="3">
        <v>21399.8995</v>
      </c>
      <c r="AC126" s="3">
        <v>21768.8258</v>
      </c>
      <c r="AD126" s="3">
        <v>21984.4011</v>
      </c>
      <c r="AE126" s="3">
        <v>21425.3333</v>
      </c>
      <c r="AF126" s="3">
        <v>21945.4344</v>
      </c>
      <c r="AG126" s="3">
        <v>22443.9779</v>
      </c>
      <c r="AH126" s="3">
        <v>22690.2234</v>
      </c>
      <c r="AI126" s="3">
        <v>22785.7022</v>
      </c>
      <c r="AJ126" s="3">
        <v>22901.1744</v>
      </c>
      <c r="AK126" s="3">
        <v>23159.5248</v>
      </c>
      <c r="AL126" s="3">
        <v>23598.088</v>
      </c>
      <c r="AM126" s="3">
        <v>23903.8378</v>
      </c>
      <c r="AN126" s="3">
        <v>24092.2792</v>
      </c>
      <c r="AO126" s="3">
        <v>23940.4924</v>
      </c>
      <c r="AP126" s="3">
        <v>23142.7956</v>
      </c>
      <c r="AQ126" s="3">
        <v>24131.79</v>
      </c>
      <c r="AR126" s="3">
        <v>25033.2622</v>
      </c>
      <c r="AS126" s="3">
        <v>25158.7991</v>
      </c>
      <c r="AT126" s="3">
        <v>25166.1437</v>
      </c>
      <c r="AU126" s="3">
        <f t="shared" si="2"/>
        <v>18979.7795</v>
      </c>
      <c r="AV126" s="3">
        <f t="shared" si="3"/>
        <v>20290.88629</v>
      </c>
      <c r="AW126" s="3">
        <f t="shared" si="4"/>
        <v>23606.23501</v>
      </c>
      <c r="AX126" s="4">
        <f t="shared" si="5"/>
        <v>-0.0121055435</v>
      </c>
      <c r="AY126" s="4">
        <f t="shared" si="6"/>
        <v>0.009932139701</v>
      </c>
      <c r="AZ126" s="4">
        <f t="shared" si="7"/>
        <v>0.008210469253</v>
      </c>
    </row>
    <row r="127" ht="14.25" customHeight="1">
      <c r="A127" s="2" t="s">
        <v>271</v>
      </c>
      <c r="B127" s="3">
        <v>45846.6749</v>
      </c>
      <c r="C127" s="3">
        <v>46266.9785</v>
      </c>
      <c r="D127" s="3">
        <v>46871.4016</v>
      </c>
      <c r="E127" s="3">
        <v>49362.0319</v>
      </c>
      <c r="F127" s="3">
        <v>51284.686</v>
      </c>
      <c r="G127" s="3">
        <v>49576.3925</v>
      </c>
      <c r="H127" s="3">
        <v>50852.5353</v>
      </c>
      <c r="I127" s="3">
        <v>55943.5965</v>
      </c>
      <c r="J127" s="3">
        <v>58051.8101</v>
      </c>
      <c r="K127" s="3">
        <v>58651.6903</v>
      </c>
      <c r="L127" s="3">
        <v>60871.9314</v>
      </c>
      <c r="M127" s="3">
        <v>60792.1641</v>
      </c>
      <c r="N127" s="3">
        <v>66937.54</v>
      </c>
      <c r="O127" s="3">
        <v>68084.4191</v>
      </c>
      <c r="P127" s="3">
        <v>68735.6217</v>
      </c>
      <c r="Q127" s="3">
        <v>69563.1942</v>
      </c>
      <c r="R127" s="3">
        <v>67893.7378</v>
      </c>
      <c r="S127" s="3">
        <v>66338.1349</v>
      </c>
      <c r="T127" s="3">
        <v>61962.6631</v>
      </c>
      <c r="U127" s="3">
        <v>59137.2715</v>
      </c>
      <c r="V127" s="3">
        <v>61089.4839</v>
      </c>
      <c r="W127" s="3">
        <v>61301.0089</v>
      </c>
      <c r="X127" s="3">
        <v>64761.3914</v>
      </c>
      <c r="Y127" s="3">
        <v>69780.7764</v>
      </c>
      <c r="Z127" s="3">
        <v>85058.7257</v>
      </c>
      <c r="AA127" s="3">
        <v>88231.171</v>
      </c>
      <c r="AB127" s="3">
        <v>95780.3054</v>
      </c>
      <c r="AC127" s="3">
        <v>104871.429</v>
      </c>
      <c r="AD127" s="3">
        <v>103734.5412</v>
      </c>
      <c r="AE127" s="3">
        <v>100604.7186</v>
      </c>
      <c r="AF127" s="3">
        <v>120823.4289</v>
      </c>
      <c r="AG127" s="3">
        <v>141857.82</v>
      </c>
      <c r="AH127" s="3">
        <v>151003.443</v>
      </c>
      <c r="AI127" s="3">
        <v>163878.2195</v>
      </c>
      <c r="AJ127" s="3">
        <v>157444.1345</v>
      </c>
      <c r="AK127" s="3">
        <v>121271.3014</v>
      </c>
      <c r="AL127" s="3">
        <v>118220.8156</v>
      </c>
      <c r="AM127" s="3">
        <v>127481.7471</v>
      </c>
      <c r="AN127" s="3">
        <v>133210.4121</v>
      </c>
      <c r="AO127" s="3">
        <v>127501.7297</v>
      </c>
      <c r="AP127" s="3">
        <v>57140.9222</v>
      </c>
      <c r="AQ127" s="3">
        <v>69181.4455</v>
      </c>
      <c r="AR127" s="3">
        <v>54622.6635</v>
      </c>
      <c r="AS127" s="3">
        <v>94077.5941</v>
      </c>
      <c r="AT127" s="3">
        <v>101356.3689</v>
      </c>
      <c r="AU127" s="3">
        <f t="shared" si="2"/>
        <v>55875.29826</v>
      </c>
      <c r="AV127" s="3">
        <f t="shared" si="3"/>
        <v>77896.09706</v>
      </c>
      <c r="AW127" s="3">
        <f t="shared" si="4"/>
        <v>115938.1364</v>
      </c>
      <c r="AX127" s="4">
        <f t="shared" si="5"/>
        <v>0.02934848612</v>
      </c>
      <c r="AY127" s="4">
        <f t="shared" si="6"/>
        <v>0.02670489137</v>
      </c>
      <c r="AZ127" s="4">
        <f t="shared" si="7"/>
        <v>-0.0237270221</v>
      </c>
    </row>
    <row r="128" ht="14.25" customHeight="1">
      <c r="A128" s="2" t="s">
        <v>272</v>
      </c>
      <c r="B128" s="3">
        <v>4499.3106</v>
      </c>
      <c r="C128" s="3">
        <v>3989.8624</v>
      </c>
      <c r="D128" s="3">
        <v>3799.4771</v>
      </c>
      <c r="E128" s="3">
        <v>3717.2893</v>
      </c>
      <c r="F128" s="3">
        <v>3671.8319</v>
      </c>
      <c r="G128" s="3">
        <v>3603.9598</v>
      </c>
      <c r="H128" s="3">
        <v>3567.532</v>
      </c>
      <c r="I128" s="3">
        <v>3503.0727</v>
      </c>
      <c r="J128" s="3">
        <v>3510.8556</v>
      </c>
      <c r="K128" s="3">
        <v>3539.918</v>
      </c>
      <c r="L128" s="3">
        <v>3534.1054</v>
      </c>
      <c r="M128" s="3">
        <v>3203.869</v>
      </c>
      <c r="N128" s="3">
        <v>3136.5477</v>
      </c>
      <c r="O128" s="3">
        <v>3097.3862</v>
      </c>
      <c r="P128" s="3">
        <v>2993.9602</v>
      </c>
      <c r="Q128" s="3">
        <v>2943.6591</v>
      </c>
      <c r="R128" s="3">
        <v>2904.5604</v>
      </c>
      <c r="S128" s="3">
        <v>2911.1474</v>
      </c>
      <c r="T128" s="3">
        <v>2924.5322</v>
      </c>
      <c r="U128" s="3">
        <v>2959.1025</v>
      </c>
      <c r="V128" s="3">
        <v>2997.7033</v>
      </c>
      <c r="W128" s="3">
        <v>3076.2962</v>
      </c>
      <c r="X128" s="3">
        <v>2603.7661</v>
      </c>
      <c r="Y128" s="3">
        <v>2770.6092</v>
      </c>
      <c r="Z128" s="3">
        <v>2826.6447</v>
      </c>
      <c r="AA128" s="3">
        <v>2864.7863</v>
      </c>
      <c r="AB128" s="3">
        <v>2915.1839</v>
      </c>
      <c r="AC128" s="3">
        <v>3000.15</v>
      </c>
      <c r="AD128" s="3">
        <v>3085.0074</v>
      </c>
      <c r="AE128" s="3">
        <v>2867.6235</v>
      </c>
      <c r="AF128" s="3">
        <v>2791.9551</v>
      </c>
      <c r="AG128" s="3">
        <v>2744.4074</v>
      </c>
      <c r="AH128" s="3">
        <v>2736.2807</v>
      </c>
      <c r="AI128" s="3">
        <v>2705.8678</v>
      </c>
      <c r="AJ128" s="3">
        <v>2698.2019</v>
      </c>
      <c r="AK128" s="3">
        <v>2680.1453</v>
      </c>
      <c r="AL128" s="3">
        <v>2694.3961</v>
      </c>
      <c r="AM128" s="3">
        <v>2702.3983</v>
      </c>
      <c r="AN128" s="3">
        <v>2691.2475</v>
      </c>
      <c r="AO128" s="3">
        <v>2718.489</v>
      </c>
      <c r="AP128" s="3">
        <v>2440.2349</v>
      </c>
      <c r="AQ128" s="3">
        <v>2482.2972</v>
      </c>
      <c r="AR128" s="3">
        <v>2492.6976</v>
      </c>
      <c r="AS128" s="3">
        <v>2529.6293</v>
      </c>
      <c r="AT128" s="3">
        <v>2555.6352</v>
      </c>
      <c r="AU128" s="3">
        <f t="shared" si="2"/>
        <v>3557.93186</v>
      </c>
      <c r="AV128" s="3">
        <f t="shared" si="3"/>
        <v>2907.650936</v>
      </c>
      <c r="AW128" s="3">
        <f t="shared" si="4"/>
        <v>2644.258887</v>
      </c>
      <c r="AX128" s="4">
        <f t="shared" si="5"/>
        <v>-0.02867562092</v>
      </c>
      <c r="AY128" s="4">
        <f t="shared" si="6"/>
        <v>-0.001867522674</v>
      </c>
      <c r="AZ128" s="4">
        <f t="shared" si="7"/>
        <v>-0.005077378097</v>
      </c>
    </row>
    <row r="129" ht="14.25" customHeight="1">
      <c r="A129" s="2" t="s">
        <v>273</v>
      </c>
      <c r="B129" s="3">
        <v>1844.9768</v>
      </c>
      <c r="C129" s="3">
        <v>1585.1048</v>
      </c>
      <c r="D129" s="3">
        <v>1546.8353</v>
      </c>
      <c r="E129" s="3">
        <v>1550.496</v>
      </c>
      <c r="F129" s="3">
        <v>1550.3679</v>
      </c>
      <c r="G129" s="3">
        <v>1561.2788</v>
      </c>
      <c r="H129" s="3">
        <v>1536.1233</v>
      </c>
      <c r="I129" s="3">
        <v>1443.8438</v>
      </c>
      <c r="J129" s="3">
        <v>1408.6659</v>
      </c>
      <c r="K129" s="3">
        <v>1402.8932</v>
      </c>
      <c r="L129" s="3">
        <v>1417.4098</v>
      </c>
      <c r="M129" s="3">
        <v>1487.0621</v>
      </c>
      <c r="N129" s="3">
        <v>1335.9392</v>
      </c>
      <c r="O129" s="3">
        <v>1465.5039</v>
      </c>
      <c r="P129" s="3">
        <v>1317.9933</v>
      </c>
      <c r="Q129" s="3">
        <v>1445.8595</v>
      </c>
      <c r="R129" s="3">
        <v>1560.3798</v>
      </c>
      <c r="S129" s="3">
        <v>1593.8068</v>
      </c>
      <c r="T129" s="3">
        <v>1584.6541</v>
      </c>
      <c r="U129" s="3">
        <v>1570.4311</v>
      </c>
      <c r="V129" s="3">
        <v>1558.2626</v>
      </c>
      <c r="W129" s="3">
        <v>1447.8394</v>
      </c>
      <c r="X129" s="3">
        <v>1449.556</v>
      </c>
      <c r="Y129" s="3">
        <v>1493.8609</v>
      </c>
      <c r="Z129" s="3">
        <v>1535.1722</v>
      </c>
      <c r="AA129" s="3">
        <v>1544.6805</v>
      </c>
      <c r="AB129" s="3">
        <v>1575.1903</v>
      </c>
      <c r="AC129" s="3">
        <v>1679.8703</v>
      </c>
      <c r="AD129" s="3">
        <v>1749.1751</v>
      </c>
      <c r="AE129" s="3">
        <v>1840.8065</v>
      </c>
      <c r="AF129" s="3">
        <v>1909.9881</v>
      </c>
      <c r="AG129" s="3">
        <v>2041.4517</v>
      </c>
      <c r="AH129" s="3">
        <v>2067.8324</v>
      </c>
      <c r="AI129" s="3">
        <v>2235.1897</v>
      </c>
      <c r="AJ129" s="3">
        <v>2409.9915</v>
      </c>
      <c r="AK129" s="3">
        <v>2521.0401</v>
      </c>
      <c r="AL129" s="3">
        <v>2629.9812</v>
      </c>
      <c r="AM129" s="3">
        <v>2804.3614</v>
      </c>
      <c r="AN129" s="3">
        <v>2822.8586</v>
      </c>
      <c r="AO129" s="3">
        <v>2883.546</v>
      </c>
      <c r="AP129" s="3">
        <v>2802.8731</v>
      </c>
      <c r="AQ129" s="3">
        <v>2839.6227</v>
      </c>
      <c r="AR129" s="3">
        <v>2759.7163</v>
      </c>
      <c r="AS129" s="3">
        <v>2712.7227</v>
      </c>
      <c r="AT129" s="3">
        <v>2596.1119</v>
      </c>
      <c r="AU129" s="3">
        <f t="shared" si="2"/>
        <v>1496.966273</v>
      </c>
      <c r="AV129" s="3">
        <f t="shared" si="3"/>
        <v>1584.548971</v>
      </c>
      <c r="AW129" s="3">
        <f t="shared" si="4"/>
        <v>2535.81916</v>
      </c>
      <c r="AX129" s="4">
        <f t="shared" si="5"/>
        <v>-0.0237391399</v>
      </c>
      <c r="AY129" s="4">
        <f t="shared" si="6"/>
        <v>0.01739962855</v>
      </c>
      <c r="AZ129" s="4">
        <f t="shared" si="7"/>
        <v>0.01731634282</v>
      </c>
    </row>
    <row r="130" ht="14.25" customHeight="1">
      <c r="A130" s="2" t="s">
        <v>274</v>
      </c>
      <c r="B130" s="3">
        <v>14603.4225</v>
      </c>
      <c r="C130" s="3">
        <v>14991.511</v>
      </c>
      <c r="D130" s="3">
        <v>15249.607</v>
      </c>
      <c r="E130" s="3">
        <v>15549.2096</v>
      </c>
      <c r="F130" s="3">
        <v>16095.7688</v>
      </c>
      <c r="G130" s="3">
        <v>15315.475</v>
      </c>
      <c r="H130" s="3">
        <v>14911.7429</v>
      </c>
      <c r="I130" s="3">
        <v>15149.4005</v>
      </c>
      <c r="J130" s="3">
        <v>15899.4724</v>
      </c>
      <c r="K130" s="3">
        <v>16752.6569</v>
      </c>
      <c r="L130" s="3">
        <v>17633.1088</v>
      </c>
      <c r="M130" s="3">
        <v>18661.231</v>
      </c>
      <c r="N130" s="3">
        <v>19643.4393</v>
      </c>
      <c r="O130" s="3">
        <v>20880.8861</v>
      </c>
      <c r="P130" s="3">
        <v>22075.3734</v>
      </c>
      <c r="Q130" s="3">
        <v>23484.2708</v>
      </c>
      <c r="R130" s="3">
        <v>25044.374</v>
      </c>
      <c r="S130" s="3">
        <v>26082.4248</v>
      </c>
      <c r="T130" s="3">
        <v>23461.4107</v>
      </c>
      <c r="U130" s="3">
        <v>24191.3833</v>
      </c>
      <c r="V130" s="3">
        <v>25600.1354</v>
      </c>
      <c r="W130" s="3">
        <v>25013.1836</v>
      </c>
      <c r="X130" s="3">
        <v>25583.7168</v>
      </c>
      <c r="Y130" s="3">
        <v>26213.0469</v>
      </c>
      <c r="Z130" s="3">
        <v>27068.2171</v>
      </c>
      <c r="AA130" s="3">
        <v>27547.2616</v>
      </c>
      <c r="AB130" s="3">
        <v>28098.7125</v>
      </c>
      <c r="AC130" s="3">
        <v>28864.4281</v>
      </c>
      <c r="AD130" s="3">
        <v>29229.6565</v>
      </c>
      <c r="AE130" s="3">
        <v>27803.0813</v>
      </c>
      <c r="AF130" s="3">
        <v>28942.2105</v>
      </c>
      <c r="AG130" s="3">
        <v>29595.563</v>
      </c>
      <c r="AH130" s="3">
        <v>30384.8652</v>
      </c>
      <c r="AI130" s="3">
        <v>30969.1048</v>
      </c>
      <c r="AJ130" s="3">
        <v>31977.515</v>
      </c>
      <c r="AK130" s="3">
        <v>32748.6551</v>
      </c>
      <c r="AL130" s="3">
        <v>33375.8541</v>
      </c>
      <c r="AM130" s="3">
        <v>34500.7926</v>
      </c>
      <c r="AN130" s="3">
        <v>35302.3966</v>
      </c>
      <c r="AO130" s="3">
        <v>35990.1361</v>
      </c>
      <c r="AP130" s="3">
        <v>33209.3921</v>
      </c>
      <c r="AQ130" s="3">
        <v>33222.4688</v>
      </c>
      <c r="AR130" s="3">
        <v>34395.6459</v>
      </c>
      <c r="AS130" s="3">
        <v>36394.7885</v>
      </c>
      <c r="AT130" s="3">
        <v>37402.1816</v>
      </c>
      <c r="AU130" s="3">
        <f t="shared" si="2"/>
        <v>16894.15368</v>
      </c>
      <c r="AV130" s="3">
        <f t="shared" si="3"/>
        <v>26414.35947</v>
      </c>
      <c r="AW130" s="3">
        <f t="shared" si="4"/>
        <v>33227.43799</v>
      </c>
      <c r="AX130" s="4">
        <f t="shared" si="5"/>
        <v>0.02995464502</v>
      </c>
      <c r="AY130" s="4">
        <f t="shared" si="6"/>
        <v>0.01213127873</v>
      </c>
      <c r="AZ130" s="4">
        <f t="shared" si="7"/>
        <v>0.01686234703</v>
      </c>
    </row>
    <row r="131" ht="14.25" customHeight="1">
      <c r="A131" s="2" t="s">
        <v>275</v>
      </c>
      <c r="B131" s="3">
        <v>7363.0291</v>
      </c>
      <c r="C131" s="3">
        <v>8019.5956</v>
      </c>
      <c r="D131" s="3">
        <v>7567.2305</v>
      </c>
      <c r="E131" s="3">
        <v>8545.164</v>
      </c>
      <c r="F131" s="3">
        <v>10519.5652</v>
      </c>
      <c r="G131" s="3">
        <v>11513.5323</v>
      </c>
      <c r="H131" s="3">
        <v>12199.322</v>
      </c>
      <c r="I131" s="3">
        <v>12874.9333</v>
      </c>
      <c r="J131" s="3">
        <v>13581.5288</v>
      </c>
      <c r="K131" s="3">
        <v>14404.8937</v>
      </c>
      <c r="L131" s="3">
        <v>16240.7247</v>
      </c>
      <c r="M131" s="3">
        <v>16938.4537</v>
      </c>
      <c r="N131" s="3">
        <v>17446.4917</v>
      </c>
      <c r="O131" s="3">
        <v>17962.9383</v>
      </c>
      <c r="P131" s="3">
        <v>18589.0577</v>
      </c>
      <c r="Q131" s="3">
        <v>19275.3053</v>
      </c>
      <c r="R131" s="3">
        <v>20080.1889</v>
      </c>
      <c r="S131" s="3">
        <v>21025.9672</v>
      </c>
      <c r="T131" s="3">
        <v>21836.4243</v>
      </c>
      <c r="U131" s="3">
        <v>22388.5569</v>
      </c>
      <c r="V131" s="3">
        <v>22412.5412</v>
      </c>
      <c r="W131" s="3">
        <v>20705.5071</v>
      </c>
      <c r="X131" s="3">
        <v>21316.764</v>
      </c>
      <c r="Y131" s="3">
        <v>23234.92</v>
      </c>
      <c r="Z131" s="3">
        <v>23536.6875</v>
      </c>
      <c r="AA131" s="3">
        <v>19997.45</v>
      </c>
      <c r="AB131" s="3">
        <v>23437.3604</v>
      </c>
      <c r="AC131" s="3">
        <v>23530.7971</v>
      </c>
      <c r="AD131" s="3">
        <v>23955.9377</v>
      </c>
      <c r="AE131" s="3">
        <v>20559.2414</v>
      </c>
      <c r="AF131" s="3">
        <v>20595.9839</v>
      </c>
      <c r="AG131" s="3">
        <v>21006.8608</v>
      </c>
      <c r="AH131" s="3">
        <v>20281.1853</v>
      </c>
      <c r="AI131" s="3">
        <v>20539.0168</v>
      </c>
      <c r="AJ131" s="3">
        <v>21058.9941</v>
      </c>
      <c r="AK131" s="3">
        <v>20896.2106</v>
      </c>
      <c r="AL131" s="3">
        <v>21286.6339</v>
      </c>
      <c r="AM131" s="3">
        <v>21797.5951</v>
      </c>
      <c r="AN131" s="3">
        <v>22647.2248</v>
      </c>
      <c r="AO131" s="3">
        <v>23275.9152</v>
      </c>
      <c r="AP131" s="3">
        <v>14979.7955</v>
      </c>
      <c r="AQ131" s="3">
        <v>19657.1262</v>
      </c>
      <c r="AR131" s="3">
        <v>21357.7064</v>
      </c>
      <c r="AS131" s="3">
        <v>23220.7707</v>
      </c>
      <c r="AT131" s="3">
        <v>24291.6478</v>
      </c>
      <c r="AU131" s="3">
        <f t="shared" si="2"/>
        <v>12917.76404</v>
      </c>
      <c r="AV131" s="3">
        <f t="shared" si="3"/>
        <v>22001.31026</v>
      </c>
      <c r="AW131" s="3">
        <f t="shared" si="4"/>
        <v>21126.17781</v>
      </c>
      <c r="AX131" s="4">
        <f t="shared" si="5"/>
        <v>0.06838709303</v>
      </c>
      <c r="AY131" s="4">
        <f t="shared" si="6"/>
        <v>0.004616751978</v>
      </c>
      <c r="AZ131" s="4">
        <f t="shared" si="7"/>
        <v>0.01043142403</v>
      </c>
    </row>
    <row r="132" ht="14.25" customHeight="1">
      <c r="A132" s="2" t="s">
        <v>276</v>
      </c>
      <c r="B132" s="3">
        <v>2190.9664</v>
      </c>
      <c r="C132" s="3">
        <v>2312.2134</v>
      </c>
      <c r="D132" s="3">
        <v>2137.917</v>
      </c>
      <c r="E132" s="3">
        <v>1936.2106</v>
      </c>
      <c r="F132" s="3">
        <v>1968.2242</v>
      </c>
      <c r="G132" s="3">
        <v>2261.1015</v>
      </c>
      <c r="H132" s="3">
        <v>2523.2488</v>
      </c>
      <c r="I132" s="3">
        <v>2621.8596</v>
      </c>
      <c r="J132" s="3">
        <v>2786.4483</v>
      </c>
      <c r="K132" s="3">
        <v>2865.8133</v>
      </c>
      <c r="L132" s="3">
        <v>2717.1996</v>
      </c>
      <c r="M132" s="3">
        <v>3247.7374</v>
      </c>
      <c r="N132" s="3">
        <v>3068.8019</v>
      </c>
      <c r="O132" s="3">
        <v>3088.3488</v>
      </c>
      <c r="P132" s="3">
        <v>3115.325</v>
      </c>
      <c r="Q132" s="3">
        <v>3013.1026</v>
      </c>
      <c r="R132" s="3">
        <v>3414.5668</v>
      </c>
      <c r="S132" s="3">
        <v>3292.6809</v>
      </c>
      <c r="T132" s="3">
        <v>3632.8545</v>
      </c>
      <c r="U132" s="3">
        <v>3321.4128</v>
      </c>
      <c r="V132" s="3">
        <v>3213.6782</v>
      </c>
      <c r="W132" s="3">
        <v>3584.9155</v>
      </c>
      <c r="X132" s="3">
        <v>3570.2088</v>
      </c>
      <c r="Y132" s="3">
        <v>3762.6472</v>
      </c>
      <c r="Z132" s="3">
        <v>3691.554</v>
      </c>
      <c r="AA132" s="3">
        <v>3800.9138</v>
      </c>
      <c r="AB132" s="3">
        <v>3846.5737</v>
      </c>
      <c r="AC132" s="3">
        <v>3850.6065</v>
      </c>
      <c r="AD132" s="3">
        <v>3885.8273</v>
      </c>
      <c r="AE132" s="3">
        <v>3962.0639</v>
      </c>
      <c r="AF132" s="3">
        <v>4051.7051</v>
      </c>
      <c r="AG132" s="3">
        <v>4059.2853</v>
      </c>
      <c r="AH132" s="3">
        <v>3929.7359</v>
      </c>
      <c r="AI132" s="3">
        <v>3925.8157</v>
      </c>
      <c r="AJ132" s="3">
        <v>4093.1511</v>
      </c>
      <c r="AK132" s="3">
        <v>4210.1455</v>
      </c>
      <c r="AL132" s="3">
        <v>4325.7499</v>
      </c>
      <c r="AM132" s="3">
        <v>4416.2234</v>
      </c>
      <c r="AN132" s="3">
        <v>4483.8147</v>
      </c>
      <c r="AO132" s="3">
        <v>4550.7167</v>
      </c>
      <c r="AP132" s="3">
        <v>4347.3733</v>
      </c>
      <c r="AQ132" s="3">
        <v>4328.5601</v>
      </c>
      <c r="AR132" s="3">
        <v>4338.7464</v>
      </c>
      <c r="AS132" s="3">
        <v>4386.7727</v>
      </c>
      <c r="AT132" s="3">
        <v>4399.8932</v>
      </c>
      <c r="AU132" s="3">
        <f t="shared" si="2"/>
        <v>2589.42772</v>
      </c>
      <c r="AV132" s="3">
        <f t="shared" si="3"/>
        <v>3630.750279</v>
      </c>
      <c r="AW132" s="3">
        <f t="shared" si="4"/>
        <v>4256.5126</v>
      </c>
      <c r="AX132" s="4">
        <f t="shared" si="5"/>
        <v>0.02546092745</v>
      </c>
      <c r="AY132" s="4">
        <f t="shared" si="6"/>
        <v>0.01974925524</v>
      </c>
      <c r="AZ132" s="4">
        <f t="shared" si="7"/>
        <v>0.005771832081</v>
      </c>
    </row>
    <row r="133" ht="14.25" customHeight="1">
      <c r="A133" s="2" t="s">
        <v>277</v>
      </c>
      <c r="B133" s="3">
        <v>16343.4696</v>
      </c>
      <c r="C133" s="3">
        <v>16719.6626</v>
      </c>
      <c r="D133" s="3">
        <v>16954.3212</v>
      </c>
      <c r="E133" s="3">
        <v>16717.6356</v>
      </c>
      <c r="F133" s="3">
        <v>16758.5339</v>
      </c>
      <c r="G133" s="3">
        <v>17081.0703</v>
      </c>
      <c r="H133" s="3">
        <v>17598.6784</v>
      </c>
      <c r="I133" s="3">
        <v>18143.8304</v>
      </c>
      <c r="J133" s="3">
        <v>19478.8088</v>
      </c>
      <c r="K133" s="3">
        <v>20863.5091</v>
      </c>
      <c r="L133" s="3">
        <v>21949.7589</v>
      </c>
      <c r="M133" s="3">
        <v>23076.7879</v>
      </c>
      <c r="N133" s="3">
        <v>23890.8195</v>
      </c>
      <c r="O133" s="3">
        <v>24674.5648</v>
      </c>
      <c r="P133" s="3">
        <v>25758.6684</v>
      </c>
      <c r="Q133" s="3">
        <v>27043.5672</v>
      </c>
      <c r="R133" s="3">
        <v>27701.9944</v>
      </c>
      <c r="S133" s="3">
        <v>28754.5002</v>
      </c>
      <c r="T133" s="3">
        <v>29799.7325</v>
      </c>
      <c r="U133" s="3">
        <v>30747.9058</v>
      </c>
      <c r="V133" s="3">
        <v>32326.724</v>
      </c>
      <c r="W133" s="3">
        <v>31610.5861</v>
      </c>
      <c r="X133" s="3">
        <v>32007.2879</v>
      </c>
      <c r="Y133" s="3">
        <v>32705.898</v>
      </c>
      <c r="Z133" s="3">
        <v>32388.4888</v>
      </c>
      <c r="AA133" s="3">
        <v>32857.9253</v>
      </c>
      <c r="AB133" s="3">
        <v>33201.6858</v>
      </c>
      <c r="AC133" s="3">
        <v>34491.7118</v>
      </c>
      <c r="AD133" s="3">
        <v>35610.6326</v>
      </c>
      <c r="AE133" s="3">
        <v>34681.0603</v>
      </c>
      <c r="AF133" s="3">
        <v>36366.8342</v>
      </c>
      <c r="AG133" s="3">
        <v>36231.8578</v>
      </c>
      <c r="AH133" s="3">
        <v>37401.0967</v>
      </c>
      <c r="AI133" s="3">
        <v>39338.8186</v>
      </c>
      <c r="AJ133" s="3">
        <v>41527.1768</v>
      </c>
      <c r="AK133" s="3">
        <v>44243.0399</v>
      </c>
      <c r="AL133" s="3">
        <v>44853.8915</v>
      </c>
      <c r="AM133" s="3">
        <v>48962.3245</v>
      </c>
      <c r="AN133" s="3">
        <v>50375.8802</v>
      </c>
      <c r="AO133" s="3">
        <v>50069.4409</v>
      </c>
      <c r="AP133" s="3">
        <v>46801.6293</v>
      </c>
      <c r="AQ133" s="3">
        <v>52141.6622</v>
      </c>
      <c r="AR133" s="3">
        <v>53658.0002</v>
      </c>
      <c r="AS133" s="3">
        <v>57383.9207</v>
      </c>
      <c r="AT133" s="3">
        <v>60019.2987</v>
      </c>
      <c r="AU133" s="3">
        <f t="shared" si="2"/>
        <v>19734.00796</v>
      </c>
      <c r="AV133" s="3">
        <f t="shared" si="3"/>
        <v>32063.29525</v>
      </c>
      <c r="AW133" s="3">
        <f t="shared" si="4"/>
        <v>46624.99148</v>
      </c>
      <c r="AX133" s="4">
        <f t="shared" si="5"/>
        <v>0.03302967267</v>
      </c>
      <c r="AY133" s="4">
        <f t="shared" si="6"/>
        <v>0.017926249</v>
      </c>
      <c r="AZ133" s="4">
        <f t="shared" si="7"/>
        <v>0.03670970764</v>
      </c>
    </row>
    <row r="134" ht="14.25" customHeight="1">
      <c r="A134" s="2" t="s">
        <v>278</v>
      </c>
      <c r="B134" s="3">
        <v>5743.7387</v>
      </c>
      <c r="C134" s="3">
        <v>5890.9702</v>
      </c>
      <c r="D134" s="3">
        <v>6115.662</v>
      </c>
      <c r="E134" s="3">
        <v>6610.0411</v>
      </c>
      <c r="F134" s="3">
        <v>6435.613</v>
      </c>
      <c r="G134" s="3">
        <v>6259.405</v>
      </c>
      <c r="H134" s="3">
        <v>7215.5557</v>
      </c>
      <c r="I134" s="3">
        <v>7559.2858</v>
      </c>
      <c r="J134" s="3">
        <v>7663.5155</v>
      </c>
      <c r="K134" s="3">
        <v>7389.2006</v>
      </c>
      <c r="L134" s="3">
        <v>7344.9884</v>
      </c>
      <c r="M134" s="3">
        <v>7305.4751</v>
      </c>
      <c r="N134" s="3">
        <v>7657.6063</v>
      </c>
      <c r="O134" s="3">
        <v>7957.5514</v>
      </c>
      <c r="P134" s="3">
        <v>8304.6276</v>
      </c>
      <c r="Q134" s="3">
        <v>8395.6862</v>
      </c>
      <c r="R134" s="3">
        <v>7478.6217</v>
      </c>
      <c r="S134" s="3">
        <v>6993.6404</v>
      </c>
      <c r="T134" s="3">
        <v>6757.3438</v>
      </c>
      <c r="U134" s="3">
        <v>6561.6996</v>
      </c>
      <c r="V134" s="3">
        <v>6633.2507</v>
      </c>
      <c r="W134" s="3">
        <v>6874.9582</v>
      </c>
      <c r="X134" s="3">
        <v>6879.0875</v>
      </c>
      <c r="Y134" s="3">
        <v>6649.7679</v>
      </c>
      <c r="Z134" s="3">
        <v>6521.9015</v>
      </c>
      <c r="AA134" s="3">
        <v>6502.038</v>
      </c>
      <c r="AB134" s="3">
        <v>6472.7768</v>
      </c>
      <c r="AC134" s="3">
        <v>6428.9918</v>
      </c>
      <c r="AD134" s="3">
        <v>6066.8934</v>
      </c>
      <c r="AE134" s="3">
        <v>6285.676</v>
      </c>
      <c r="AF134" s="3">
        <v>6521.6879</v>
      </c>
      <c r="AG134" s="3">
        <v>6497.3392</v>
      </c>
      <c r="AH134" s="3">
        <v>6531.6552</v>
      </c>
      <c r="AI134" s="3">
        <v>6750.4379</v>
      </c>
      <c r="AJ134" s="3">
        <v>6801.2</v>
      </c>
      <c r="AK134" s="3">
        <v>7024.5391</v>
      </c>
      <c r="AL134" s="3">
        <v>7290.5953</v>
      </c>
      <c r="AM134" s="3">
        <v>7676.8289</v>
      </c>
      <c r="AN134" s="3">
        <v>8280.5637</v>
      </c>
      <c r="AO134" s="3">
        <v>9096.8159</v>
      </c>
      <c r="AP134" s="3">
        <v>9225.3943</v>
      </c>
      <c r="AQ134" s="3">
        <v>9614.3333</v>
      </c>
      <c r="AR134" s="3">
        <v>9792.8195</v>
      </c>
      <c r="AS134" s="3">
        <v>9847.2126</v>
      </c>
      <c r="AT134" s="3">
        <v>10496.0139</v>
      </c>
      <c r="AU134" s="3">
        <f t="shared" si="2"/>
        <v>7030.21576</v>
      </c>
      <c r="AV134" s="3">
        <f t="shared" si="3"/>
        <v>6650.474807</v>
      </c>
      <c r="AW134" s="3">
        <f t="shared" si="4"/>
        <v>8096.49578</v>
      </c>
      <c r="AX134" s="4">
        <f t="shared" si="5"/>
        <v>0.02668575151</v>
      </c>
      <c r="AY134" s="4">
        <f t="shared" si="6"/>
        <v>-0.02046236199</v>
      </c>
      <c r="AZ134" s="4">
        <f t="shared" si="7"/>
        <v>0.03485088522</v>
      </c>
    </row>
    <row r="135" ht="14.25" customHeight="1">
      <c r="A135" s="2" t="s">
        <v>279</v>
      </c>
      <c r="B135" s="3">
        <v>11050.8721</v>
      </c>
      <c r="C135" s="3">
        <v>11201.2814</v>
      </c>
      <c r="D135" s="3">
        <v>10068.0522</v>
      </c>
      <c r="E135" s="3">
        <v>10038.2981</v>
      </c>
      <c r="F135" s="3">
        <v>9555.3081</v>
      </c>
      <c r="G135" s="3">
        <v>9588.4313</v>
      </c>
      <c r="H135" s="3">
        <v>9850.465</v>
      </c>
      <c r="I135" s="3">
        <v>9778.7505</v>
      </c>
      <c r="J135" s="3">
        <v>9591.8186</v>
      </c>
      <c r="K135" s="3">
        <v>9703.9269</v>
      </c>
      <c r="L135" s="3">
        <v>9364.511</v>
      </c>
      <c r="M135" s="3">
        <v>9328.5086</v>
      </c>
      <c r="N135" s="3">
        <v>9087.7364</v>
      </c>
      <c r="O135" s="3">
        <v>9387.4299</v>
      </c>
      <c r="P135" s="3">
        <v>9471.9073</v>
      </c>
      <c r="Q135" s="3">
        <v>8996.4964</v>
      </c>
      <c r="R135" s="3">
        <v>9798.0582</v>
      </c>
      <c r="S135" s="3">
        <v>9216.866</v>
      </c>
      <c r="T135" s="3">
        <v>9217.7431</v>
      </c>
      <c r="U135" s="3">
        <v>9276.7793</v>
      </c>
      <c r="V135" s="3">
        <v>8637.7244</v>
      </c>
      <c r="W135" s="3">
        <v>8350.6668</v>
      </c>
      <c r="X135" s="3">
        <v>8287.6384</v>
      </c>
      <c r="Y135" s="3">
        <v>8663.7463</v>
      </c>
      <c r="Z135" s="3">
        <v>8868.4798</v>
      </c>
      <c r="AA135" s="3">
        <v>9406.5683</v>
      </c>
      <c r="AB135" s="3">
        <v>10870.5576</v>
      </c>
      <c r="AC135" s="3">
        <v>10395.2193</v>
      </c>
      <c r="AD135" s="3">
        <v>9990.4098</v>
      </c>
      <c r="AE135" s="3">
        <v>9637.7108</v>
      </c>
      <c r="AF135" s="3">
        <v>9541.6257</v>
      </c>
      <c r="AG135" s="3">
        <v>9605.4707</v>
      </c>
      <c r="AH135" s="3">
        <v>9712.2017</v>
      </c>
      <c r="AI135" s="3">
        <v>9804.7784</v>
      </c>
      <c r="AJ135" s="3">
        <v>9911.951</v>
      </c>
      <c r="AK135" s="3">
        <v>10105.9357</v>
      </c>
      <c r="AL135" s="3">
        <v>9937.7491</v>
      </c>
      <c r="AM135" s="3">
        <v>10236.5594</v>
      </c>
      <c r="AN135" s="3">
        <v>10393.3078</v>
      </c>
      <c r="AO135" s="3">
        <v>10407.0325</v>
      </c>
      <c r="AP135" s="3">
        <v>10046.337</v>
      </c>
      <c r="AQ135" s="3">
        <v>9846.9567</v>
      </c>
      <c r="AR135" s="3">
        <v>10124.7898</v>
      </c>
      <c r="AS135" s="3">
        <v>10465.724</v>
      </c>
      <c r="AT135" s="3">
        <v>10576.0479</v>
      </c>
      <c r="AU135" s="3">
        <f t="shared" si="2"/>
        <v>9804.486493</v>
      </c>
      <c r="AV135" s="3">
        <f t="shared" si="3"/>
        <v>9329.86915</v>
      </c>
      <c r="AW135" s="3">
        <f t="shared" si="4"/>
        <v>10047.76449</v>
      </c>
      <c r="AX135" s="4">
        <f t="shared" si="5"/>
        <v>-0.01095237098</v>
      </c>
      <c r="AY135" s="4">
        <f t="shared" si="6"/>
        <v>0.004929854721</v>
      </c>
      <c r="AZ135" s="4">
        <f t="shared" si="7"/>
        <v>0.006899335182</v>
      </c>
    </row>
    <row r="136" ht="14.25" customHeight="1">
      <c r="A136" s="2" t="s">
        <v>280</v>
      </c>
      <c r="B136" s="3">
        <v>7789.7732</v>
      </c>
      <c r="C136" s="3">
        <v>8032.9225</v>
      </c>
      <c r="D136" s="3">
        <v>8242.9742</v>
      </c>
      <c r="E136" s="3">
        <v>8041.4078</v>
      </c>
      <c r="F136" s="3">
        <v>8182.8634</v>
      </c>
      <c r="G136" s="3">
        <v>8492.9483</v>
      </c>
      <c r="H136" s="3">
        <v>9079.3029</v>
      </c>
      <c r="I136" s="3">
        <v>9768.3359</v>
      </c>
      <c r="J136" s="3">
        <v>10202.1768</v>
      </c>
      <c r="K136" s="3">
        <v>10452.1166</v>
      </c>
      <c r="L136" s="3">
        <v>10981.979</v>
      </c>
      <c r="M136" s="3">
        <v>11220.8914</v>
      </c>
      <c r="N136" s="3">
        <v>11703.0217</v>
      </c>
      <c r="O136" s="3">
        <v>12073.2402</v>
      </c>
      <c r="P136" s="3">
        <v>12362.4115</v>
      </c>
      <c r="Q136" s="3">
        <v>12669.4924</v>
      </c>
      <c r="R136" s="3">
        <v>13061.9299</v>
      </c>
      <c r="S136" s="3">
        <v>13560.2254</v>
      </c>
      <c r="T136" s="3">
        <v>14114.2039</v>
      </c>
      <c r="U136" s="3">
        <v>14207.916</v>
      </c>
      <c r="V136" s="3">
        <v>15101.2217</v>
      </c>
      <c r="W136" s="3">
        <v>15357.7497</v>
      </c>
      <c r="X136" s="3">
        <v>15393.8665</v>
      </c>
      <c r="Y136" s="3">
        <v>16079.6817</v>
      </c>
      <c r="Z136" s="3">
        <v>16576.8817</v>
      </c>
      <c r="AA136" s="3">
        <v>16686.0872</v>
      </c>
      <c r="AB136" s="3">
        <v>17316.708</v>
      </c>
      <c r="AC136" s="3">
        <v>18115.1984</v>
      </c>
      <c r="AD136" s="3">
        <v>18791.0817</v>
      </c>
      <c r="AE136" s="3">
        <v>19199.8256</v>
      </c>
      <c r="AF136" s="3">
        <v>19809.7695</v>
      </c>
      <c r="AG136" s="3">
        <v>20381.1308</v>
      </c>
      <c r="AH136" s="3">
        <v>20881.0829</v>
      </c>
      <c r="AI136" s="3">
        <v>21660.4003</v>
      </c>
      <c r="AJ136" s="3">
        <v>22256.5647</v>
      </c>
      <c r="AK136" s="3">
        <v>22826.2388</v>
      </c>
      <c r="AL136" s="3">
        <v>23562.8207</v>
      </c>
      <c r="AM136" s="3">
        <v>24315.6249</v>
      </c>
      <c r="AN136" s="3">
        <v>25127.5322</v>
      </c>
      <c r="AO136" s="3">
        <v>25760.8135</v>
      </c>
      <c r="AP136" s="3">
        <v>21898.6294</v>
      </c>
      <c r="AQ136" s="3">
        <v>22642.8758</v>
      </c>
      <c r="AR136" s="3">
        <v>24430.3919</v>
      </c>
      <c r="AS136" s="3">
        <v>26112.0613</v>
      </c>
      <c r="AT136" s="3">
        <v>27116.4353</v>
      </c>
      <c r="AU136" s="3">
        <f t="shared" si="2"/>
        <v>9775.091027</v>
      </c>
      <c r="AV136" s="3">
        <f t="shared" si="3"/>
        <v>15968.75553</v>
      </c>
      <c r="AW136" s="3">
        <f t="shared" si="4"/>
        <v>23252.15813</v>
      </c>
      <c r="AX136" s="4">
        <f t="shared" si="5"/>
        <v>0.03353937644</v>
      </c>
      <c r="AY136" s="4">
        <f t="shared" si="6"/>
        <v>0.03013839965</v>
      </c>
      <c r="AZ136" s="4">
        <f t="shared" si="7"/>
        <v>0.02060443565</v>
      </c>
    </row>
    <row r="137" ht="14.25" customHeight="1">
      <c r="A137" s="2" t="s">
        <v>281</v>
      </c>
      <c r="B137" s="3">
        <v>31810.9168</v>
      </c>
      <c r="C137" s="3">
        <v>33383.135</v>
      </c>
      <c r="D137" s="3">
        <v>31874.3957</v>
      </c>
      <c r="E137" s="3">
        <v>29360.0912</v>
      </c>
      <c r="F137" s="3">
        <v>29305.5914</v>
      </c>
      <c r="G137" s="3">
        <v>29054.6819</v>
      </c>
      <c r="H137" s="3">
        <v>27011.6475</v>
      </c>
      <c r="I137" s="3">
        <v>26603.8234</v>
      </c>
      <c r="J137" s="3">
        <v>26067.3443</v>
      </c>
      <c r="K137" s="3">
        <v>26309.7022</v>
      </c>
      <c r="L137" s="3">
        <v>26765.3888</v>
      </c>
      <c r="M137" s="3">
        <v>26980.9277</v>
      </c>
      <c r="N137" s="3">
        <v>27043.8737</v>
      </c>
      <c r="O137" s="3">
        <v>27047.6956</v>
      </c>
      <c r="P137" s="3">
        <v>27373.9904</v>
      </c>
      <c r="Q137" s="3">
        <v>25004.01</v>
      </c>
      <c r="R137" s="3">
        <v>25818.4083</v>
      </c>
      <c r="S137" s="3">
        <v>26939.4723</v>
      </c>
      <c r="T137" s="3">
        <v>27874.9608</v>
      </c>
      <c r="U137" s="3">
        <v>27935.9663</v>
      </c>
      <c r="V137" s="3">
        <v>28625.8605</v>
      </c>
      <c r="W137" s="3">
        <v>27809.9294</v>
      </c>
      <c r="X137" s="3">
        <v>27089.276</v>
      </c>
      <c r="Y137" s="3">
        <v>26779.8409</v>
      </c>
      <c r="Z137" s="3">
        <v>27111.5429</v>
      </c>
      <c r="AA137" s="3">
        <v>27068.7522</v>
      </c>
      <c r="AB137" s="3">
        <v>27740.1158</v>
      </c>
      <c r="AC137" s="3">
        <v>27681.8862</v>
      </c>
      <c r="AD137" s="3">
        <v>27312.9257</v>
      </c>
      <c r="AE137" s="3">
        <v>25015.6335</v>
      </c>
      <c r="AF137" s="3">
        <v>25667.0522</v>
      </c>
      <c r="AG137" s="3">
        <v>25959.1342</v>
      </c>
      <c r="AH137" s="3">
        <v>26306.4987</v>
      </c>
      <c r="AI137" s="3">
        <v>25989.2883</v>
      </c>
      <c r="AJ137" s="3">
        <v>26122.9492</v>
      </c>
      <c r="AK137" s="3">
        <v>26344.7571</v>
      </c>
      <c r="AL137" s="3">
        <v>26358.387</v>
      </c>
      <c r="AM137" s="3">
        <v>26412.0842</v>
      </c>
      <c r="AN137" s="3">
        <v>26490.4099</v>
      </c>
      <c r="AO137" s="3">
        <v>25990.1698</v>
      </c>
      <c r="AP137" s="3">
        <v>23398.1578</v>
      </c>
      <c r="AQ137" s="3">
        <v>24425.0231</v>
      </c>
      <c r="AR137" s="3">
        <v>25029.3752</v>
      </c>
      <c r="AS137" s="3">
        <v>25439.7648</v>
      </c>
      <c r="AT137" s="3">
        <v>25400.1776</v>
      </c>
      <c r="AU137" s="3">
        <f t="shared" si="2"/>
        <v>28399.54704</v>
      </c>
      <c r="AV137" s="3">
        <f t="shared" si="3"/>
        <v>27200.32649</v>
      </c>
      <c r="AW137" s="3">
        <f t="shared" si="4"/>
        <v>25688.88194</v>
      </c>
      <c r="AX137" s="4">
        <f t="shared" si="5"/>
        <v>-0.01067237173</v>
      </c>
      <c r="AY137" s="4">
        <f t="shared" si="6"/>
        <v>0.00003319750953</v>
      </c>
      <c r="AZ137" s="4">
        <f t="shared" si="7"/>
        <v>-0.001553604323</v>
      </c>
    </row>
    <row r="138" ht="14.25" customHeight="1">
      <c r="A138" s="2" t="s">
        <v>282</v>
      </c>
      <c r="B138" s="3">
        <v>5604.3765</v>
      </c>
      <c r="C138" s="3">
        <v>5771.0882</v>
      </c>
      <c r="D138" s="3">
        <v>5512.8402</v>
      </c>
      <c r="E138" s="3">
        <v>5364.3935</v>
      </c>
      <c r="F138" s="3">
        <v>5258.1888</v>
      </c>
      <c r="G138" s="3">
        <v>5811.0031</v>
      </c>
      <c r="H138" s="3">
        <v>5987.4467</v>
      </c>
      <c r="I138" s="3">
        <v>5973.6246</v>
      </c>
      <c r="J138" s="3">
        <v>6086.1762</v>
      </c>
      <c r="K138" s="3">
        <v>6066.9239</v>
      </c>
      <c r="L138" s="3">
        <v>6210.9279</v>
      </c>
      <c r="M138" s="3">
        <v>6405.848</v>
      </c>
      <c r="N138" s="3">
        <v>6483.7032</v>
      </c>
      <c r="O138" s="3">
        <v>6539.8379</v>
      </c>
      <c r="P138" s="3">
        <v>6436.7362</v>
      </c>
      <c r="Q138" s="3">
        <v>6430.5303</v>
      </c>
      <c r="R138" s="3">
        <v>6087.0224</v>
      </c>
      <c r="S138" s="3">
        <v>5772.7102</v>
      </c>
      <c r="T138" s="3">
        <v>5858.4638</v>
      </c>
      <c r="U138" s="3">
        <v>5933.7097</v>
      </c>
      <c r="V138" s="3">
        <v>6081.8744</v>
      </c>
      <c r="W138" s="3">
        <v>6057.8267</v>
      </c>
      <c r="X138" s="3">
        <v>6011.3534</v>
      </c>
      <c r="Y138" s="3">
        <v>5965.7263</v>
      </c>
      <c r="Z138" s="3">
        <v>5804.8678</v>
      </c>
      <c r="AA138" s="3">
        <v>5842.385</v>
      </c>
      <c r="AB138" s="3">
        <v>5777.5056</v>
      </c>
      <c r="AC138" s="3">
        <v>5664.2489</v>
      </c>
      <c r="AD138" s="3">
        <v>5598.4527</v>
      </c>
      <c r="AE138" s="3">
        <v>5702.4007</v>
      </c>
      <c r="AF138" s="3">
        <v>5844.2185</v>
      </c>
      <c r="AG138" s="3">
        <v>5919.4645</v>
      </c>
      <c r="AH138" s="3">
        <v>5738.7191</v>
      </c>
      <c r="AI138" s="3">
        <v>5493.1649</v>
      </c>
      <c r="AJ138" s="3">
        <v>5404.0968</v>
      </c>
      <c r="AK138" s="3">
        <v>5535.2659</v>
      </c>
      <c r="AL138" s="3">
        <v>5508.3974</v>
      </c>
      <c r="AM138" s="3">
        <v>5478.2849</v>
      </c>
      <c r="AN138" s="3">
        <v>5464.4628</v>
      </c>
      <c r="AO138" s="3">
        <v>5540.1319</v>
      </c>
      <c r="AP138" s="3">
        <v>5415.4507</v>
      </c>
      <c r="AQ138" s="3">
        <v>5444.7169</v>
      </c>
      <c r="AR138" s="3">
        <v>5353.3217</v>
      </c>
      <c r="AS138" s="3">
        <v>5358.6813</v>
      </c>
      <c r="AT138" s="3">
        <v>5336.3966</v>
      </c>
      <c r="AU138" s="3">
        <f t="shared" si="2"/>
        <v>5967.540993</v>
      </c>
      <c r="AV138" s="3">
        <f t="shared" si="3"/>
        <v>5868.467686</v>
      </c>
      <c r="AW138" s="3">
        <f t="shared" si="4"/>
        <v>5522.31826</v>
      </c>
      <c r="AX138" s="4">
        <f t="shared" si="5"/>
        <v>0.009940063191</v>
      </c>
      <c r="AY138" s="4">
        <f t="shared" si="6"/>
        <v>-0.00854681977</v>
      </c>
      <c r="AZ138" s="4">
        <f t="shared" si="7"/>
        <v>-0.007379448425</v>
      </c>
    </row>
    <row r="139" ht="14.25" customHeight="1">
      <c r="A139" s="2" t="s">
        <v>283</v>
      </c>
      <c r="B139" s="3">
        <v>12961.3969</v>
      </c>
      <c r="C139" s="3">
        <v>12980.0023</v>
      </c>
      <c r="D139" s="3">
        <v>13001.3813</v>
      </c>
      <c r="E139" s="3">
        <v>12996.3255</v>
      </c>
      <c r="F139" s="3">
        <v>12978.7986</v>
      </c>
      <c r="G139" s="3">
        <v>12968.0128</v>
      </c>
      <c r="H139" s="3">
        <v>12968.5135</v>
      </c>
      <c r="I139" s="3">
        <v>12944.6018</v>
      </c>
      <c r="J139" s="3">
        <v>12903.9433</v>
      </c>
      <c r="K139" s="3">
        <v>12880.7057</v>
      </c>
      <c r="L139" s="3">
        <v>12981.235</v>
      </c>
      <c r="M139" s="3">
        <v>10690.1411</v>
      </c>
      <c r="N139" s="3">
        <v>7565.1516</v>
      </c>
      <c r="O139" s="3">
        <v>7465.7298</v>
      </c>
      <c r="P139" s="3">
        <v>5156.1652</v>
      </c>
      <c r="Q139" s="3">
        <v>5087.9162</v>
      </c>
      <c r="R139" s="3">
        <v>4795.7176</v>
      </c>
      <c r="S139" s="3">
        <v>4887.8398</v>
      </c>
      <c r="T139" s="3">
        <v>4580.1367</v>
      </c>
      <c r="U139" s="3">
        <v>4427.9897</v>
      </c>
      <c r="V139" s="3">
        <v>4545.9111</v>
      </c>
      <c r="W139" s="3">
        <v>4815.3728</v>
      </c>
      <c r="X139" s="3">
        <v>5230.5197</v>
      </c>
      <c r="Y139" s="3">
        <v>5579.4495</v>
      </c>
      <c r="Z139" s="3">
        <v>5981.1238</v>
      </c>
      <c r="AA139" s="3">
        <v>6452.6554</v>
      </c>
      <c r="AB139" s="3">
        <v>6810.445</v>
      </c>
      <c r="AC139" s="3">
        <v>7055.735</v>
      </c>
      <c r="AD139" s="3">
        <v>7694.1766</v>
      </c>
      <c r="AE139" s="3">
        <v>7292.5216</v>
      </c>
      <c r="AF139" s="3">
        <v>7863.9757</v>
      </c>
      <c r="AG139" s="3">
        <v>8483.9659</v>
      </c>
      <c r="AH139" s="3">
        <v>8554.1795</v>
      </c>
      <c r="AI139" s="3">
        <v>9493.4386</v>
      </c>
      <c r="AJ139" s="3">
        <v>10157.6794</v>
      </c>
      <c r="AK139" s="3">
        <v>10246.0362</v>
      </c>
      <c r="AL139" s="3">
        <v>10896.1496</v>
      </c>
      <c r="AM139" s="3">
        <v>11537.7595</v>
      </c>
      <c r="AN139" s="3">
        <v>12172.455</v>
      </c>
      <c r="AO139" s="3">
        <v>12813.3619</v>
      </c>
      <c r="AP139" s="3">
        <v>11932.1149</v>
      </c>
      <c r="AQ139" s="3">
        <v>13834.9783</v>
      </c>
      <c r="AR139" s="3">
        <v>13197.0278</v>
      </c>
      <c r="AS139" s="3">
        <v>13322.6822</v>
      </c>
      <c r="AT139" s="3">
        <v>13695.2156</v>
      </c>
      <c r="AU139" s="3">
        <f t="shared" si="2"/>
        <v>11562.80696</v>
      </c>
      <c r="AV139" s="3">
        <f t="shared" si="3"/>
        <v>5724.971021</v>
      </c>
      <c r="AW139" s="3">
        <f t="shared" si="4"/>
        <v>11213.40134</v>
      </c>
      <c r="AX139" s="4">
        <f t="shared" si="5"/>
        <v>-0.0637208372</v>
      </c>
      <c r="AY139" s="4">
        <f t="shared" si="6"/>
        <v>0.02604635972</v>
      </c>
      <c r="AZ139" s="4">
        <f t="shared" si="7"/>
        <v>0.03479660953</v>
      </c>
    </row>
    <row r="140" ht="14.25" customHeight="1">
      <c r="A140" s="2" t="s">
        <v>284</v>
      </c>
      <c r="B140" s="3">
        <v>121916.6745</v>
      </c>
      <c r="C140" s="3">
        <v>121529.3103</v>
      </c>
      <c r="D140" s="3">
        <v>123045.1208</v>
      </c>
      <c r="E140" s="3">
        <v>123362.6041</v>
      </c>
      <c r="F140" s="3">
        <v>123963.541</v>
      </c>
      <c r="G140" s="3">
        <v>124568.0247</v>
      </c>
      <c r="H140" s="3">
        <v>125902.2792</v>
      </c>
      <c r="I140" s="3">
        <v>127199.4364</v>
      </c>
      <c r="J140" s="3">
        <v>131191.2719</v>
      </c>
      <c r="K140" s="3">
        <v>134977.1075</v>
      </c>
      <c r="L140" s="3">
        <v>137208.981</v>
      </c>
      <c r="M140" s="3">
        <v>137440.2875</v>
      </c>
      <c r="N140" s="3">
        <v>138713.4801</v>
      </c>
      <c r="O140" s="3">
        <v>136935.4008</v>
      </c>
      <c r="P140" s="3">
        <v>139005.6568</v>
      </c>
      <c r="Q140" s="3">
        <v>140820.9293</v>
      </c>
      <c r="R140" s="3">
        <v>142122.9753</v>
      </c>
      <c r="S140" s="3">
        <v>144630.6336</v>
      </c>
      <c r="T140" s="3">
        <v>148846.107</v>
      </c>
      <c r="U140" s="3">
        <v>152960.929</v>
      </c>
      <c r="V140" s="3">
        <v>158448.6364</v>
      </c>
      <c r="W140" s="3">
        <v>161780.582</v>
      </c>
      <c r="X140" s="3">
        <v>164210.595</v>
      </c>
      <c r="Y140" s="3">
        <v>166098.2405</v>
      </c>
      <c r="Z140" s="3">
        <v>171402.0913</v>
      </c>
      <c r="AA140" s="3">
        <v>174774.4892</v>
      </c>
      <c r="AB140" s="3">
        <v>185507.0944</v>
      </c>
      <c r="AC140" s="3">
        <v>213079.5458</v>
      </c>
      <c r="AD140" s="3">
        <v>213681.7289</v>
      </c>
      <c r="AE140" s="3">
        <v>184883.0556</v>
      </c>
      <c r="AF140" s="3">
        <v>183793.6238</v>
      </c>
      <c r="AG140" s="3">
        <v>191400.9543</v>
      </c>
      <c r="AH140" s="3">
        <v>189007.08</v>
      </c>
      <c r="AI140" s="3">
        <v>202120.6186</v>
      </c>
      <c r="AJ140" s="3">
        <v>211843.738</v>
      </c>
      <c r="AK140" s="3">
        <v>217762.2335</v>
      </c>
      <c r="AL140" s="3">
        <v>221133.5769</v>
      </c>
      <c r="AM140" s="3">
        <v>211445.8294</v>
      </c>
      <c r="AN140" s="3">
        <v>220610.7647</v>
      </c>
      <c r="AO140" s="3">
        <v>236797.3351</v>
      </c>
      <c r="AP140" s="3">
        <v>205773.4985</v>
      </c>
      <c r="AQ140" s="3">
        <v>247390.4662</v>
      </c>
      <c r="AR140" s="3">
        <v>271018.1486</v>
      </c>
      <c r="AS140" s="3">
        <v>289266.7312</v>
      </c>
      <c r="AT140" s="3">
        <v>307641.7512</v>
      </c>
      <c r="AU140" s="3">
        <f t="shared" si="2"/>
        <v>129797.2784</v>
      </c>
      <c r="AV140" s="3">
        <f t="shared" si="3"/>
        <v>170173.336</v>
      </c>
      <c r="AW140" s="3">
        <f t="shared" si="4"/>
        <v>227133.7567</v>
      </c>
      <c r="AX140" s="4">
        <f t="shared" si="5"/>
        <v>0.009413806111</v>
      </c>
      <c r="AY140" s="4">
        <f t="shared" si="6"/>
        <v>0.01963560693</v>
      </c>
      <c r="AZ140" s="4">
        <f t="shared" si="7"/>
        <v>0.03447860386</v>
      </c>
    </row>
    <row r="141" ht="14.25" customHeight="1">
      <c r="A141" s="2" t="s">
        <v>285</v>
      </c>
      <c r="B141" s="3">
        <v>8522.1772</v>
      </c>
      <c r="C141" s="3">
        <v>8933.1808</v>
      </c>
      <c r="D141" s="3">
        <v>9355.4511</v>
      </c>
      <c r="E141" s="3">
        <v>9570.3243</v>
      </c>
      <c r="F141" s="3">
        <v>9809.1433</v>
      </c>
      <c r="G141" s="3">
        <v>10041.204</v>
      </c>
      <c r="H141" s="3">
        <v>10651.8187</v>
      </c>
      <c r="I141" s="3">
        <v>10699.025</v>
      </c>
      <c r="J141" s="3">
        <v>10914.6693</v>
      </c>
      <c r="K141" s="3">
        <v>11070.7319</v>
      </c>
      <c r="L141" s="3">
        <v>10536.0687</v>
      </c>
      <c r="M141" s="3">
        <v>9389.2543</v>
      </c>
      <c r="N141" s="3">
        <v>8311.2813</v>
      </c>
      <c r="O141" s="3">
        <v>7847.1681</v>
      </c>
      <c r="P141" s="3">
        <v>7813.5597</v>
      </c>
      <c r="Q141" s="3">
        <v>8105.4056</v>
      </c>
      <c r="R141" s="3">
        <v>8085.6847</v>
      </c>
      <c r="S141" s="3">
        <v>8203.0913</v>
      </c>
      <c r="T141" s="3">
        <v>8283.4088</v>
      </c>
      <c r="U141" s="3">
        <v>8347.8615</v>
      </c>
      <c r="V141" s="3">
        <v>8249.6354</v>
      </c>
      <c r="W141" s="3">
        <v>8291.5458</v>
      </c>
      <c r="X141" s="3">
        <v>8480.0522</v>
      </c>
      <c r="Y141" s="3">
        <v>8860.7496</v>
      </c>
      <c r="Z141" s="3">
        <v>9568.9311</v>
      </c>
      <c r="AA141" s="3">
        <v>10013.0453</v>
      </c>
      <c r="AB141" s="3">
        <v>10598.3762</v>
      </c>
      <c r="AC141" s="3">
        <v>11389.1411</v>
      </c>
      <c r="AD141" s="3">
        <v>12093.1564</v>
      </c>
      <c r="AE141" s="3">
        <v>11655.0521</v>
      </c>
      <c r="AF141" s="3">
        <v>12121.9341</v>
      </c>
      <c r="AG141" s="3">
        <v>13901.9236</v>
      </c>
      <c r="AH141" s="3">
        <v>15270.2839</v>
      </c>
      <c r="AI141" s="3">
        <v>16705.4158</v>
      </c>
      <c r="AJ141" s="3">
        <v>17686.2802</v>
      </c>
      <c r="AK141" s="3">
        <v>17594.718</v>
      </c>
      <c r="AL141" s="3">
        <v>17561.9776</v>
      </c>
      <c r="AM141" s="3">
        <v>18262.8602</v>
      </c>
      <c r="AN141" s="3">
        <v>19392.6907</v>
      </c>
      <c r="AO141" s="3">
        <v>20210.502</v>
      </c>
      <c r="AP141" s="3">
        <v>19055.2969</v>
      </c>
      <c r="AQ141" s="3">
        <v>19159.161</v>
      </c>
      <c r="AR141" s="3">
        <v>19928.2014</v>
      </c>
      <c r="AS141" s="3">
        <v>21078.4913</v>
      </c>
      <c r="AT141" s="3">
        <v>24625.6319</v>
      </c>
      <c r="AU141" s="3">
        <f t="shared" si="2"/>
        <v>9564.33718</v>
      </c>
      <c r="AV141" s="3">
        <f t="shared" si="3"/>
        <v>9437.123679</v>
      </c>
      <c r="AW141" s="3">
        <f t="shared" si="4"/>
        <v>18170.35791</v>
      </c>
      <c r="AX141" s="4">
        <f t="shared" si="5"/>
        <v>-0.00618161476</v>
      </c>
      <c r="AY141" s="4">
        <f t="shared" si="6"/>
        <v>0.02628292853</v>
      </c>
      <c r="AZ141" s="4">
        <f t="shared" si="7"/>
        <v>0.04168546931</v>
      </c>
    </row>
    <row r="142" ht="14.25" customHeight="1">
      <c r="A142" s="2" t="s">
        <v>286</v>
      </c>
      <c r="B142" s="3">
        <v>21859.1763</v>
      </c>
      <c r="C142" s="3">
        <v>22006.6888</v>
      </c>
      <c r="D142" s="3">
        <v>22190.9436</v>
      </c>
      <c r="E142" s="3">
        <v>22344.067</v>
      </c>
      <c r="F142" s="3">
        <v>22458.638</v>
      </c>
      <c r="G142" s="3">
        <v>22536.8287</v>
      </c>
      <c r="H142" s="3">
        <v>22443.4343</v>
      </c>
      <c r="I142" s="3">
        <v>22287.9579</v>
      </c>
      <c r="J142" s="3">
        <v>22103.8841</v>
      </c>
      <c r="K142" s="3">
        <v>21903.3395</v>
      </c>
      <c r="L142" s="3">
        <v>21885.6018</v>
      </c>
      <c r="M142" s="3">
        <v>19336.2605</v>
      </c>
      <c r="N142" s="3">
        <v>14639.934</v>
      </c>
      <c r="O142" s="3">
        <v>9205.6832</v>
      </c>
      <c r="P142" s="3">
        <v>9264.6882</v>
      </c>
      <c r="Q142" s="3">
        <v>10508.1369</v>
      </c>
      <c r="R142" s="3">
        <v>13313.2268</v>
      </c>
      <c r="S142" s="3">
        <v>14101.1063</v>
      </c>
      <c r="T142" s="3">
        <v>14656.5858</v>
      </c>
      <c r="U142" s="3">
        <v>13330.9645</v>
      </c>
      <c r="V142" s="3">
        <v>15228.717</v>
      </c>
      <c r="W142" s="3">
        <v>15246.8166</v>
      </c>
      <c r="X142" s="3">
        <v>15533.3347</v>
      </c>
      <c r="Y142" s="3">
        <v>15809.898</v>
      </c>
      <c r="Z142" s="3">
        <v>16355.7846</v>
      </c>
      <c r="AA142" s="3">
        <v>16932.2598</v>
      </c>
      <c r="AB142" s="3">
        <v>18312.7231</v>
      </c>
      <c r="AC142" s="3">
        <v>19450.4696</v>
      </c>
      <c r="AD142" s="3">
        <v>20830.9329</v>
      </c>
      <c r="AE142" s="3">
        <v>19518.8864</v>
      </c>
      <c r="AF142" s="3">
        <v>19891.921</v>
      </c>
      <c r="AG142" s="3">
        <v>20551.2927</v>
      </c>
      <c r="AH142" s="3">
        <v>19855.9026</v>
      </c>
      <c r="AI142" s="3">
        <v>20509.8444</v>
      </c>
      <c r="AJ142" s="3">
        <v>20912.3815</v>
      </c>
      <c r="AK142" s="3">
        <v>21650.4869</v>
      </c>
      <c r="AL142" s="3">
        <v>22357.2798</v>
      </c>
      <c r="AM142" s="3">
        <v>23525.6147</v>
      </c>
      <c r="AN142" s="3">
        <v>24804.9008</v>
      </c>
      <c r="AO142" s="3">
        <v>25950.2492</v>
      </c>
      <c r="AP142" s="3">
        <v>22037.6392</v>
      </c>
      <c r="AQ142" s="3">
        <v>25036.0338</v>
      </c>
      <c r="AR142" s="3">
        <v>26227.5364</v>
      </c>
      <c r="AS142" s="3">
        <v>27202.7477</v>
      </c>
      <c r="AT142" s="3">
        <v>27766.01</v>
      </c>
      <c r="AU142" s="3">
        <f t="shared" si="2"/>
        <v>19764.47506</v>
      </c>
      <c r="AV142" s="3">
        <f t="shared" si="3"/>
        <v>16330.12186</v>
      </c>
      <c r="AW142" s="3">
        <f t="shared" si="4"/>
        <v>23218.65605</v>
      </c>
      <c r="AX142" s="4">
        <f t="shared" si="5"/>
        <v>-0.05947311289</v>
      </c>
      <c r="AY142" s="4">
        <f t="shared" si="6"/>
        <v>0.04522367143</v>
      </c>
      <c r="AZ142" s="4">
        <f t="shared" si="7"/>
        <v>0.02172467246</v>
      </c>
    </row>
    <row r="143" ht="14.25" customHeight="1">
      <c r="A143" s="2" t="s">
        <v>287</v>
      </c>
      <c r="B143" s="3">
        <v>40137.4543</v>
      </c>
      <c r="C143" s="3">
        <v>41450.7696</v>
      </c>
      <c r="D143" s="3">
        <v>43296.0254</v>
      </c>
      <c r="E143" s="3">
        <v>40297.6592</v>
      </c>
      <c r="F143" s="3">
        <v>41246.5405</v>
      </c>
      <c r="G143" s="3">
        <v>43318.1448</v>
      </c>
      <c r="H143" s="3">
        <v>44228.156</v>
      </c>
      <c r="I143" s="3">
        <v>45566.8121</v>
      </c>
      <c r="J143" s="3">
        <v>49585.4646</v>
      </c>
      <c r="K143" s="3">
        <v>51101.1836</v>
      </c>
      <c r="L143" s="3">
        <v>54668.857</v>
      </c>
      <c r="M143" s="3">
        <v>51644.6133</v>
      </c>
      <c r="N143" s="3">
        <v>53457.1194</v>
      </c>
      <c r="O143" s="3">
        <v>54350.7021</v>
      </c>
      <c r="P143" s="3">
        <v>60399.5118</v>
      </c>
      <c r="Q143" s="3">
        <v>58180.9098</v>
      </c>
      <c r="R143" s="3">
        <v>45818.6087</v>
      </c>
      <c r="S143" s="3">
        <v>38471.6237</v>
      </c>
      <c r="T143" s="3">
        <v>34637.2283</v>
      </c>
      <c r="U143" s="3">
        <v>35337.9638</v>
      </c>
      <c r="V143" s="3">
        <v>38465.3959</v>
      </c>
      <c r="W143" s="3">
        <v>41913.3452</v>
      </c>
      <c r="X143" s="3">
        <v>44063.1192</v>
      </c>
      <c r="Y143" s="3">
        <v>44160.6165</v>
      </c>
      <c r="Z143" s="3">
        <v>45924.8035</v>
      </c>
      <c r="AA143" s="3">
        <v>46936.8219</v>
      </c>
      <c r="AB143" s="3">
        <v>46196.8942</v>
      </c>
      <c r="AC143" s="3">
        <v>46046.3531</v>
      </c>
      <c r="AD143" s="3">
        <v>47432.1472</v>
      </c>
      <c r="AE143" s="3">
        <v>47690.4937</v>
      </c>
      <c r="AF143" s="3">
        <v>43951.4482</v>
      </c>
      <c r="AG143" s="3">
        <v>46316.7257</v>
      </c>
      <c r="AH143" s="3">
        <v>46476.179</v>
      </c>
      <c r="AI143" s="3">
        <v>47076.0885</v>
      </c>
      <c r="AJ143" s="3">
        <v>47909.9702</v>
      </c>
      <c r="AK143" s="3">
        <v>48483.2504</v>
      </c>
      <c r="AL143" s="3">
        <v>49081.8713</v>
      </c>
      <c r="AM143" s="3">
        <v>47226.2001</v>
      </c>
      <c r="AN143" s="3">
        <v>49281.0537</v>
      </c>
      <c r="AO143" s="3">
        <v>52386.9032</v>
      </c>
      <c r="AP143" s="3">
        <v>60118.6163</v>
      </c>
      <c r="AQ143" s="3">
        <v>63453.0692</v>
      </c>
      <c r="AR143" s="3">
        <v>65312.4986</v>
      </c>
      <c r="AS143" s="3">
        <v>70729.2934</v>
      </c>
      <c r="AT143" s="3">
        <v>76399.6029</v>
      </c>
      <c r="AU143" s="3">
        <f t="shared" si="2"/>
        <v>47649.93425</v>
      </c>
      <c r="AV143" s="3">
        <f t="shared" si="3"/>
        <v>43078.24392</v>
      </c>
      <c r="AW143" s="3">
        <f t="shared" si="4"/>
        <v>54280.18471</v>
      </c>
      <c r="AX143" s="4">
        <f t="shared" si="5"/>
        <v>0.02962102017</v>
      </c>
      <c r="AY143" s="4">
        <f t="shared" si="6"/>
        <v>-0.01410143057</v>
      </c>
      <c r="AZ143" s="4">
        <f t="shared" si="7"/>
        <v>0.03639481657</v>
      </c>
    </row>
    <row r="144" ht="14.25" customHeight="1">
      <c r="A144" s="2" t="s">
        <v>288</v>
      </c>
      <c r="B144" s="3">
        <v>5780.2569</v>
      </c>
      <c r="C144" s="3">
        <v>5439.4558</v>
      </c>
      <c r="D144" s="3">
        <v>5767.2752</v>
      </c>
      <c r="E144" s="3">
        <v>5546.4054</v>
      </c>
      <c r="F144" s="3">
        <v>5599.0745</v>
      </c>
      <c r="G144" s="3">
        <v>5762.6583</v>
      </c>
      <c r="H144" s="3">
        <v>6037.1749</v>
      </c>
      <c r="I144" s="3">
        <v>5711.8178</v>
      </c>
      <c r="J144" s="3">
        <v>6127.9381</v>
      </c>
      <c r="K144" s="3">
        <v>6097.2854</v>
      </c>
      <c r="L144" s="3">
        <v>6150.2985</v>
      </c>
      <c r="M144" s="3">
        <v>6390.0524</v>
      </c>
      <c r="N144" s="3">
        <v>5959.2666</v>
      </c>
      <c r="O144" s="3">
        <v>5732.4944</v>
      </c>
      <c r="P144" s="3">
        <v>6149.8096</v>
      </c>
      <c r="Q144" s="3">
        <v>5586.9256</v>
      </c>
      <c r="R144" s="3">
        <v>6101.3048</v>
      </c>
      <c r="S144" s="3">
        <v>5810.1673</v>
      </c>
      <c r="T144" s="3">
        <v>6096.018</v>
      </c>
      <c r="U144" s="3">
        <v>5973.6606</v>
      </c>
      <c r="V144" s="3">
        <v>5918.8369</v>
      </c>
      <c r="W144" s="3">
        <v>6211.5858</v>
      </c>
      <c r="X144" s="3">
        <v>6265.305</v>
      </c>
      <c r="Y144" s="3">
        <v>6506.9963</v>
      </c>
      <c r="Z144" s="3">
        <v>6657.5622</v>
      </c>
      <c r="AA144" s="3">
        <v>6685.1188</v>
      </c>
      <c r="AB144" s="3">
        <v>7025.8837</v>
      </c>
      <c r="AC144" s="3">
        <v>7043.5186</v>
      </c>
      <c r="AD144" s="3">
        <v>7372.6597</v>
      </c>
      <c r="AE144" s="3">
        <v>7946.2984</v>
      </c>
      <c r="AF144" s="3">
        <v>8174.0121</v>
      </c>
      <c r="AG144" s="3">
        <v>8596.7771</v>
      </c>
      <c r="AH144" s="3">
        <v>8709.267</v>
      </c>
      <c r="AI144" s="3">
        <v>9057.763</v>
      </c>
      <c r="AJ144" s="3">
        <v>9348.3393</v>
      </c>
      <c r="AK144" s="3">
        <v>9581.7562</v>
      </c>
      <c r="AL144" s="3">
        <v>9764.7492</v>
      </c>
      <c r="AM144" s="3">
        <v>10179.5116</v>
      </c>
      <c r="AN144" s="3">
        <v>10315.5387</v>
      </c>
      <c r="AO144" s="3">
        <v>10552.3957</v>
      </c>
      <c r="AP144" s="3">
        <v>9730.9823</v>
      </c>
      <c r="AQ144" s="3">
        <v>10375.3595</v>
      </c>
      <c r="AR144" s="3">
        <v>10601.5523</v>
      </c>
      <c r="AS144" s="3">
        <v>10800.9852</v>
      </c>
      <c r="AT144" s="3">
        <v>11124.6222</v>
      </c>
      <c r="AU144" s="3">
        <f t="shared" si="2"/>
        <v>5883.417587</v>
      </c>
      <c r="AV144" s="3">
        <f t="shared" si="3"/>
        <v>6543.922579</v>
      </c>
      <c r="AW144" s="3">
        <f t="shared" si="4"/>
        <v>9794.24076</v>
      </c>
      <c r="AX144" s="4">
        <f t="shared" si="5"/>
        <v>0.004436454478</v>
      </c>
      <c r="AY144" s="4">
        <f t="shared" si="6"/>
        <v>0.0254818984</v>
      </c>
      <c r="AZ144" s="4">
        <f t="shared" si="7"/>
        <v>0.01858294544</v>
      </c>
    </row>
    <row r="145" ht="14.25" customHeight="1">
      <c r="A145" s="2" t="s">
        <v>289</v>
      </c>
      <c r="B145" s="3">
        <v>1063.725</v>
      </c>
      <c r="C145" s="3">
        <v>1063.0206</v>
      </c>
      <c r="D145" s="3">
        <v>1006.0008</v>
      </c>
      <c r="E145" s="3">
        <v>860.5221</v>
      </c>
      <c r="F145" s="3">
        <v>875.3532</v>
      </c>
      <c r="G145" s="3">
        <v>788.426</v>
      </c>
      <c r="H145" s="3">
        <v>792.5188</v>
      </c>
      <c r="I145" s="3">
        <v>841.5326</v>
      </c>
      <c r="J145" s="3">
        <v>893.8778</v>
      </c>
      <c r="K145" s="3">
        <v>955.0303</v>
      </c>
      <c r="L145" s="3">
        <v>960.244</v>
      </c>
      <c r="M145" s="3">
        <v>997.0707</v>
      </c>
      <c r="N145" s="3">
        <v>901.4559</v>
      </c>
      <c r="O145" s="3">
        <v>966.1223</v>
      </c>
      <c r="P145" s="3">
        <v>958.7581</v>
      </c>
      <c r="Q145" s="3">
        <v>919.9862</v>
      </c>
      <c r="R145" s="3">
        <v>983.2579</v>
      </c>
      <c r="S145" s="3">
        <v>1070.7013</v>
      </c>
      <c r="T145" s="3">
        <v>1157.7712</v>
      </c>
      <c r="U145" s="3">
        <v>1267.7408</v>
      </c>
      <c r="V145" s="3">
        <v>1252.2566</v>
      </c>
      <c r="W145" s="3">
        <v>1385.4511</v>
      </c>
      <c r="X145" s="3">
        <v>1489.4626</v>
      </c>
      <c r="Y145" s="3">
        <v>1564.468</v>
      </c>
      <c r="Z145" s="3">
        <v>1657.7098</v>
      </c>
      <c r="AA145" s="3">
        <v>1724.8804</v>
      </c>
      <c r="AB145" s="3">
        <v>1854.5297</v>
      </c>
      <c r="AC145" s="3">
        <v>1951.8415</v>
      </c>
      <c r="AD145" s="3">
        <v>2029.274</v>
      </c>
      <c r="AE145" s="3">
        <v>2100.5317</v>
      </c>
      <c r="AF145" s="3">
        <v>2187.824</v>
      </c>
      <c r="AG145" s="3">
        <v>2284.6624</v>
      </c>
      <c r="AH145" s="3">
        <v>2401.3716</v>
      </c>
      <c r="AI145" s="3">
        <v>2486.1768</v>
      </c>
      <c r="AJ145" s="3">
        <v>2595.3051</v>
      </c>
      <c r="AK145" s="3">
        <v>2695.5033</v>
      </c>
      <c r="AL145" s="3">
        <v>2737.3811</v>
      </c>
      <c r="AM145" s="3">
        <v>2716.4379</v>
      </c>
      <c r="AN145" s="3">
        <v>2717.1595</v>
      </c>
      <c r="AO145" s="3">
        <v>2693.6066</v>
      </c>
      <c r="AP145" s="3">
        <v>2570.7653</v>
      </c>
      <c r="AQ145" s="3">
        <v>2554.4511</v>
      </c>
      <c r="AR145" s="3">
        <v>2565.2151</v>
      </c>
      <c r="AS145" s="3">
        <v>2627.0151</v>
      </c>
      <c r="AT145" s="3">
        <v>2587.0653</v>
      </c>
      <c r="AU145" s="3">
        <f t="shared" si="2"/>
        <v>928.24388</v>
      </c>
      <c r="AV145" s="3">
        <f t="shared" si="3"/>
        <v>1534.991186</v>
      </c>
      <c r="AW145" s="3">
        <f t="shared" si="4"/>
        <v>2561.329347</v>
      </c>
      <c r="AX145" s="4">
        <f t="shared" si="5"/>
        <v>-0.007393488175</v>
      </c>
      <c r="AY145" s="4">
        <f t="shared" si="6"/>
        <v>0.06074395683</v>
      </c>
      <c r="AZ145" s="4">
        <f t="shared" si="7"/>
        <v>0.008918526397</v>
      </c>
    </row>
    <row r="146" ht="14.25" customHeight="1">
      <c r="A146" s="2" t="s">
        <v>290</v>
      </c>
      <c r="B146" s="3">
        <v>1048.8575</v>
      </c>
      <c r="C146" s="3">
        <v>1094.1133</v>
      </c>
      <c r="D146" s="3">
        <v>1130.5259</v>
      </c>
      <c r="E146" s="3">
        <v>1154.8641</v>
      </c>
      <c r="F146" s="3">
        <v>1179.6628</v>
      </c>
      <c r="G146" s="3">
        <v>1188.423</v>
      </c>
      <c r="H146" s="3">
        <v>1157.6668</v>
      </c>
      <c r="I146" s="3">
        <v>1091.3597</v>
      </c>
      <c r="J146" s="3">
        <v>961.0594</v>
      </c>
      <c r="K146" s="3">
        <v>941.6989</v>
      </c>
      <c r="L146" s="3">
        <v>946.2489</v>
      </c>
      <c r="M146" s="3">
        <v>926.4464</v>
      </c>
      <c r="N146" s="3">
        <v>974.5068</v>
      </c>
      <c r="O146" s="3">
        <v>1019.9924</v>
      </c>
      <c r="P146" s="3">
        <v>1069.639</v>
      </c>
      <c r="Q146" s="3">
        <v>1121.3812</v>
      </c>
      <c r="R146" s="3">
        <v>1170.6612</v>
      </c>
      <c r="S146" s="3">
        <v>1213.8968</v>
      </c>
      <c r="T146" s="3">
        <v>1249.6937</v>
      </c>
      <c r="U146" s="3">
        <v>1342.1099</v>
      </c>
      <c r="V146" s="3">
        <v>1483.9621</v>
      </c>
      <c r="W146" s="3">
        <v>1635.6254</v>
      </c>
      <c r="X146" s="3">
        <v>1801.493</v>
      </c>
      <c r="Y146" s="3">
        <v>2002.6159</v>
      </c>
      <c r="Z146" s="3">
        <v>2228.4907</v>
      </c>
      <c r="AA146" s="3">
        <v>2496.5417</v>
      </c>
      <c r="AB146" s="3">
        <v>2783.0119</v>
      </c>
      <c r="AC146" s="3">
        <v>3079.1579</v>
      </c>
      <c r="AD146" s="3">
        <v>3358.9401</v>
      </c>
      <c r="AE146" s="3">
        <v>3660.832</v>
      </c>
      <c r="AF146" s="3">
        <v>3980.2501</v>
      </c>
      <c r="AG146" s="3">
        <v>4181.1941</v>
      </c>
      <c r="AH146" s="3">
        <v>4398.8765</v>
      </c>
      <c r="AI146" s="3">
        <v>4685.6624</v>
      </c>
      <c r="AJ146" s="3">
        <v>4988.5479</v>
      </c>
      <c r="AK146" s="3">
        <v>5272.4505</v>
      </c>
      <c r="AL146" s="3">
        <v>5449.0688</v>
      </c>
      <c r="AM146" s="3">
        <v>5647.9515</v>
      </c>
      <c r="AN146" s="3">
        <v>5827.721</v>
      </c>
      <c r="AO146" s="3">
        <v>6029.171</v>
      </c>
      <c r="AP146" s="3">
        <v>5958.8373</v>
      </c>
      <c r="AQ146" s="3">
        <v>5967.1908</v>
      </c>
      <c r="AR146" s="3">
        <v>6086.239</v>
      </c>
      <c r="AS146" s="3">
        <v>6105.2295</v>
      </c>
      <c r="AT146" s="3">
        <v>5966.4806</v>
      </c>
      <c r="AU146" s="3">
        <f t="shared" si="2"/>
        <v>1059.004327</v>
      </c>
      <c r="AV146" s="3">
        <f t="shared" si="3"/>
        <v>2107.645164</v>
      </c>
      <c r="AW146" s="3">
        <f t="shared" si="4"/>
        <v>5369.658067</v>
      </c>
      <c r="AX146" s="4">
        <f t="shared" si="5"/>
        <v>0.00140239185</v>
      </c>
      <c r="AY146" s="4">
        <f t="shared" si="6"/>
        <v>0.08818289466</v>
      </c>
      <c r="AZ146" s="4">
        <f t="shared" si="7"/>
        <v>0.02572242462</v>
      </c>
    </row>
    <row r="147" ht="14.25" customHeight="1">
      <c r="A147" s="2" t="s">
        <v>291</v>
      </c>
      <c r="B147" s="3">
        <v>16217.2957</v>
      </c>
      <c r="C147" s="3">
        <v>16435.6617</v>
      </c>
      <c r="D147" s="3">
        <v>16194.0542</v>
      </c>
      <c r="E147" s="3">
        <v>15455.7725</v>
      </c>
      <c r="F147" s="3">
        <v>14971.1122</v>
      </c>
      <c r="G147" s="3">
        <v>14542.8844</v>
      </c>
      <c r="H147" s="3">
        <v>14681.5568</v>
      </c>
      <c r="I147" s="3">
        <v>14614.1132</v>
      </c>
      <c r="J147" s="3">
        <v>14075.3505</v>
      </c>
      <c r="K147" s="3">
        <v>13047.9558</v>
      </c>
      <c r="L147" s="3">
        <v>12220.3554</v>
      </c>
      <c r="M147" s="3">
        <v>12722.6434</v>
      </c>
      <c r="N147" s="3">
        <v>13168.6465</v>
      </c>
      <c r="O147" s="3">
        <v>12519.8111</v>
      </c>
      <c r="P147" s="3">
        <v>12314.5209</v>
      </c>
      <c r="Q147" s="3">
        <v>12377.8157</v>
      </c>
      <c r="R147" s="3">
        <v>12362.9014</v>
      </c>
      <c r="S147" s="3">
        <v>12495.1735</v>
      </c>
      <c r="T147" s="3">
        <v>12534.4993</v>
      </c>
      <c r="U147" s="3">
        <v>12601.0482</v>
      </c>
      <c r="V147" s="3">
        <v>12711.5437</v>
      </c>
      <c r="W147" s="3">
        <v>12562.1748</v>
      </c>
      <c r="X147" s="3">
        <v>12887.9197</v>
      </c>
      <c r="Y147" s="3">
        <v>13176.8754</v>
      </c>
      <c r="Z147" s="3">
        <v>14521.3241</v>
      </c>
      <c r="AA147" s="3">
        <v>14613.3168</v>
      </c>
      <c r="AB147" s="3">
        <v>15353.85</v>
      </c>
      <c r="AC147" s="3">
        <v>15855.4694</v>
      </c>
      <c r="AD147" s="3">
        <v>15851.006</v>
      </c>
      <c r="AE147" s="3">
        <v>15540.3228</v>
      </c>
      <c r="AF147" s="3">
        <v>16065.3607</v>
      </c>
      <c r="AG147" s="3">
        <v>16426.3317</v>
      </c>
      <c r="AH147" s="3">
        <v>16739.8463</v>
      </c>
      <c r="AI147" s="3">
        <v>17096.3735</v>
      </c>
      <c r="AJ147" s="3">
        <v>17538.6012</v>
      </c>
      <c r="AK147" s="3">
        <v>17681.0391</v>
      </c>
      <c r="AL147" s="3">
        <v>17193.2524</v>
      </c>
      <c r="AM147" s="3">
        <v>16521.5098</v>
      </c>
      <c r="AN147" s="3">
        <v>16201.5261</v>
      </c>
      <c r="AO147" s="3">
        <v>15608.5038</v>
      </c>
      <c r="AP147" s="3">
        <v>13906.535</v>
      </c>
      <c r="AQ147" s="3">
        <v>14061.4686</v>
      </c>
      <c r="AR147" s="3">
        <v>14362.7135</v>
      </c>
      <c r="AS147" s="3">
        <v>14624.0822</v>
      </c>
      <c r="AT147" s="3">
        <v>14753.1985</v>
      </c>
      <c r="AU147" s="3">
        <f t="shared" si="2"/>
        <v>14212.11562</v>
      </c>
      <c r="AV147" s="3">
        <f t="shared" si="3"/>
        <v>13790.53036</v>
      </c>
      <c r="AW147" s="3">
        <f t="shared" si="4"/>
        <v>15918.68949</v>
      </c>
      <c r="AX147" s="4">
        <f t="shared" si="5"/>
        <v>-0.01947214743</v>
      </c>
      <c r="AY147" s="4">
        <f t="shared" si="6"/>
        <v>0.0163850945</v>
      </c>
      <c r="AZ147" s="4">
        <f t="shared" si="7"/>
        <v>-0.007643902215</v>
      </c>
    </row>
    <row r="148" ht="14.25" customHeight="1">
      <c r="A148" s="2" t="s">
        <v>292</v>
      </c>
      <c r="B148" s="3">
        <v>42820.6099</v>
      </c>
      <c r="C148" s="3">
        <v>40394.1445</v>
      </c>
      <c r="D148" s="3">
        <v>38332.9927</v>
      </c>
      <c r="E148" s="3">
        <v>36918.0097</v>
      </c>
      <c r="F148" s="3">
        <v>35916.2461</v>
      </c>
      <c r="G148" s="3">
        <v>34962.9043</v>
      </c>
      <c r="H148" s="3">
        <v>33973.6547</v>
      </c>
      <c r="I148" s="3">
        <v>32951.6365</v>
      </c>
      <c r="J148" s="3">
        <v>31889.0661</v>
      </c>
      <c r="K148" s="3">
        <v>30814.1968</v>
      </c>
      <c r="L148" s="3">
        <v>27148.6752</v>
      </c>
      <c r="M148" s="3">
        <v>22184.7527</v>
      </c>
      <c r="N148" s="3">
        <v>18523.5314</v>
      </c>
      <c r="O148" s="3">
        <v>16567.0929</v>
      </c>
      <c r="P148" s="3">
        <v>15550.8802</v>
      </c>
      <c r="Q148" s="3">
        <v>13985.6864</v>
      </c>
      <c r="R148" s="3">
        <v>12477.7731</v>
      </c>
      <c r="S148" s="3">
        <v>11139.508</v>
      </c>
      <c r="T148" s="3">
        <v>10041.6749</v>
      </c>
      <c r="U148" s="3">
        <v>9304.4681</v>
      </c>
      <c r="V148" s="3">
        <v>8601.1049</v>
      </c>
      <c r="W148" s="3">
        <v>7820.2926</v>
      </c>
      <c r="X148" s="3">
        <v>7385.5285</v>
      </c>
      <c r="Y148" s="3">
        <v>7192.7014</v>
      </c>
      <c r="Z148" s="3">
        <v>6562.96</v>
      </c>
      <c r="AA148" s="3">
        <v>5449.0005</v>
      </c>
      <c r="AB148" s="3">
        <v>4887.6345</v>
      </c>
      <c r="AC148" s="3">
        <v>7094.4817</v>
      </c>
      <c r="AD148" s="3">
        <v>8378.1754</v>
      </c>
      <c r="AE148" s="3">
        <v>8004.9921</v>
      </c>
      <c r="AF148" s="3">
        <v>8932.7039</v>
      </c>
      <c r="AG148" s="3">
        <v>10040.2988</v>
      </c>
      <c r="AH148" s="3">
        <v>10954.4645</v>
      </c>
      <c r="AI148" s="3">
        <v>13229.3</v>
      </c>
      <c r="AJ148" s="3">
        <v>15378.1356</v>
      </c>
      <c r="AK148" s="3">
        <v>15672.7087</v>
      </c>
      <c r="AL148" s="3">
        <v>15186.2546</v>
      </c>
      <c r="AM148" s="3">
        <v>14357.1495</v>
      </c>
      <c r="AN148" s="3">
        <v>14560.8995</v>
      </c>
      <c r="AO148" s="3">
        <v>15156.0662</v>
      </c>
      <c r="AP148" s="3">
        <v>15885.2314</v>
      </c>
      <c r="AQ148" s="3">
        <v>16588.7236</v>
      </c>
      <c r="AR148" s="3">
        <v>16779.2286</v>
      </c>
      <c r="AS148" s="3">
        <v>16972.7007</v>
      </c>
      <c r="AT148" s="3">
        <v>17261.1674</v>
      </c>
      <c r="AU148" s="3">
        <f t="shared" si="2"/>
        <v>30596.55958</v>
      </c>
      <c r="AV148" s="3">
        <f t="shared" si="3"/>
        <v>8167.163979</v>
      </c>
      <c r="AW148" s="3">
        <f t="shared" si="4"/>
        <v>14463.66887</v>
      </c>
      <c r="AX148" s="4">
        <f t="shared" si="5"/>
        <v>-0.06979488483</v>
      </c>
      <c r="AY148" s="4">
        <f t="shared" si="6"/>
        <v>-0.03907117087</v>
      </c>
      <c r="AZ148" s="4">
        <f t="shared" si="7"/>
        <v>0.03946249316</v>
      </c>
    </row>
    <row r="149" ht="14.25" customHeight="1">
      <c r="A149" s="2" t="s">
        <v>293</v>
      </c>
      <c r="B149" s="3">
        <v>2041.4234</v>
      </c>
      <c r="C149" s="3">
        <v>2116.631</v>
      </c>
      <c r="D149" s="3">
        <v>2077.7435</v>
      </c>
      <c r="E149" s="3">
        <v>2094.3408</v>
      </c>
      <c r="F149" s="3">
        <v>2211.5534</v>
      </c>
      <c r="G149" s="3">
        <v>2282.652</v>
      </c>
      <c r="H149" s="3">
        <v>2306.9938</v>
      </c>
      <c r="I149" s="3">
        <v>2371.6195</v>
      </c>
      <c r="J149" s="3">
        <v>2467.4689</v>
      </c>
      <c r="K149" s="3">
        <v>2526.1417</v>
      </c>
      <c r="L149" s="3">
        <v>2603.0986</v>
      </c>
      <c r="M149" s="3">
        <v>2669.7657</v>
      </c>
      <c r="N149" s="3">
        <v>2691.3789</v>
      </c>
      <c r="O149" s="3">
        <v>2773.5732</v>
      </c>
      <c r="P149" s="3">
        <v>2864.0239</v>
      </c>
      <c r="Q149" s="3">
        <v>2922.072</v>
      </c>
      <c r="R149" s="3">
        <v>3012.6456</v>
      </c>
      <c r="S149" s="3">
        <v>3070.7884</v>
      </c>
      <c r="T149" s="3">
        <v>3120.0341</v>
      </c>
      <c r="U149" s="3">
        <v>3216.6876</v>
      </c>
      <c r="V149" s="3">
        <v>3338.7448</v>
      </c>
      <c r="W149" s="3">
        <v>3393.6189</v>
      </c>
      <c r="X149" s="3">
        <v>3435.368</v>
      </c>
      <c r="Y149" s="3">
        <v>3554.1485</v>
      </c>
      <c r="Z149" s="3">
        <v>3672.538</v>
      </c>
      <c r="AA149" s="3">
        <v>3774.7092</v>
      </c>
      <c r="AB149" s="3">
        <v>3882.7869</v>
      </c>
      <c r="AC149" s="3">
        <v>4050.8352</v>
      </c>
      <c r="AD149" s="3">
        <v>4255.4616</v>
      </c>
      <c r="AE149" s="3">
        <v>4436.1594</v>
      </c>
      <c r="AF149" s="3">
        <v>4599.2765</v>
      </c>
      <c r="AG149" s="3">
        <v>4744.4784</v>
      </c>
      <c r="AH149" s="3">
        <v>4887.9794</v>
      </c>
      <c r="AI149" s="3">
        <v>5064.0987</v>
      </c>
      <c r="AJ149" s="3">
        <v>5240.6935</v>
      </c>
      <c r="AK149" s="3">
        <v>5256.7648</v>
      </c>
      <c r="AL149" s="3">
        <v>5402.138</v>
      </c>
      <c r="AM149" s="3">
        <v>5772.4871</v>
      </c>
      <c r="AN149" s="3">
        <v>6099.2594</v>
      </c>
      <c r="AO149" s="3">
        <v>6049.0001</v>
      </c>
      <c r="AP149" s="3">
        <v>5860.4873</v>
      </c>
      <c r="AQ149" s="3">
        <v>5909.465</v>
      </c>
      <c r="AR149" s="3">
        <v>5872.9977</v>
      </c>
      <c r="AS149" s="3">
        <v>6214.9909</v>
      </c>
      <c r="AT149" s="3">
        <v>6368.1609</v>
      </c>
      <c r="AU149" s="3">
        <f t="shared" si="2"/>
        <v>2406.560553</v>
      </c>
      <c r="AV149" s="3">
        <f t="shared" si="3"/>
        <v>3586.751871</v>
      </c>
      <c r="AW149" s="3">
        <f t="shared" si="4"/>
        <v>5556.151847</v>
      </c>
      <c r="AX149" s="4">
        <f t="shared" si="5"/>
        <v>0.02447911817</v>
      </c>
      <c r="AY149" s="4">
        <f t="shared" si="6"/>
        <v>0.03027024985</v>
      </c>
      <c r="AZ149" s="4">
        <f t="shared" si="7"/>
        <v>0.02124606635</v>
      </c>
    </row>
    <row r="150" ht="14.25" customHeight="1">
      <c r="A150" s="2" t="s">
        <v>294</v>
      </c>
      <c r="B150" s="3">
        <v>40485.3564</v>
      </c>
      <c r="C150" s="3">
        <v>39564.7996</v>
      </c>
      <c r="D150" s="3">
        <v>38539.0164</v>
      </c>
      <c r="E150" s="3">
        <v>38809.7736</v>
      </c>
      <c r="F150" s="3">
        <v>39437.1994</v>
      </c>
      <c r="G150" s="3">
        <v>39879.2555</v>
      </c>
      <c r="H150" s="3">
        <v>40429.5094</v>
      </c>
      <c r="I150" s="3">
        <v>40651.9358</v>
      </c>
      <c r="J150" s="3">
        <v>41489.465</v>
      </c>
      <c r="K150" s="3">
        <v>42764.3308</v>
      </c>
      <c r="L150" s="3">
        <v>43953.1975</v>
      </c>
      <c r="M150" s="3">
        <v>44421.9097</v>
      </c>
      <c r="N150" s="3">
        <v>44634.1106</v>
      </c>
      <c r="O150" s="3">
        <v>44747.902</v>
      </c>
      <c r="P150" s="3">
        <v>45732.958</v>
      </c>
      <c r="Q150" s="3">
        <v>46892.1096</v>
      </c>
      <c r="R150" s="3">
        <v>48292.915</v>
      </c>
      <c r="S150" s="3">
        <v>50120.1323</v>
      </c>
      <c r="T150" s="3">
        <v>52136.2154</v>
      </c>
      <c r="U150" s="3">
        <v>54410.1207</v>
      </c>
      <c r="V150" s="3">
        <v>56307.6055</v>
      </c>
      <c r="W150" s="3">
        <v>57194.3395</v>
      </c>
      <c r="X150" s="3">
        <v>56964.5717</v>
      </c>
      <c r="Y150" s="3">
        <v>56788.6408</v>
      </c>
      <c r="Z150" s="3">
        <v>57676.3361</v>
      </c>
      <c r="AA150" s="3">
        <v>58634.0367</v>
      </c>
      <c r="AB150" s="3">
        <v>60446.2217</v>
      </c>
      <c r="AC150" s="3">
        <v>62444.6504</v>
      </c>
      <c r="AD150" s="3">
        <v>63399.5544</v>
      </c>
      <c r="AE150" s="3">
        <v>60620.4921</v>
      </c>
      <c r="AF150" s="3">
        <v>60961.1671</v>
      </c>
      <c r="AG150" s="3">
        <v>61434.5988</v>
      </c>
      <c r="AH150" s="3">
        <v>60392.4723</v>
      </c>
      <c r="AI150" s="3">
        <v>59954.3491</v>
      </c>
      <c r="AJ150" s="3">
        <v>60410.5635</v>
      </c>
      <c r="AK150" s="3">
        <v>61164.1912</v>
      </c>
      <c r="AL150" s="3">
        <v>62026.3665</v>
      </c>
      <c r="AM150" s="3">
        <v>63295.5515</v>
      </c>
      <c r="AN150" s="3">
        <v>64222.4882</v>
      </c>
      <c r="AO150" s="3">
        <v>64833.833</v>
      </c>
      <c r="AP150" s="3">
        <v>61732.0995</v>
      </c>
      <c r="AQ150" s="3">
        <v>64980.5732</v>
      </c>
      <c r="AR150" s="3">
        <v>66940.8967</v>
      </c>
      <c r="AS150" s="3">
        <v>66078.3718</v>
      </c>
      <c r="AT150" s="3">
        <v>66045.0734</v>
      </c>
      <c r="AU150" s="3">
        <f t="shared" si="2"/>
        <v>41702.71465</v>
      </c>
      <c r="AV150" s="3">
        <f t="shared" si="3"/>
        <v>56816.84516</v>
      </c>
      <c r="AW150" s="3">
        <f t="shared" si="4"/>
        <v>62964.83972</v>
      </c>
      <c r="AX150" s="4">
        <f t="shared" si="5"/>
        <v>0.008743638612</v>
      </c>
      <c r="AY150" s="4">
        <f t="shared" si="6"/>
        <v>0.01851092517</v>
      </c>
      <c r="AZ150" s="4">
        <f t="shared" si="7"/>
        <v>0.005182257716</v>
      </c>
    </row>
    <row r="151" ht="14.25" customHeight="1">
      <c r="A151" s="2" t="s">
        <v>295</v>
      </c>
      <c r="B151" s="3">
        <v>31624.6811</v>
      </c>
      <c r="C151" s="3">
        <v>28921.9886</v>
      </c>
      <c r="D151" s="3">
        <v>29128.4072</v>
      </c>
      <c r="E151" s="3">
        <v>27962.1958</v>
      </c>
      <c r="F151" s="3">
        <v>27699.9861</v>
      </c>
      <c r="G151" s="3">
        <v>28087.4422</v>
      </c>
      <c r="H151" s="3">
        <v>26973.8095</v>
      </c>
      <c r="I151" s="3">
        <v>27656.7576</v>
      </c>
      <c r="J151" s="3">
        <v>36118.398</v>
      </c>
      <c r="K151" s="3">
        <v>39090.0757</v>
      </c>
      <c r="L151" s="3">
        <v>39286.8707</v>
      </c>
      <c r="M151" s="3">
        <v>39628.2793</v>
      </c>
      <c r="N151" s="3">
        <v>38324.9393</v>
      </c>
      <c r="O151" s="3">
        <v>37110.1076</v>
      </c>
      <c r="P151" s="3">
        <v>36712.7394</v>
      </c>
      <c r="Q151" s="3">
        <v>37545.7013</v>
      </c>
      <c r="R151" s="3">
        <v>36502.426</v>
      </c>
      <c r="S151" s="3">
        <v>36173.6512</v>
      </c>
      <c r="T151" s="3">
        <v>34096.2415</v>
      </c>
      <c r="U151" s="3">
        <v>34676.4585</v>
      </c>
      <c r="V151" s="3">
        <v>34638.9717</v>
      </c>
      <c r="W151" s="3">
        <v>34451.7388</v>
      </c>
      <c r="X151" s="3">
        <v>34453.8255</v>
      </c>
      <c r="Y151" s="3">
        <v>35247.9559</v>
      </c>
      <c r="Z151" s="3">
        <v>35805.9867</v>
      </c>
      <c r="AA151" s="3">
        <v>36390.86</v>
      </c>
      <c r="AB151" s="3">
        <v>37701.915</v>
      </c>
      <c r="AC151" s="3">
        <v>38426.104</v>
      </c>
      <c r="AD151" s="3">
        <v>37845.7704</v>
      </c>
      <c r="AE151" s="3">
        <v>37889.9937</v>
      </c>
      <c r="AF151" s="3">
        <v>39553.0919</v>
      </c>
      <c r="AG151" s="3">
        <v>40261.9122</v>
      </c>
      <c r="AH151" s="3">
        <v>39980.9122</v>
      </c>
      <c r="AI151" s="3">
        <v>39754.8963</v>
      </c>
      <c r="AJ151" s="3">
        <v>39610.6749</v>
      </c>
      <c r="AK151" s="3">
        <v>39338.3328</v>
      </c>
      <c r="AL151" s="3">
        <v>38912.515</v>
      </c>
      <c r="AM151" s="3">
        <v>39238.1467</v>
      </c>
      <c r="AN151" s="3">
        <v>39164.3169</v>
      </c>
      <c r="AO151" s="3">
        <v>38366.2431</v>
      </c>
      <c r="AP151" s="3">
        <v>37104.6769</v>
      </c>
      <c r="AQ151" s="3">
        <v>35973.6646</v>
      </c>
      <c r="AR151" s="3">
        <v>36648.9124</v>
      </c>
      <c r="AS151" s="3">
        <v>36200.4645</v>
      </c>
      <c r="AT151" s="3">
        <v>35555.3545</v>
      </c>
      <c r="AU151" s="3">
        <f t="shared" si="2"/>
        <v>32955.11187</v>
      </c>
      <c r="AV151" s="3">
        <f t="shared" si="3"/>
        <v>36021.56421</v>
      </c>
      <c r="AW151" s="3">
        <f t="shared" si="4"/>
        <v>38377.60766</v>
      </c>
      <c r="AX151" s="4">
        <f t="shared" si="5"/>
        <v>0.01071311846</v>
      </c>
      <c r="AY151" s="4">
        <f t="shared" si="6"/>
        <v>0.0006522244962</v>
      </c>
      <c r="AZ151" s="4">
        <f t="shared" si="7"/>
        <v>-0.008840345993</v>
      </c>
    </row>
    <row r="152" ht="14.25" customHeight="1">
      <c r="A152" s="2" t="s">
        <v>296</v>
      </c>
      <c r="B152" s="3">
        <v>32130.7368</v>
      </c>
      <c r="C152" s="3">
        <v>32854.1002</v>
      </c>
      <c r="D152" s="3">
        <v>32767.4624</v>
      </c>
      <c r="E152" s="3">
        <v>32997.5293</v>
      </c>
      <c r="F152" s="3">
        <v>33856.4455</v>
      </c>
      <c r="G152" s="3">
        <v>34206.359</v>
      </c>
      <c r="H152" s="3">
        <v>33055.8405</v>
      </c>
      <c r="I152" s="3">
        <v>32835.6764</v>
      </c>
      <c r="J152" s="3">
        <v>33097.7546</v>
      </c>
      <c r="K152" s="3">
        <v>33020.3747</v>
      </c>
      <c r="L152" s="3">
        <v>32448.0402</v>
      </c>
      <c r="M152" s="3">
        <v>31132.4447</v>
      </c>
      <c r="N152" s="3">
        <v>30648.6364</v>
      </c>
      <c r="O152" s="3">
        <v>31754.247</v>
      </c>
      <c r="P152" s="3">
        <v>32977.3092</v>
      </c>
      <c r="Q152" s="3">
        <v>33966.4815</v>
      </c>
      <c r="R152" s="3">
        <v>34629.8755</v>
      </c>
      <c r="S152" s="3">
        <v>35192.5375</v>
      </c>
      <c r="T152" s="3">
        <v>35358.6739</v>
      </c>
      <c r="U152" s="3">
        <v>36550.2314</v>
      </c>
      <c r="V152" s="3">
        <v>37371.8395</v>
      </c>
      <c r="W152" s="3">
        <v>38265.4846</v>
      </c>
      <c r="X152" s="3">
        <v>39396.6582</v>
      </c>
      <c r="Y152" s="3">
        <v>40402.8725</v>
      </c>
      <c r="Z152" s="3">
        <v>41084.9206</v>
      </c>
      <c r="AA152" s="3">
        <v>41778.4835</v>
      </c>
      <c r="AB152" s="3">
        <v>42306.0943</v>
      </c>
      <c r="AC152" s="3">
        <v>43273.3423</v>
      </c>
      <c r="AD152" s="3">
        <v>42638.0906</v>
      </c>
      <c r="AE152" s="3">
        <v>42606.1254</v>
      </c>
      <c r="AF152" s="3">
        <v>42582.7733</v>
      </c>
      <c r="AG152" s="3">
        <v>43063.4955</v>
      </c>
      <c r="AH152" s="3">
        <v>43760.1444</v>
      </c>
      <c r="AI152" s="3">
        <v>44146.537</v>
      </c>
      <c r="AJ152" s="3">
        <v>44678.1089</v>
      </c>
      <c r="AK152" s="3">
        <v>45339.6605</v>
      </c>
      <c r="AL152" s="3">
        <v>45898.2693</v>
      </c>
      <c r="AM152" s="3">
        <v>46679.5294</v>
      </c>
      <c r="AN152" s="3">
        <v>47512.2378</v>
      </c>
      <c r="AO152" s="3">
        <v>47839.8586</v>
      </c>
      <c r="AP152" s="3">
        <v>47201.4288</v>
      </c>
      <c r="AQ152" s="3">
        <v>48286.8193</v>
      </c>
      <c r="AR152" s="3">
        <v>49479.0216</v>
      </c>
      <c r="AS152" s="3">
        <v>49542.6757</v>
      </c>
      <c r="AT152" s="3">
        <v>48806.3236</v>
      </c>
      <c r="AU152" s="3">
        <f t="shared" si="2"/>
        <v>32652.19713</v>
      </c>
      <c r="AV152" s="3">
        <f t="shared" si="3"/>
        <v>39346.80213</v>
      </c>
      <c r="AW152" s="3">
        <f t="shared" si="4"/>
        <v>46321.12558</v>
      </c>
      <c r="AX152" s="4">
        <f t="shared" si="5"/>
        <v>0.00185934217</v>
      </c>
      <c r="AY152" s="4">
        <f t="shared" si="6"/>
        <v>0.01631914257</v>
      </c>
      <c r="AZ152" s="4">
        <f t="shared" si="7"/>
        <v>0.008981826716</v>
      </c>
    </row>
    <row r="153" ht="14.25" customHeight="1">
      <c r="A153" s="2" t="s">
        <v>297</v>
      </c>
      <c r="B153" s="3">
        <v>11382.7885</v>
      </c>
      <c r="C153" s="3">
        <v>11641.1087</v>
      </c>
      <c r="D153" s="3">
        <v>11244.3351</v>
      </c>
      <c r="E153" s="3">
        <v>11457.4716</v>
      </c>
      <c r="F153" s="3">
        <v>11011.5323</v>
      </c>
      <c r="G153" s="3">
        <v>10307.0348</v>
      </c>
      <c r="H153" s="3">
        <v>9986.2156</v>
      </c>
      <c r="I153" s="3">
        <v>9687.7095</v>
      </c>
      <c r="J153" s="3">
        <v>8278.0819</v>
      </c>
      <c r="K153" s="3">
        <v>7908.4626</v>
      </c>
      <c r="L153" s="3">
        <v>7667.8467</v>
      </c>
      <c r="M153" s="3">
        <v>7434.3938</v>
      </c>
      <c r="N153" s="3">
        <v>7238.7817</v>
      </c>
      <c r="O153" s="3">
        <v>6985.8598</v>
      </c>
      <c r="P153" s="3">
        <v>6993.2318</v>
      </c>
      <c r="Q153" s="3">
        <v>7175.2087</v>
      </c>
      <c r="R153" s="3">
        <v>7387.4165</v>
      </c>
      <c r="S153" s="3">
        <v>7436.6751</v>
      </c>
      <c r="T153" s="3">
        <v>7477.7142</v>
      </c>
      <c r="U153" s="3">
        <v>7761.7956</v>
      </c>
      <c r="V153" s="3">
        <v>7843.8739</v>
      </c>
      <c r="W153" s="3">
        <v>7853.6838</v>
      </c>
      <c r="X153" s="3">
        <v>7696.2897</v>
      </c>
      <c r="Y153" s="3">
        <v>7673.0825</v>
      </c>
      <c r="Z153" s="3">
        <v>7860.5159</v>
      </c>
      <c r="AA153" s="3">
        <v>7966.939</v>
      </c>
      <c r="AB153" s="3">
        <v>8075.4577</v>
      </c>
      <c r="AC153" s="3">
        <v>8273.7458</v>
      </c>
      <c r="AD153" s="3">
        <v>8337.876</v>
      </c>
      <c r="AE153" s="3">
        <v>7877.454</v>
      </c>
      <c r="AF153" s="3">
        <v>8012.7496</v>
      </c>
      <c r="AG153" s="3">
        <v>8302.8098</v>
      </c>
      <c r="AH153" s="3">
        <v>8627.0132</v>
      </c>
      <c r="AI153" s="3">
        <v>8825.7889</v>
      </c>
      <c r="AJ153" s="3">
        <v>9035.2163</v>
      </c>
      <c r="AK153" s="3">
        <v>9272.6512</v>
      </c>
      <c r="AL153" s="3">
        <v>9480.6563</v>
      </c>
      <c r="AM153" s="3">
        <v>9684.5866</v>
      </c>
      <c r="AN153" s="3">
        <v>9162.2054</v>
      </c>
      <c r="AO153" s="3">
        <v>8710.653</v>
      </c>
      <c r="AP153" s="3">
        <v>8407.7992</v>
      </c>
      <c r="AQ153" s="3">
        <v>9049.8383</v>
      </c>
      <c r="AR153" s="3">
        <v>9200.5628</v>
      </c>
      <c r="AS153" s="3">
        <v>9428.9482</v>
      </c>
      <c r="AT153" s="3">
        <v>9805.5563</v>
      </c>
      <c r="AU153" s="3">
        <f t="shared" si="2"/>
        <v>9281.65696</v>
      </c>
      <c r="AV153" s="3">
        <f t="shared" si="3"/>
        <v>7823.037121</v>
      </c>
      <c r="AW153" s="3">
        <f t="shared" si="4"/>
        <v>9000.469007</v>
      </c>
      <c r="AX153" s="4">
        <f t="shared" si="5"/>
        <v>-0.03419865896</v>
      </c>
      <c r="AY153" s="4">
        <f t="shared" si="6"/>
        <v>0.006691783948</v>
      </c>
      <c r="AZ153" s="4">
        <f t="shared" si="7"/>
        <v>0.0119533923</v>
      </c>
    </row>
    <row r="154" ht="14.25" customHeight="1">
      <c r="A154" s="2" t="s">
        <v>298</v>
      </c>
      <c r="B154" s="3">
        <v>3689.7049</v>
      </c>
      <c r="C154" s="3">
        <v>3597.7389</v>
      </c>
      <c r="D154" s="3">
        <v>3544.7774</v>
      </c>
      <c r="E154" s="3">
        <v>3274.0927</v>
      </c>
      <c r="F154" s="3">
        <v>2640.9876</v>
      </c>
      <c r="G154" s="3">
        <v>2758.3371</v>
      </c>
      <c r="H154" s="3">
        <v>2623.2413</v>
      </c>
      <c r="I154" s="3">
        <v>2505.5892</v>
      </c>
      <c r="J154" s="3">
        <v>2574.433</v>
      </c>
      <c r="K154" s="3">
        <v>2474.5888</v>
      </c>
      <c r="L154" s="3">
        <v>2377.5102</v>
      </c>
      <c r="M154" s="3">
        <v>2310.862</v>
      </c>
      <c r="N154" s="3">
        <v>2243.1378</v>
      </c>
      <c r="O154" s="3">
        <v>2193.0758</v>
      </c>
      <c r="P154" s="3">
        <v>2180.7403</v>
      </c>
      <c r="Q154" s="3">
        <v>2179.8328</v>
      </c>
      <c r="R154" s="3">
        <v>2218.1121</v>
      </c>
      <c r="S154" s="3">
        <v>2161.4912</v>
      </c>
      <c r="T154" s="3">
        <v>2361.5299</v>
      </c>
      <c r="U154" s="3">
        <v>2310.8883</v>
      </c>
      <c r="V154" s="3">
        <v>2181.1467</v>
      </c>
      <c r="W154" s="3">
        <v>2271.4963</v>
      </c>
      <c r="X154" s="3">
        <v>2316.7012</v>
      </c>
      <c r="Y154" s="3">
        <v>2320.8534</v>
      </c>
      <c r="Z154" s="3">
        <v>2230.112</v>
      </c>
      <c r="AA154" s="3">
        <v>2321.1034</v>
      </c>
      <c r="AB154" s="3">
        <v>2361.8604</v>
      </c>
      <c r="AC154" s="3">
        <v>2246.962</v>
      </c>
      <c r="AD154" s="3">
        <v>2396.1178</v>
      </c>
      <c r="AE154" s="3">
        <v>2334.2849</v>
      </c>
      <c r="AF154" s="3">
        <v>2454.981</v>
      </c>
      <c r="AG154" s="3">
        <v>2455.4317</v>
      </c>
      <c r="AH154" s="3">
        <v>2663.9429</v>
      </c>
      <c r="AI154" s="3">
        <v>2700.4449</v>
      </c>
      <c r="AJ154" s="3">
        <v>2796.2586</v>
      </c>
      <c r="AK154" s="3">
        <v>2824.0512</v>
      </c>
      <c r="AL154" s="3">
        <v>2873.2649</v>
      </c>
      <c r="AM154" s="3">
        <v>2904.2913</v>
      </c>
      <c r="AN154" s="3">
        <v>2998.1578</v>
      </c>
      <c r="AO154" s="3">
        <v>3057.966</v>
      </c>
      <c r="AP154" s="3">
        <v>3047.9898</v>
      </c>
      <c r="AQ154" s="3">
        <v>2973.5384</v>
      </c>
      <c r="AR154" s="3">
        <v>3200.4766</v>
      </c>
      <c r="AS154" s="3">
        <v>3152.0313</v>
      </c>
      <c r="AT154" s="3">
        <v>3279.2837</v>
      </c>
      <c r="AU154" s="3">
        <f t="shared" si="2"/>
        <v>2732.5878</v>
      </c>
      <c r="AV154" s="3">
        <f t="shared" si="3"/>
        <v>2288.047114</v>
      </c>
      <c r="AW154" s="3">
        <f t="shared" si="4"/>
        <v>2892.140673</v>
      </c>
      <c r="AX154" s="4">
        <f t="shared" si="5"/>
        <v>-0.03686626682</v>
      </c>
      <c r="AY154" s="4">
        <f t="shared" si="6"/>
        <v>0.004901790009</v>
      </c>
      <c r="AZ154" s="4">
        <f t="shared" si="7"/>
        <v>0.02088090546</v>
      </c>
    </row>
    <row r="155" ht="14.25" customHeight="1">
      <c r="A155" s="2" t="s">
        <v>299</v>
      </c>
      <c r="B155" s="3">
        <v>7456.5266</v>
      </c>
      <c r="C155" s="3">
        <v>7195.2767</v>
      </c>
      <c r="D155" s="3">
        <v>6535.7297</v>
      </c>
      <c r="E155" s="3">
        <v>5698.563</v>
      </c>
      <c r="F155" s="3">
        <v>5514.6816</v>
      </c>
      <c r="G155" s="3">
        <v>5695.0224</v>
      </c>
      <c r="H155" s="3">
        <v>5561.5575</v>
      </c>
      <c r="I155" s="3">
        <v>5601.1161</v>
      </c>
      <c r="J155" s="3">
        <v>5861.957</v>
      </c>
      <c r="K155" s="3">
        <v>5821.9463</v>
      </c>
      <c r="L155" s="3">
        <v>6337.4222</v>
      </c>
      <c r="M155" s="3">
        <v>6195.3988</v>
      </c>
      <c r="N155" s="3">
        <v>6311.6813</v>
      </c>
      <c r="O155" s="3">
        <v>6014.5294</v>
      </c>
      <c r="P155" s="3">
        <v>5741.1094</v>
      </c>
      <c r="Q155" s="3">
        <v>5574.5409</v>
      </c>
      <c r="R155" s="3">
        <v>5643.6573</v>
      </c>
      <c r="S155" s="3">
        <v>5642.186</v>
      </c>
      <c r="T155" s="3">
        <v>5616.8253</v>
      </c>
      <c r="U155" s="3">
        <v>5481.9064</v>
      </c>
      <c r="V155" s="3">
        <v>5589.0694</v>
      </c>
      <c r="W155" s="3">
        <v>5749.3179</v>
      </c>
      <c r="X155" s="3">
        <v>6440.7939</v>
      </c>
      <c r="Y155" s="3">
        <v>6717.257</v>
      </c>
      <c r="Z155" s="3">
        <v>7132.445</v>
      </c>
      <c r="AA155" s="3">
        <v>7384.5902</v>
      </c>
      <c r="AB155" s="3">
        <v>7625.039</v>
      </c>
      <c r="AC155" s="3">
        <v>7915.2813</v>
      </c>
      <c r="AD155" s="3">
        <v>8230.7336</v>
      </c>
      <c r="AE155" s="3">
        <v>8660.1243</v>
      </c>
      <c r="AF155" s="3">
        <v>9106.0265</v>
      </c>
      <c r="AG155" s="3">
        <v>9332.8531</v>
      </c>
      <c r="AH155" s="3">
        <v>9466.6317</v>
      </c>
      <c r="AI155" s="3">
        <v>9828.0092</v>
      </c>
      <c r="AJ155" s="3">
        <v>10172.2437</v>
      </c>
      <c r="AK155" s="3">
        <v>10172.2448</v>
      </c>
      <c r="AL155" s="3">
        <v>9743.6221</v>
      </c>
      <c r="AM155" s="3">
        <v>9554.5962</v>
      </c>
      <c r="AN155" s="3">
        <v>9478.9617</v>
      </c>
      <c r="AO155" s="3">
        <v>9433.9115</v>
      </c>
      <c r="AP155" s="3">
        <v>9014.2572</v>
      </c>
      <c r="AQ155" s="3">
        <v>9085.3226</v>
      </c>
      <c r="AR155" s="3">
        <v>9118.2031</v>
      </c>
      <c r="AS155" s="3">
        <v>9111.9228</v>
      </c>
      <c r="AT155" s="3">
        <v>9157.5313</v>
      </c>
      <c r="AU155" s="3">
        <f t="shared" si="2"/>
        <v>6102.834533</v>
      </c>
      <c r="AV155" s="3">
        <f t="shared" si="3"/>
        <v>6702.087614</v>
      </c>
      <c r="AW155" s="3">
        <f t="shared" si="4"/>
        <v>9451.755833</v>
      </c>
      <c r="AX155" s="4">
        <f t="shared" si="5"/>
        <v>-0.01850080777</v>
      </c>
      <c r="AY155" s="4">
        <f t="shared" si="6"/>
        <v>0.03196592782</v>
      </c>
      <c r="AZ155" s="4">
        <f t="shared" si="7"/>
        <v>-0.001353663897</v>
      </c>
    </row>
    <row r="156" ht="14.25" customHeight="1">
      <c r="A156" s="2" t="s">
        <v>300</v>
      </c>
      <c r="B156" s="3">
        <v>38793.9055</v>
      </c>
      <c r="C156" s="3">
        <v>39065.1692</v>
      </c>
      <c r="D156" s="3">
        <v>37664.7362</v>
      </c>
      <c r="E156" s="3">
        <v>38577.9055</v>
      </c>
      <c r="F156" s="3">
        <v>40575.2989</v>
      </c>
      <c r="G156" s="3">
        <v>41619.564</v>
      </c>
      <c r="H156" s="3">
        <v>42414.2415</v>
      </c>
      <c r="I156" s="3">
        <v>43368.8241</v>
      </c>
      <c r="J156" s="3">
        <v>44673.688</v>
      </c>
      <c r="K156" s="3">
        <v>45711.7896</v>
      </c>
      <c r="L156" s="3">
        <v>45865.2542</v>
      </c>
      <c r="M156" s="3">
        <v>45107.9732</v>
      </c>
      <c r="N156" s="3">
        <v>45976.3359</v>
      </c>
      <c r="O156" s="3">
        <v>46730.9852</v>
      </c>
      <c r="P156" s="3">
        <v>48121.792</v>
      </c>
      <c r="Q156" s="3">
        <v>48930.8049</v>
      </c>
      <c r="R156" s="3">
        <v>50182.0671</v>
      </c>
      <c r="S156" s="3">
        <v>51813.8049</v>
      </c>
      <c r="T156" s="3">
        <v>53474.1442</v>
      </c>
      <c r="U156" s="3">
        <v>55410.7335</v>
      </c>
      <c r="V156" s="3">
        <v>56989.3543</v>
      </c>
      <c r="W156" s="3">
        <v>56899.3947</v>
      </c>
      <c r="X156" s="3">
        <v>57255.1471</v>
      </c>
      <c r="Y156" s="3">
        <v>58127.2494</v>
      </c>
      <c r="Z156" s="3">
        <v>59591.1873</v>
      </c>
      <c r="AA156" s="3">
        <v>60865.7185</v>
      </c>
      <c r="AB156" s="3">
        <v>61754.857</v>
      </c>
      <c r="AC156" s="3">
        <v>62275.6391</v>
      </c>
      <c r="AD156" s="3">
        <v>61674.8699</v>
      </c>
      <c r="AE156" s="3">
        <v>59372.0018</v>
      </c>
      <c r="AF156" s="3">
        <v>60182.4689</v>
      </c>
      <c r="AG156" s="3">
        <v>60455.6026</v>
      </c>
      <c r="AH156" s="3">
        <v>61001.939</v>
      </c>
      <c r="AI156" s="3">
        <v>61493.7042</v>
      </c>
      <c r="AJ156" s="3">
        <v>62266.4285</v>
      </c>
      <c r="AK156" s="3">
        <v>63158.6834</v>
      </c>
      <c r="AL156" s="3">
        <v>63541.8599</v>
      </c>
      <c r="AM156" s="3">
        <v>64370.8869</v>
      </c>
      <c r="AN156" s="3">
        <v>65476.9256</v>
      </c>
      <c r="AO156" s="3">
        <v>66221.741</v>
      </c>
      <c r="AP156" s="3">
        <v>64160.2887</v>
      </c>
      <c r="AQ156" s="3">
        <v>67282.6269</v>
      </c>
      <c r="AR156" s="3">
        <v>68175.228</v>
      </c>
      <c r="AS156" s="3">
        <v>69326.2119</v>
      </c>
      <c r="AT156" s="3">
        <v>70422.3475</v>
      </c>
      <c r="AU156" s="3">
        <f t="shared" si="2"/>
        <v>42951.1642</v>
      </c>
      <c r="AV156" s="3">
        <f t="shared" si="3"/>
        <v>57549.01206</v>
      </c>
      <c r="AW156" s="3">
        <f t="shared" si="4"/>
        <v>64502.46287</v>
      </c>
      <c r="AX156" s="4">
        <f t="shared" si="5"/>
        <v>0.01550990426</v>
      </c>
      <c r="AY156" s="4">
        <f t="shared" si="6"/>
        <v>0.01391127436</v>
      </c>
      <c r="AZ156" s="4">
        <f t="shared" si="7"/>
        <v>0.01095972213</v>
      </c>
    </row>
    <row r="157" ht="14.25" customHeight="1">
      <c r="A157" s="2" t="s">
        <v>301</v>
      </c>
      <c r="B157" s="3">
        <v>38828.588</v>
      </c>
      <c r="C157" s="3">
        <v>39109.04</v>
      </c>
      <c r="D157" s="3">
        <v>37713.0366</v>
      </c>
      <c r="E157" s="3">
        <v>38618.8611</v>
      </c>
      <c r="F157" s="3">
        <v>40625.548</v>
      </c>
      <c r="G157" s="3">
        <v>41696.0802</v>
      </c>
      <c r="H157" s="3">
        <v>42475.4837</v>
      </c>
      <c r="I157" s="3">
        <v>43411.5023</v>
      </c>
      <c r="J157" s="3">
        <v>44688.6332</v>
      </c>
      <c r="K157" s="3">
        <v>45705.0336</v>
      </c>
      <c r="L157" s="3">
        <v>45854.1002</v>
      </c>
      <c r="M157" s="3">
        <v>45094.4181</v>
      </c>
      <c r="N157" s="3">
        <v>45969.0964</v>
      </c>
      <c r="O157" s="3">
        <v>46746.0517</v>
      </c>
      <c r="P157" s="3">
        <v>48135.3906</v>
      </c>
      <c r="Q157" s="3">
        <v>48939.6158</v>
      </c>
      <c r="R157" s="3">
        <v>50167.3072</v>
      </c>
      <c r="S157" s="3">
        <v>51807.1759</v>
      </c>
      <c r="T157" s="3">
        <v>53499.6124</v>
      </c>
      <c r="U157" s="3">
        <v>55434.4181</v>
      </c>
      <c r="V157" s="3">
        <v>57023.7593</v>
      </c>
      <c r="W157" s="3">
        <v>56957.9986</v>
      </c>
      <c r="X157" s="3">
        <v>57304.9593</v>
      </c>
      <c r="Y157" s="3">
        <v>58144.6831</v>
      </c>
      <c r="Z157" s="3">
        <v>59577.2731</v>
      </c>
      <c r="AA157" s="3">
        <v>60835.3626</v>
      </c>
      <c r="AB157" s="3">
        <v>61734.4546</v>
      </c>
      <c r="AC157" s="3">
        <v>62225.5856</v>
      </c>
      <c r="AD157" s="3">
        <v>61602.5252</v>
      </c>
      <c r="AE157" s="3">
        <v>59350.1369</v>
      </c>
      <c r="AF157" s="3">
        <v>60118.1836</v>
      </c>
      <c r="AG157" s="3">
        <v>60341.5795</v>
      </c>
      <c r="AH157" s="3">
        <v>60899.3552</v>
      </c>
      <c r="AI157" s="3">
        <v>61413.4038</v>
      </c>
      <c r="AJ157" s="3">
        <v>62208.7884</v>
      </c>
      <c r="AK157" s="3">
        <v>63155.7558</v>
      </c>
      <c r="AL157" s="3">
        <v>63540.3912</v>
      </c>
      <c r="AM157" s="3">
        <v>64370.6623</v>
      </c>
      <c r="AN157" s="3">
        <v>65478.4611</v>
      </c>
      <c r="AO157" s="3">
        <v>66227.5345</v>
      </c>
      <c r="AP157" s="3">
        <v>64147.1984</v>
      </c>
      <c r="AQ157" s="3">
        <v>67259.6439</v>
      </c>
      <c r="AR157" s="3">
        <v>68159.144</v>
      </c>
      <c r="AS157" s="3">
        <v>69301.2853</v>
      </c>
      <c r="AT157" s="3">
        <v>70384.0584</v>
      </c>
      <c r="AU157" s="3">
        <f t="shared" si="2"/>
        <v>42978.05758</v>
      </c>
      <c r="AV157" s="3">
        <f t="shared" si="3"/>
        <v>57547.51799</v>
      </c>
      <c r="AW157" s="3">
        <f t="shared" si="4"/>
        <v>64467.02969</v>
      </c>
      <c r="AX157" s="4">
        <f t="shared" si="5"/>
        <v>0.0154655802</v>
      </c>
      <c r="AY157" s="4">
        <f t="shared" si="6"/>
        <v>0.01387155953</v>
      </c>
      <c r="AZ157" s="4">
        <f t="shared" si="7"/>
        <v>0.01105677818</v>
      </c>
    </row>
    <row r="158" ht="14.25" customHeight="1">
      <c r="A158" s="2" t="s">
        <v>302</v>
      </c>
      <c r="B158" s="3">
        <v>39332.131</v>
      </c>
      <c r="C158" s="3">
        <v>39602.5866</v>
      </c>
      <c r="D158" s="3">
        <v>38147.6289</v>
      </c>
      <c r="E158" s="3">
        <v>39161.4584</v>
      </c>
      <c r="F158" s="3">
        <v>41261.3171</v>
      </c>
      <c r="G158" s="3">
        <v>42353.5526</v>
      </c>
      <c r="H158" s="3">
        <v>43194.227</v>
      </c>
      <c r="I158" s="3">
        <v>44175.646</v>
      </c>
      <c r="J158" s="3">
        <v>45510.6848</v>
      </c>
      <c r="K158" s="3">
        <v>46603.1961</v>
      </c>
      <c r="L158" s="3">
        <v>46803.7277</v>
      </c>
      <c r="M158" s="3">
        <v>46062.4916</v>
      </c>
      <c r="N158" s="3">
        <v>47022.2576</v>
      </c>
      <c r="O158" s="3">
        <v>47793.0769</v>
      </c>
      <c r="P158" s="3">
        <v>49228.5194</v>
      </c>
      <c r="Q158" s="3">
        <v>50049.8165</v>
      </c>
      <c r="R158" s="3">
        <v>51347.3418</v>
      </c>
      <c r="S158" s="3">
        <v>53074.3413</v>
      </c>
      <c r="T158" s="3">
        <v>54832.9928</v>
      </c>
      <c r="U158" s="3">
        <v>56855.8247</v>
      </c>
      <c r="V158" s="3">
        <v>58551.6549</v>
      </c>
      <c r="W158" s="3">
        <v>58429.943</v>
      </c>
      <c r="X158" s="3">
        <v>58752.8072</v>
      </c>
      <c r="Y158" s="3">
        <v>59625.8232</v>
      </c>
      <c r="Z158" s="3">
        <v>61144.9125</v>
      </c>
      <c r="AA158" s="3">
        <v>62493.0534</v>
      </c>
      <c r="AB158" s="3">
        <v>63437.0968</v>
      </c>
      <c r="AC158" s="3">
        <v>63928.7717</v>
      </c>
      <c r="AD158" s="3">
        <v>63290.4219</v>
      </c>
      <c r="AE158" s="3">
        <v>60817.566</v>
      </c>
      <c r="AF158" s="3">
        <v>61665.688</v>
      </c>
      <c r="AG158" s="3">
        <v>61885.3901</v>
      </c>
      <c r="AH158" s="3">
        <v>62458.9189</v>
      </c>
      <c r="AI158" s="3">
        <v>62999.1407</v>
      </c>
      <c r="AJ158" s="3">
        <v>63853.6068</v>
      </c>
      <c r="AK158" s="3">
        <v>64871.8497</v>
      </c>
      <c r="AL158" s="3">
        <v>65280.9812</v>
      </c>
      <c r="AM158" s="3">
        <v>66174.0642</v>
      </c>
      <c r="AN158" s="3">
        <v>67384.4257</v>
      </c>
      <c r="AO158" s="3">
        <v>68269.7164</v>
      </c>
      <c r="AP158" s="3">
        <v>66058.7654</v>
      </c>
      <c r="AQ158" s="3">
        <v>69430.9105</v>
      </c>
      <c r="AR158" s="3">
        <v>70320.5456</v>
      </c>
      <c r="AS158" s="3">
        <v>71563.3177</v>
      </c>
      <c r="AT158" s="3">
        <v>72802.435</v>
      </c>
      <c r="AU158" s="3">
        <f t="shared" si="2"/>
        <v>43750.16678</v>
      </c>
      <c r="AV158" s="3">
        <f t="shared" si="3"/>
        <v>59041.6108</v>
      </c>
      <c r="AW158" s="3">
        <f t="shared" si="4"/>
        <v>66334.65039</v>
      </c>
      <c r="AX158" s="4">
        <f t="shared" si="5"/>
        <v>0.01615999358</v>
      </c>
      <c r="AY158" s="4">
        <f t="shared" si="6"/>
        <v>0.01401587284</v>
      </c>
      <c r="AZ158" s="4">
        <f t="shared" si="7"/>
        <v>0.01167225781</v>
      </c>
    </row>
    <row r="159" ht="14.25" customHeight="1">
      <c r="A159" s="2" t="s">
        <v>303</v>
      </c>
      <c r="B159" s="3">
        <v>39383.0316</v>
      </c>
      <c r="C159" s="3">
        <v>39661.6475</v>
      </c>
      <c r="D159" s="3">
        <v>38200.9035</v>
      </c>
      <c r="E159" s="3">
        <v>39200.8467</v>
      </c>
      <c r="F159" s="3">
        <v>41306.2766</v>
      </c>
      <c r="G159" s="3">
        <v>42410.8792</v>
      </c>
      <c r="H159" s="3">
        <v>43245.3666</v>
      </c>
      <c r="I159" s="3">
        <v>44221.9161</v>
      </c>
      <c r="J159" s="3">
        <v>45546.9224</v>
      </c>
      <c r="K159" s="3">
        <v>46621.0589</v>
      </c>
      <c r="L159" s="3">
        <v>46814.4647</v>
      </c>
      <c r="M159" s="3">
        <v>46061.9911</v>
      </c>
      <c r="N159" s="3">
        <v>47015.419</v>
      </c>
      <c r="O159" s="3">
        <v>47794.3464</v>
      </c>
      <c r="P159" s="3">
        <v>49242.1695</v>
      </c>
      <c r="Q159" s="3">
        <v>50065.0961</v>
      </c>
      <c r="R159" s="3">
        <v>51347.8034</v>
      </c>
      <c r="S159" s="3">
        <v>53077.5065</v>
      </c>
      <c r="T159" s="3">
        <v>54842.3682</v>
      </c>
      <c r="U159" s="3">
        <v>56865.1722</v>
      </c>
      <c r="V159" s="3">
        <v>58566.6533</v>
      </c>
      <c r="W159" s="3">
        <v>58458.3896</v>
      </c>
      <c r="X159" s="3">
        <v>58782.2967</v>
      </c>
      <c r="Y159" s="3">
        <v>59639.2937</v>
      </c>
      <c r="Z159" s="3">
        <v>61149.4092</v>
      </c>
      <c r="AA159" s="3">
        <v>62493.0488</v>
      </c>
      <c r="AB159" s="3">
        <v>63442.1244</v>
      </c>
      <c r="AC159" s="3">
        <v>63931.4872</v>
      </c>
      <c r="AD159" s="3">
        <v>63265.9919</v>
      </c>
      <c r="AE159" s="3">
        <v>60821.8979</v>
      </c>
      <c r="AF159" s="3">
        <v>61666.382</v>
      </c>
      <c r="AG159" s="3">
        <v>61877.945</v>
      </c>
      <c r="AH159" s="3">
        <v>62450.5458</v>
      </c>
      <c r="AI159" s="3">
        <v>63000.977</v>
      </c>
      <c r="AJ159" s="3">
        <v>63856.7499</v>
      </c>
      <c r="AK159" s="3">
        <v>64879.5427</v>
      </c>
      <c r="AL159" s="3">
        <v>65286.0757</v>
      </c>
      <c r="AM159" s="3">
        <v>66183.4675</v>
      </c>
      <c r="AN159" s="3">
        <v>67393.0017</v>
      </c>
      <c r="AO159" s="3">
        <v>68273.4603</v>
      </c>
      <c r="AP159" s="3">
        <v>66037.0531</v>
      </c>
      <c r="AQ159" s="3">
        <v>69411.9974</v>
      </c>
      <c r="AR159" s="3">
        <v>70302.9288</v>
      </c>
      <c r="AS159" s="3">
        <v>71530.0762</v>
      </c>
      <c r="AT159" s="3">
        <v>72757.1555</v>
      </c>
      <c r="AU159" s="3">
        <f t="shared" si="2"/>
        <v>43781.81599</v>
      </c>
      <c r="AV159" s="3">
        <f t="shared" si="3"/>
        <v>59048.81736</v>
      </c>
      <c r="AW159" s="3">
        <f t="shared" si="4"/>
        <v>66327.15724</v>
      </c>
      <c r="AX159" s="4">
        <f t="shared" si="5"/>
        <v>0.01608624888</v>
      </c>
      <c r="AY159" s="4">
        <f t="shared" si="6"/>
        <v>0.01399892327</v>
      </c>
      <c r="AZ159" s="4">
        <f t="shared" si="7"/>
        <v>0.01163599492</v>
      </c>
    </row>
    <row r="160" ht="14.25" customHeight="1">
      <c r="A160" s="2" t="s">
        <v>304</v>
      </c>
      <c r="B160" s="3">
        <v>7200.8296</v>
      </c>
      <c r="C160" s="3">
        <v>7280.3986</v>
      </c>
      <c r="D160" s="3">
        <v>7361.9235</v>
      </c>
      <c r="E160" s="3">
        <v>7427.8318</v>
      </c>
      <c r="F160" s="3">
        <v>7486.9643</v>
      </c>
      <c r="G160" s="3">
        <v>7547.2342</v>
      </c>
      <c r="H160" s="3">
        <v>7432.5581</v>
      </c>
      <c r="I160" s="3">
        <v>7302.7385</v>
      </c>
      <c r="J160" s="3">
        <v>7171.8903</v>
      </c>
      <c r="K160" s="3">
        <v>7052.792</v>
      </c>
      <c r="L160" s="3">
        <v>6550.3725</v>
      </c>
      <c r="M160" s="3">
        <v>6084.0738</v>
      </c>
      <c r="N160" s="3">
        <v>5496.6983</v>
      </c>
      <c r="O160" s="3">
        <v>5119.4023</v>
      </c>
      <c r="P160" s="3">
        <v>4908.0691</v>
      </c>
      <c r="Q160" s="3">
        <v>4615.0871</v>
      </c>
      <c r="R160" s="3">
        <v>4402.7441</v>
      </c>
      <c r="S160" s="3">
        <v>4072.444</v>
      </c>
      <c r="T160" s="3">
        <v>3995.4314</v>
      </c>
      <c r="U160" s="3">
        <v>4197.2521</v>
      </c>
      <c r="V160" s="3">
        <v>4174.5744</v>
      </c>
      <c r="W160" s="3">
        <v>4289.7986</v>
      </c>
      <c r="X160" s="3">
        <v>4299.405</v>
      </c>
      <c r="Y160" s="3">
        <v>4331.0359</v>
      </c>
      <c r="Z160" s="3">
        <v>4369.713</v>
      </c>
      <c r="AA160" s="3">
        <v>4483.3117</v>
      </c>
      <c r="AB160" s="3">
        <v>4389.1623</v>
      </c>
      <c r="AC160" s="3">
        <v>4291.3077</v>
      </c>
      <c r="AD160" s="3">
        <v>4378.4109</v>
      </c>
      <c r="AE160" s="3">
        <v>4293.5375</v>
      </c>
      <c r="AF160" s="3">
        <v>4227.6029</v>
      </c>
      <c r="AG160" s="3">
        <v>4214.0661</v>
      </c>
      <c r="AH160" s="3">
        <v>4221.1085</v>
      </c>
      <c r="AI160" s="3">
        <v>4218.7473</v>
      </c>
      <c r="AJ160" s="3">
        <v>4215.9656</v>
      </c>
      <c r="AK160" s="3">
        <v>4123.1863</v>
      </c>
      <c r="AL160" s="3">
        <v>4238.5757</v>
      </c>
      <c r="AM160" s="3">
        <v>4051.4105</v>
      </c>
      <c r="AN160" s="3">
        <v>3848.9254</v>
      </c>
      <c r="AO160" s="3">
        <v>3831.3193</v>
      </c>
      <c r="AP160" s="3">
        <v>3631.6196</v>
      </c>
      <c r="AQ160" s="3">
        <v>3605.447</v>
      </c>
      <c r="AR160" s="3">
        <v>3579.646</v>
      </c>
      <c r="AS160" s="3">
        <v>3666.6103</v>
      </c>
      <c r="AT160" s="3">
        <v>3760.6209</v>
      </c>
      <c r="AU160" s="3">
        <f t="shared" si="2"/>
        <v>6761.585127</v>
      </c>
      <c r="AV160" s="3">
        <f t="shared" si="3"/>
        <v>4283.437757</v>
      </c>
      <c r="AW160" s="3">
        <f t="shared" si="4"/>
        <v>3962.323427</v>
      </c>
      <c r="AX160" s="4">
        <f t="shared" si="5"/>
        <v>-0.02700826217</v>
      </c>
      <c r="AY160" s="4">
        <f t="shared" si="6"/>
        <v>-0.005145271495</v>
      </c>
      <c r="AZ160" s="4">
        <f t="shared" si="7"/>
        <v>-0.008098735971</v>
      </c>
    </row>
    <row r="161" ht="14.25" customHeight="1">
      <c r="A161" s="2" t="s">
        <v>305</v>
      </c>
      <c r="B161" s="3">
        <v>14295.5348</v>
      </c>
      <c r="C161" s="3">
        <v>14215.4957</v>
      </c>
      <c r="D161" s="3">
        <v>14196.7199</v>
      </c>
      <c r="E161" s="3">
        <v>14204.4465</v>
      </c>
      <c r="F161" s="3">
        <v>14201.3416</v>
      </c>
      <c r="G161" s="3">
        <v>14212.091</v>
      </c>
      <c r="H161" s="3">
        <v>14217.6406</v>
      </c>
      <c r="I161" s="3">
        <v>14230.5278</v>
      </c>
      <c r="J161" s="3">
        <v>14247.5906</v>
      </c>
      <c r="K161" s="3">
        <v>14240.41</v>
      </c>
      <c r="L161" s="3">
        <v>14320.3527</v>
      </c>
      <c r="M161" s="3">
        <v>13827.7951</v>
      </c>
      <c r="N161" s="3">
        <v>12718.5081</v>
      </c>
      <c r="O161" s="3">
        <v>12611.2528</v>
      </c>
      <c r="P161" s="3">
        <v>12403.8158</v>
      </c>
      <c r="Q161" s="3">
        <v>12190.4402</v>
      </c>
      <c r="R161" s="3">
        <v>12194.8049</v>
      </c>
      <c r="S161" s="3">
        <v>12236.757</v>
      </c>
      <c r="T161" s="3">
        <v>12511.7028</v>
      </c>
      <c r="U161" s="3">
        <v>12874.0787</v>
      </c>
      <c r="V161" s="3">
        <v>13335.7621</v>
      </c>
      <c r="W161" s="3">
        <v>12715.5316</v>
      </c>
      <c r="X161" s="3">
        <v>12836.4771</v>
      </c>
      <c r="Y161" s="3">
        <v>12989.2033</v>
      </c>
      <c r="Z161" s="3">
        <v>13436.083</v>
      </c>
      <c r="AA161" s="3">
        <v>13951.4314</v>
      </c>
      <c r="AB161" s="3">
        <v>14597.5362</v>
      </c>
      <c r="AC161" s="3">
        <v>15485.0999</v>
      </c>
      <c r="AD161" s="3">
        <v>16367.3925</v>
      </c>
      <c r="AE161" s="3">
        <v>16262.8032</v>
      </c>
      <c r="AF161" s="3">
        <v>16707.877</v>
      </c>
      <c r="AG161" s="3">
        <v>17190.9343</v>
      </c>
      <c r="AH161" s="3">
        <v>17110.1708</v>
      </c>
      <c r="AI161" s="3">
        <v>17655.537</v>
      </c>
      <c r="AJ161" s="3">
        <v>18342.7265</v>
      </c>
      <c r="AK161" s="3">
        <v>19044.6484</v>
      </c>
      <c r="AL161" s="3">
        <v>19621.3493</v>
      </c>
      <c r="AM161" s="3">
        <v>19917.8724</v>
      </c>
      <c r="AN161" s="3">
        <v>20572.7066</v>
      </c>
      <c r="AO161" s="3">
        <v>21533.0753</v>
      </c>
      <c r="AP161" s="3">
        <v>20687.7634</v>
      </c>
      <c r="AQ161" s="3">
        <v>21806.4294</v>
      </c>
      <c r="AR161" s="3">
        <v>22580.6351</v>
      </c>
      <c r="AS161" s="3">
        <v>23263.7526</v>
      </c>
      <c r="AT161" s="3">
        <v>23960.0677</v>
      </c>
      <c r="AU161" s="3">
        <f t="shared" si="2"/>
        <v>13876.23487</v>
      </c>
      <c r="AV161" s="3">
        <f t="shared" si="3"/>
        <v>13699.61884</v>
      </c>
      <c r="AW161" s="3">
        <f t="shared" si="4"/>
        <v>19999.70305</v>
      </c>
      <c r="AX161" s="4">
        <f t="shared" si="5"/>
        <v>-0.01008756755</v>
      </c>
      <c r="AY161" s="4">
        <f t="shared" si="6"/>
        <v>0.02080113476</v>
      </c>
      <c r="AZ161" s="4">
        <f t="shared" si="7"/>
        <v>0.02399817559</v>
      </c>
    </row>
    <row r="162" ht="14.25" customHeight="1">
      <c r="A162" s="2" t="s">
        <v>306</v>
      </c>
      <c r="B162" s="3">
        <v>49327.1697</v>
      </c>
      <c r="C162" s="3">
        <v>49719.3127</v>
      </c>
      <c r="D162" s="3">
        <v>49425.2882</v>
      </c>
      <c r="E162" s="3">
        <v>50969.4042</v>
      </c>
      <c r="F162" s="3">
        <v>53608.5515</v>
      </c>
      <c r="G162" s="3">
        <v>56097.1761</v>
      </c>
      <c r="H162" s="3">
        <v>57830.1096</v>
      </c>
      <c r="I162" s="3">
        <v>58253.9555</v>
      </c>
      <c r="J162" s="3">
        <v>57513.0585</v>
      </c>
      <c r="K162" s="3">
        <v>57625.0457</v>
      </c>
      <c r="L162" s="3">
        <v>58354.9787</v>
      </c>
      <c r="M162" s="3">
        <v>59715.1234</v>
      </c>
      <c r="N162" s="3">
        <v>61324.3985</v>
      </c>
      <c r="O162" s="3">
        <v>62569.072</v>
      </c>
      <c r="P162" s="3">
        <v>65267.125</v>
      </c>
      <c r="Q162" s="3">
        <v>67569.2122</v>
      </c>
      <c r="R162" s="3">
        <v>70620.1127</v>
      </c>
      <c r="S162" s="3">
        <v>74013.8675</v>
      </c>
      <c r="T162" s="3">
        <v>75600.4848</v>
      </c>
      <c r="U162" s="3">
        <v>76705.1932</v>
      </c>
      <c r="V162" s="3">
        <v>78805.7006</v>
      </c>
      <c r="W162" s="3">
        <v>80059.3138</v>
      </c>
      <c r="X162" s="3">
        <v>80742.9605</v>
      </c>
      <c r="Y162" s="3">
        <v>81054.0367</v>
      </c>
      <c r="Z162" s="3">
        <v>83834.0897</v>
      </c>
      <c r="AA162" s="3">
        <v>85492.1569</v>
      </c>
      <c r="AB162" s="3">
        <v>86848.938</v>
      </c>
      <c r="AC162" s="3">
        <v>88354.7216</v>
      </c>
      <c r="AD162" s="3">
        <v>87514.9461</v>
      </c>
      <c r="AE162" s="3">
        <v>84572.067</v>
      </c>
      <c r="AF162" s="3">
        <v>83985.1617</v>
      </c>
      <c r="AG162" s="3">
        <v>83552.7599</v>
      </c>
      <c r="AH162" s="3">
        <v>84424.2684</v>
      </c>
      <c r="AI162" s="3">
        <v>83997.3899</v>
      </c>
      <c r="AJ162" s="3">
        <v>84512.6872</v>
      </c>
      <c r="AK162" s="3">
        <v>84980.2308</v>
      </c>
      <c r="AL162" s="3">
        <v>85011.6703</v>
      </c>
      <c r="AM162" s="3">
        <v>86221.7062</v>
      </c>
      <c r="AN162" s="3">
        <v>86108.7182</v>
      </c>
      <c r="AO162" s="3">
        <v>86182.3429</v>
      </c>
      <c r="AP162" s="3">
        <v>84250.072</v>
      </c>
      <c r="AQ162" s="3">
        <v>86782.6351</v>
      </c>
      <c r="AR162" s="3">
        <v>88630.5206</v>
      </c>
      <c r="AS162" s="3">
        <v>87814.7498</v>
      </c>
      <c r="AT162" s="3">
        <v>88462.1636</v>
      </c>
      <c r="AU162" s="3">
        <f t="shared" si="2"/>
        <v>56506.65129</v>
      </c>
      <c r="AV162" s="3">
        <f t="shared" si="3"/>
        <v>81015.61351</v>
      </c>
      <c r="AW162" s="3">
        <f t="shared" si="4"/>
        <v>85661.13844</v>
      </c>
      <c r="AX162" s="4">
        <f t="shared" si="5"/>
        <v>0.02020231833</v>
      </c>
      <c r="AY162" s="4">
        <f t="shared" si="6"/>
        <v>0.01616146308</v>
      </c>
      <c r="AZ162" s="4">
        <f t="shared" si="7"/>
        <v>0.004086659372</v>
      </c>
    </row>
    <row r="163" ht="14.25" customHeight="1">
      <c r="A163" s="2" t="s">
        <v>307</v>
      </c>
      <c r="B163" s="3">
        <v>31826.9635</v>
      </c>
      <c r="C163" s="3">
        <v>32141.9734</v>
      </c>
      <c r="D163" s="3">
        <v>31582.2585</v>
      </c>
      <c r="E163" s="3">
        <v>31338.1425</v>
      </c>
      <c r="F163" s="3">
        <v>32117.9004</v>
      </c>
      <c r="G163" s="3">
        <v>32889.7077</v>
      </c>
      <c r="H163" s="3">
        <v>33097.383</v>
      </c>
      <c r="I163" s="3">
        <v>33670.2754</v>
      </c>
      <c r="J163" s="3">
        <v>34484.6337</v>
      </c>
      <c r="K163" s="3">
        <v>34916.1802</v>
      </c>
      <c r="L163" s="3">
        <v>34625.1697</v>
      </c>
      <c r="M163" s="3">
        <v>33828.8478</v>
      </c>
      <c r="N163" s="3">
        <v>33835.6206</v>
      </c>
      <c r="O163" s="3">
        <v>34670.4446</v>
      </c>
      <c r="P163" s="3">
        <v>35499.5999</v>
      </c>
      <c r="Q163" s="3">
        <v>36248.2913</v>
      </c>
      <c r="R163" s="3">
        <v>36974.1611</v>
      </c>
      <c r="S163" s="3">
        <v>37744.496</v>
      </c>
      <c r="T163" s="3">
        <v>38705.795</v>
      </c>
      <c r="U163" s="3">
        <v>39760.0731</v>
      </c>
      <c r="V163" s="3">
        <v>40215.1773</v>
      </c>
      <c r="W163" s="3">
        <v>40712.5381</v>
      </c>
      <c r="X163" s="3">
        <v>41449.9659</v>
      </c>
      <c r="Y163" s="3">
        <v>42221.3314</v>
      </c>
      <c r="Z163" s="3">
        <v>42952.2073</v>
      </c>
      <c r="AA163" s="3">
        <v>43427.998</v>
      </c>
      <c r="AB163" s="3">
        <v>43901.433</v>
      </c>
      <c r="AC163" s="3">
        <v>44580.6293</v>
      </c>
      <c r="AD163" s="3">
        <v>44557.3661</v>
      </c>
      <c r="AE163" s="3">
        <v>44420.1429</v>
      </c>
      <c r="AF163" s="3">
        <v>44534.3974</v>
      </c>
      <c r="AG163" s="3">
        <v>44983.1705</v>
      </c>
      <c r="AH163" s="3">
        <v>45500.7025</v>
      </c>
      <c r="AI163" s="3">
        <v>45767.1247</v>
      </c>
      <c r="AJ163" s="3">
        <v>46050.4789</v>
      </c>
      <c r="AK163" s="3">
        <v>46365.8569</v>
      </c>
      <c r="AL163" s="3">
        <v>46681.7501</v>
      </c>
      <c r="AM163" s="3">
        <v>47028.71</v>
      </c>
      <c r="AN163" s="3">
        <v>47322.0763</v>
      </c>
      <c r="AO163" s="3">
        <v>46966.9448</v>
      </c>
      <c r="AP163" s="3">
        <v>46539.3</v>
      </c>
      <c r="AQ163" s="3">
        <v>47388.1113</v>
      </c>
      <c r="AR163" s="3">
        <v>48459.3951</v>
      </c>
      <c r="AS163" s="3">
        <v>48869.1508</v>
      </c>
      <c r="AT163" s="3">
        <v>48685.0331</v>
      </c>
      <c r="AU163" s="3">
        <f t="shared" si="2"/>
        <v>33368.34006</v>
      </c>
      <c r="AV163" s="3">
        <f t="shared" si="3"/>
        <v>41544.52246</v>
      </c>
      <c r="AW163" s="3">
        <f t="shared" si="4"/>
        <v>46742.81349</v>
      </c>
      <c r="AX163" s="4">
        <f t="shared" si="5"/>
        <v>0.007831045395</v>
      </c>
      <c r="AY163" s="4">
        <f t="shared" si="6"/>
        <v>0.01462743412</v>
      </c>
      <c r="AZ163" s="4">
        <f t="shared" si="7"/>
        <v>0.005664786234</v>
      </c>
    </row>
    <row r="164" ht="14.25" customHeight="1">
      <c r="A164" s="2" t="s">
        <v>308</v>
      </c>
      <c r="B164" s="3">
        <v>31887.1965</v>
      </c>
      <c r="C164" s="3">
        <v>32217.972</v>
      </c>
      <c r="D164" s="3">
        <v>31663.1205</v>
      </c>
      <c r="E164" s="3">
        <v>31439.3846</v>
      </c>
      <c r="F164" s="3">
        <v>32264.4873</v>
      </c>
      <c r="G164" s="3">
        <v>32957.6606</v>
      </c>
      <c r="H164" s="3">
        <v>33127.1287</v>
      </c>
      <c r="I164" s="3">
        <v>33646.2776</v>
      </c>
      <c r="J164" s="3">
        <v>34433.8416</v>
      </c>
      <c r="K164" s="3">
        <v>34856.8317</v>
      </c>
      <c r="L164" s="3">
        <v>34580.5281</v>
      </c>
      <c r="M164" s="3">
        <v>33840.4994</v>
      </c>
      <c r="N164" s="3">
        <v>33901.5678</v>
      </c>
      <c r="O164" s="3">
        <v>34746.1198</v>
      </c>
      <c r="P164" s="3">
        <v>35560.1377</v>
      </c>
      <c r="Q164" s="3">
        <v>36256.7793</v>
      </c>
      <c r="R164" s="3">
        <v>36975.0464</v>
      </c>
      <c r="S164" s="3">
        <v>37715.5511</v>
      </c>
      <c r="T164" s="3">
        <v>38694.7527</v>
      </c>
      <c r="U164" s="3">
        <v>39743.6594</v>
      </c>
      <c r="V164" s="3">
        <v>40191.2672</v>
      </c>
      <c r="W164" s="3">
        <v>40675.5297</v>
      </c>
      <c r="X164" s="3">
        <v>41370.5391</v>
      </c>
      <c r="Y164" s="3">
        <v>42131.7852</v>
      </c>
      <c r="Z164" s="3">
        <v>42842.7078</v>
      </c>
      <c r="AA164" s="3">
        <v>43303.9166</v>
      </c>
      <c r="AB164" s="3">
        <v>43808.1045</v>
      </c>
      <c r="AC164" s="3">
        <v>44473.3278</v>
      </c>
      <c r="AD164" s="3">
        <v>44460.2029</v>
      </c>
      <c r="AE164" s="3">
        <v>44326.7774</v>
      </c>
      <c r="AF164" s="3">
        <v>44435.5171</v>
      </c>
      <c r="AG164" s="3">
        <v>44874.0123</v>
      </c>
      <c r="AH164" s="3">
        <v>45384.7967</v>
      </c>
      <c r="AI164" s="3">
        <v>45651.4436</v>
      </c>
      <c r="AJ164" s="3">
        <v>45975.9627</v>
      </c>
      <c r="AK164" s="3">
        <v>46323.5354</v>
      </c>
      <c r="AL164" s="3">
        <v>46653.5629</v>
      </c>
      <c r="AM164" s="3">
        <v>47000.4556</v>
      </c>
      <c r="AN164" s="3">
        <v>47297.0927</v>
      </c>
      <c r="AO164" s="3">
        <v>46958.9046</v>
      </c>
      <c r="AP164" s="3">
        <v>46481.5787</v>
      </c>
      <c r="AQ164" s="3">
        <v>47290.4962</v>
      </c>
      <c r="AR164" s="3">
        <v>48376.2615</v>
      </c>
      <c r="AS164" s="3">
        <v>48809.3843</v>
      </c>
      <c r="AT164" s="3">
        <v>48657.1215</v>
      </c>
      <c r="AU164" s="3">
        <f t="shared" si="2"/>
        <v>33408.18359</v>
      </c>
      <c r="AV164" s="3">
        <f t="shared" si="3"/>
        <v>41479.51199</v>
      </c>
      <c r="AW164" s="3">
        <f t="shared" si="4"/>
        <v>46678.00839</v>
      </c>
      <c r="AX164" s="4">
        <f t="shared" si="5"/>
        <v>0.007817593151</v>
      </c>
      <c r="AY164" s="4">
        <f t="shared" si="6"/>
        <v>0.01445798952</v>
      </c>
      <c r="AZ164" s="4">
        <f t="shared" si="7"/>
        <v>0.005798126133</v>
      </c>
    </row>
    <row r="165" ht="14.25" customHeight="1">
      <c r="A165" s="2" t="s">
        <v>309</v>
      </c>
      <c r="B165" s="3">
        <v>43372.0905</v>
      </c>
      <c r="C165" s="3">
        <v>48146.1222</v>
      </c>
      <c r="D165" s="3">
        <v>50723.1321</v>
      </c>
      <c r="E165" s="3">
        <v>54084.8445</v>
      </c>
      <c r="F165" s="3">
        <v>58263.2586</v>
      </c>
      <c r="G165" s="3">
        <v>62532.9425</v>
      </c>
      <c r="H165" s="3">
        <v>59316.68</v>
      </c>
      <c r="I165" s="3">
        <v>52922.3356</v>
      </c>
      <c r="J165" s="3">
        <v>51805.6435</v>
      </c>
      <c r="K165" s="3">
        <v>49680.6194</v>
      </c>
      <c r="L165" s="3">
        <v>50207.5119</v>
      </c>
      <c r="M165" s="3">
        <v>49712.982</v>
      </c>
      <c r="N165" s="3">
        <v>50444.959</v>
      </c>
      <c r="O165" s="3">
        <v>50247.8743</v>
      </c>
      <c r="P165" s="3">
        <v>51653.6482</v>
      </c>
      <c r="Q165" s="3">
        <v>54724.0971</v>
      </c>
      <c r="R165" s="3">
        <v>56853.8483</v>
      </c>
      <c r="S165" s="3">
        <v>60838.0867</v>
      </c>
      <c r="T165" s="3">
        <v>61753.6942</v>
      </c>
      <c r="U165" s="3">
        <v>60450.8261</v>
      </c>
      <c r="V165" s="3">
        <v>62553.6691</v>
      </c>
      <c r="W165" s="3">
        <v>63701.633</v>
      </c>
      <c r="X165" s="3">
        <v>61528.2468</v>
      </c>
      <c r="Y165" s="3">
        <v>58573.4306</v>
      </c>
      <c r="Z165" s="3">
        <v>57772.0013</v>
      </c>
      <c r="AA165" s="3">
        <v>56984.7533</v>
      </c>
      <c r="AB165" s="3">
        <v>57117.4764</v>
      </c>
      <c r="AC165" s="3">
        <v>57358.1961</v>
      </c>
      <c r="AD165" s="3">
        <v>59835.2091</v>
      </c>
      <c r="AE165" s="3">
        <v>60771.5433</v>
      </c>
      <c r="AF165" s="3">
        <v>59433.0399</v>
      </c>
      <c r="AG165" s="3">
        <v>51751.4633</v>
      </c>
      <c r="AH165" s="3">
        <v>46102.9137</v>
      </c>
      <c r="AI165" s="3">
        <v>43963.3446</v>
      </c>
      <c r="AJ165" s="3">
        <v>42556.4798</v>
      </c>
      <c r="AK165" s="3">
        <v>42623.0232</v>
      </c>
      <c r="AL165" s="3">
        <v>42416.4842</v>
      </c>
      <c r="AM165" s="3">
        <v>41137.979</v>
      </c>
      <c r="AN165" s="3">
        <v>41416.8793</v>
      </c>
      <c r="AO165" s="3">
        <v>41485.2408</v>
      </c>
      <c r="AP165" s="3">
        <v>42275.0341</v>
      </c>
      <c r="AQ165" s="3">
        <v>43619.7191</v>
      </c>
      <c r="AR165" s="3">
        <v>44742.9565</v>
      </c>
      <c r="AS165" s="3">
        <v>42060.4954</v>
      </c>
      <c r="AT165" s="3">
        <v>40639.8128</v>
      </c>
      <c r="AU165" s="3">
        <f t="shared" si="2"/>
        <v>52207.64295</v>
      </c>
      <c r="AV165" s="3">
        <f t="shared" si="3"/>
        <v>59720.90102</v>
      </c>
      <c r="AW165" s="3">
        <f t="shared" si="4"/>
        <v>44414.99105</v>
      </c>
      <c r="AX165" s="4">
        <f t="shared" si="5"/>
        <v>0.0125599843</v>
      </c>
      <c r="AY165" s="4">
        <f t="shared" si="6"/>
        <v>0.007515061476</v>
      </c>
      <c r="AZ165" s="4">
        <f t="shared" si="7"/>
        <v>-0.01711642857</v>
      </c>
    </row>
    <row r="166" ht="14.25" customHeight="1">
      <c r="A166" s="2" t="s">
        <v>310</v>
      </c>
      <c r="B166" s="3">
        <v>6917.1166</v>
      </c>
      <c r="C166" s="3">
        <v>7329.0104</v>
      </c>
      <c r="D166" s="3">
        <v>7347.8183</v>
      </c>
      <c r="E166" s="3">
        <v>7582.6963</v>
      </c>
      <c r="F166" s="3">
        <v>8094.936</v>
      </c>
      <c r="G166" s="3">
        <v>7929.4261</v>
      </c>
      <c r="H166" s="3">
        <v>8517.3401</v>
      </c>
      <c r="I166" s="3">
        <v>9350.421</v>
      </c>
      <c r="J166" s="3">
        <v>9862.1076</v>
      </c>
      <c r="K166" s="3">
        <v>9810.8836</v>
      </c>
      <c r="L166" s="3">
        <v>9934.6841</v>
      </c>
      <c r="M166" s="3">
        <v>10190.5826</v>
      </c>
      <c r="N166" s="3">
        <v>10505.5603</v>
      </c>
      <c r="O166" s="3">
        <v>10838.682</v>
      </c>
      <c r="P166" s="3">
        <v>11187.6246</v>
      </c>
      <c r="Q166" s="3">
        <v>11231.8785</v>
      </c>
      <c r="R166" s="3">
        <v>11464.3225</v>
      </c>
      <c r="S166" s="3">
        <v>11823.5541</v>
      </c>
      <c r="T166" s="3">
        <v>11020.4552</v>
      </c>
      <c r="U166" s="3">
        <v>11123.1244</v>
      </c>
      <c r="V166" s="3">
        <v>11776.8662</v>
      </c>
      <c r="W166" s="3">
        <v>11720.6636</v>
      </c>
      <c r="X166" s="3">
        <v>11815.699</v>
      </c>
      <c r="Y166" s="3">
        <v>12110.9836</v>
      </c>
      <c r="Z166" s="3">
        <v>13153.939</v>
      </c>
      <c r="AA166" s="3">
        <v>13941.6597</v>
      </c>
      <c r="AB166" s="3">
        <v>14810.2544</v>
      </c>
      <c r="AC166" s="3">
        <v>15751.3151</v>
      </c>
      <c r="AD166" s="3">
        <v>15908.8592</v>
      </c>
      <c r="AE166" s="3">
        <v>15375.3776</v>
      </c>
      <c r="AF166" s="3">
        <v>16505.1814</v>
      </c>
      <c r="AG166" s="3">
        <v>17468.3691</v>
      </c>
      <c r="AH166" s="3">
        <v>17773.0576</v>
      </c>
      <c r="AI166" s="3">
        <v>18364.18</v>
      </c>
      <c r="AJ166" s="3">
        <v>18560.1145</v>
      </c>
      <c r="AK166" s="3">
        <v>18122.3321</v>
      </c>
      <c r="AL166" s="3">
        <v>18252.2175</v>
      </c>
      <c r="AM166" s="3">
        <v>18883.7216</v>
      </c>
      <c r="AN166" s="3">
        <v>19376.047</v>
      </c>
      <c r="AO166" s="3">
        <v>18924.1034</v>
      </c>
      <c r="AP166" s="3">
        <v>16496.3306</v>
      </c>
      <c r="AQ166" s="3">
        <v>17608.101</v>
      </c>
      <c r="AR166" s="3">
        <v>16760.9694</v>
      </c>
      <c r="AS166" s="3">
        <v>18004.5059</v>
      </c>
      <c r="AT166" s="3">
        <v>18568.3015</v>
      </c>
      <c r="AU166" s="3">
        <f t="shared" si="2"/>
        <v>9026.59264</v>
      </c>
      <c r="AV166" s="3">
        <f t="shared" si="3"/>
        <v>12985.50526</v>
      </c>
      <c r="AW166" s="3">
        <f t="shared" si="4"/>
        <v>17977.83551</v>
      </c>
      <c r="AX166" s="4">
        <f t="shared" si="5"/>
        <v>0.03494006344</v>
      </c>
      <c r="AY166" s="4">
        <f t="shared" si="6"/>
        <v>0.02268281142</v>
      </c>
      <c r="AZ166" s="4">
        <f t="shared" si="7"/>
        <v>0.004371250521</v>
      </c>
    </row>
    <row r="167" ht="14.25" customHeight="1">
      <c r="A167" s="2" t="s">
        <v>311</v>
      </c>
      <c r="B167" s="3">
        <v>11277.9232</v>
      </c>
      <c r="C167" s="3">
        <v>11681.872</v>
      </c>
      <c r="D167" s="3">
        <v>11776.1947</v>
      </c>
      <c r="E167" s="3">
        <v>12028.4247</v>
      </c>
      <c r="F167" s="3">
        <v>12499.3582</v>
      </c>
      <c r="G167" s="3">
        <v>12418.9765</v>
      </c>
      <c r="H167" s="3">
        <v>12881.0694</v>
      </c>
      <c r="I167" s="3">
        <v>13536.7721</v>
      </c>
      <c r="J167" s="3">
        <v>13899.2379</v>
      </c>
      <c r="K167" s="3">
        <v>13827.9008</v>
      </c>
      <c r="L167" s="3">
        <v>13584.3755</v>
      </c>
      <c r="M167" s="3">
        <v>13421.8439</v>
      </c>
      <c r="N167" s="3">
        <v>13268.901</v>
      </c>
      <c r="O167" s="3">
        <v>13255.6401</v>
      </c>
      <c r="P167" s="3">
        <v>13402.4625</v>
      </c>
      <c r="Q167" s="3">
        <v>13235.5786</v>
      </c>
      <c r="R167" s="3">
        <v>13275.7695</v>
      </c>
      <c r="S167" s="3">
        <v>13350.9148</v>
      </c>
      <c r="T167" s="3">
        <v>12597.2172</v>
      </c>
      <c r="U167" s="3">
        <v>12807.3521</v>
      </c>
      <c r="V167" s="3">
        <v>13350.7788</v>
      </c>
      <c r="W167" s="3">
        <v>13380.837</v>
      </c>
      <c r="X167" s="3">
        <v>13506.918</v>
      </c>
      <c r="Y167" s="3">
        <v>13810.8996</v>
      </c>
      <c r="Z167" s="3">
        <v>14809.9588</v>
      </c>
      <c r="AA167" s="3">
        <v>15603.8473</v>
      </c>
      <c r="AB167" s="3">
        <v>16339.9997</v>
      </c>
      <c r="AC167" s="3">
        <v>17096.0096</v>
      </c>
      <c r="AD167" s="3">
        <v>17344.0232</v>
      </c>
      <c r="AE167" s="3">
        <v>16828.4785</v>
      </c>
      <c r="AF167" s="3">
        <v>17843.1788</v>
      </c>
      <c r="AG167" s="3">
        <v>18805.7193</v>
      </c>
      <c r="AH167" s="3">
        <v>19165.533</v>
      </c>
      <c r="AI167" s="3">
        <v>19759.4193</v>
      </c>
      <c r="AJ167" s="3">
        <v>19931.3355</v>
      </c>
      <c r="AK167" s="3">
        <v>19368.7314</v>
      </c>
      <c r="AL167" s="3">
        <v>19547.7202</v>
      </c>
      <c r="AM167" s="3">
        <v>20032.1187</v>
      </c>
      <c r="AN167" s="3">
        <v>20372.9589</v>
      </c>
      <c r="AO167" s="3">
        <v>19999.9524</v>
      </c>
      <c r="AP167" s="3">
        <v>17467.9281</v>
      </c>
      <c r="AQ167" s="3">
        <v>18444.8856</v>
      </c>
      <c r="AR167" s="3">
        <v>17672.2826</v>
      </c>
      <c r="AS167" s="3">
        <v>18991.2365</v>
      </c>
      <c r="AT167" s="3">
        <v>19765.5397</v>
      </c>
      <c r="AU167" s="3">
        <f t="shared" si="2"/>
        <v>12850.73017</v>
      </c>
      <c r="AV167" s="3">
        <f t="shared" si="3"/>
        <v>14578.78601</v>
      </c>
      <c r="AW167" s="3">
        <f t="shared" si="4"/>
        <v>19144.56933</v>
      </c>
      <c r="AX167" s="4">
        <f t="shared" si="5"/>
        <v>0.01240425552</v>
      </c>
      <c r="AY167" s="4">
        <f t="shared" si="6"/>
        <v>0.01730255957</v>
      </c>
      <c r="AZ167" s="4">
        <f t="shared" si="7"/>
        <v>0.003561968827</v>
      </c>
    </row>
    <row r="168" ht="14.25" customHeight="1">
      <c r="A168" s="2" t="s">
        <v>312</v>
      </c>
      <c r="B168" s="3">
        <v>15144.1894</v>
      </c>
      <c r="C168" s="3">
        <v>15540.204</v>
      </c>
      <c r="D168" s="3">
        <v>15430.0559</v>
      </c>
      <c r="E168" s="3">
        <v>14928.8176</v>
      </c>
      <c r="F168" s="3">
        <v>15081.9881</v>
      </c>
      <c r="G168" s="3">
        <v>14915.5998</v>
      </c>
      <c r="H168" s="3">
        <v>15119.5681</v>
      </c>
      <c r="I168" s="3">
        <v>15203.9285</v>
      </c>
      <c r="J168" s="3">
        <v>15067.8633</v>
      </c>
      <c r="K168" s="3">
        <v>14658.7605</v>
      </c>
      <c r="L168" s="3">
        <v>14380.5395</v>
      </c>
      <c r="M168" s="3">
        <v>14064.2202</v>
      </c>
      <c r="N168" s="3">
        <v>13811.3981</v>
      </c>
      <c r="O168" s="3">
        <v>13440.3936</v>
      </c>
      <c r="P168" s="3">
        <v>13513.48</v>
      </c>
      <c r="Q168" s="3">
        <v>13636.7163</v>
      </c>
      <c r="R168" s="3">
        <v>13828.1147</v>
      </c>
      <c r="S168" s="3">
        <v>14153.8937</v>
      </c>
      <c r="T168" s="3">
        <v>14236.0512</v>
      </c>
      <c r="U168" s="3">
        <v>14118.5167</v>
      </c>
      <c r="V168" s="3">
        <v>14291.6435</v>
      </c>
      <c r="W168" s="3">
        <v>14348.9205</v>
      </c>
      <c r="X168" s="3">
        <v>14348.9205</v>
      </c>
      <c r="Y168" s="3">
        <v>14344.1258</v>
      </c>
      <c r="Z168" s="3">
        <v>14727.441</v>
      </c>
      <c r="AA168" s="3">
        <v>15162.5906</v>
      </c>
      <c r="AB168" s="3">
        <v>15797.0433</v>
      </c>
      <c r="AC168" s="3">
        <v>16343.3776</v>
      </c>
      <c r="AD168" s="3">
        <v>16605.1412</v>
      </c>
      <c r="AE168" s="3">
        <v>16328.3456</v>
      </c>
      <c r="AF168" s="3">
        <v>16433.8286</v>
      </c>
      <c r="AG168" s="3">
        <v>16913.0373</v>
      </c>
      <c r="AH168" s="3">
        <v>17186.2045</v>
      </c>
      <c r="AI168" s="3">
        <v>17427.3639</v>
      </c>
      <c r="AJ168" s="3">
        <v>17440.0633</v>
      </c>
      <c r="AK168" s="3">
        <v>17526.7563</v>
      </c>
      <c r="AL168" s="3">
        <v>17272.5087</v>
      </c>
      <c r="AM168" s="3">
        <v>17202.7915</v>
      </c>
      <c r="AN168" s="3">
        <v>17371.3828</v>
      </c>
      <c r="AO168" s="3">
        <v>17201.6252</v>
      </c>
      <c r="AP168" s="3">
        <v>15245.7848</v>
      </c>
      <c r="AQ168" s="3">
        <v>16076.9489</v>
      </c>
      <c r="AR168" s="3">
        <v>16477.8878</v>
      </c>
      <c r="AS168" s="3">
        <v>16560.6932</v>
      </c>
      <c r="AT168" s="3">
        <v>16679.0051</v>
      </c>
      <c r="AU168" s="3">
        <f t="shared" si="2"/>
        <v>14686.73377</v>
      </c>
      <c r="AV168" s="3">
        <f t="shared" si="3"/>
        <v>14902.43756</v>
      </c>
      <c r="AW168" s="3">
        <f t="shared" si="4"/>
        <v>16867.72546</v>
      </c>
      <c r="AX168" s="4">
        <f t="shared" si="5"/>
        <v>-0.008104778781</v>
      </c>
      <c r="AY168" s="4">
        <f t="shared" si="6"/>
        <v>0.01295004258</v>
      </c>
      <c r="AZ168" s="4">
        <f t="shared" si="7"/>
        <v>-0.0009947915468</v>
      </c>
    </row>
    <row r="169" ht="14.25" customHeight="1">
      <c r="A169" s="2" t="s">
        <v>313</v>
      </c>
      <c r="B169" s="3">
        <v>14270.9518</v>
      </c>
      <c r="C169" s="3">
        <v>14519.1695</v>
      </c>
      <c r="D169" s="3">
        <v>14202.4029</v>
      </c>
      <c r="E169" s="3">
        <v>13568.5978</v>
      </c>
      <c r="F169" s="3">
        <v>13555.2009</v>
      </c>
      <c r="G169" s="3">
        <v>13368.5956</v>
      </c>
      <c r="H169" s="3">
        <v>13532.4192</v>
      </c>
      <c r="I169" s="3">
        <v>13700.9352</v>
      </c>
      <c r="J169" s="3">
        <v>13485.3599</v>
      </c>
      <c r="K169" s="3">
        <v>13015.3784</v>
      </c>
      <c r="L169" s="3">
        <v>12825.7809</v>
      </c>
      <c r="M169" s="3">
        <v>12722.6176</v>
      </c>
      <c r="N169" s="3">
        <v>12655.9048</v>
      </c>
      <c r="O169" s="3">
        <v>12489.565</v>
      </c>
      <c r="P169" s="3">
        <v>12622.6505</v>
      </c>
      <c r="Q169" s="3">
        <v>12815.4442</v>
      </c>
      <c r="R169" s="3">
        <v>12947.7816</v>
      </c>
      <c r="S169" s="3">
        <v>13269.7845</v>
      </c>
      <c r="T169" s="3">
        <v>13346.902</v>
      </c>
      <c r="U169" s="3">
        <v>13224.1533</v>
      </c>
      <c r="V169" s="3">
        <v>13389.6771</v>
      </c>
      <c r="W169" s="3">
        <v>13397.8377</v>
      </c>
      <c r="X169" s="3">
        <v>13347.038</v>
      </c>
      <c r="Y169" s="3">
        <v>13313.6477</v>
      </c>
      <c r="Z169" s="3">
        <v>13737.2498</v>
      </c>
      <c r="AA169" s="3">
        <v>14212.8077</v>
      </c>
      <c r="AB169" s="3">
        <v>14850.8971</v>
      </c>
      <c r="AC169" s="3">
        <v>15408.2648</v>
      </c>
      <c r="AD169" s="3">
        <v>15810.0374</v>
      </c>
      <c r="AE169" s="3">
        <v>15515.7124</v>
      </c>
      <c r="AF169" s="3">
        <v>15788.0038</v>
      </c>
      <c r="AG169" s="3">
        <v>16170.327</v>
      </c>
      <c r="AH169" s="3">
        <v>16507.223</v>
      </c>
      <c r="AI169" s="3">
        <v>16833.2382</v>
      </c>
      <c r="AJ169" s="3">
        <v>16927.9689</v>
      </c>
      <c r="AK169" s="3">
        <v>17006.3105</v>
      </c>
      <c r="AL169" s="3">
        <v>16815.0809</v>
      </c>
      <c r="AM169" s="3">
        <v>16774.958</v>
      </c>
      <c r="AN169" s="3">
        <v>16793.3193</v>
      </c>
      <c r="AO169" s="3">
        <v>16619.839</v>
      </c>
      <c r="AP169" s="3">
        <v>14990.783</v>
      </c>
      <c r="AQ169" s="3">
        <v>15941.1507</v>
      </c>
      <c r="AR169" s="3">
        <v>16420.5168</v>
      </c>
      <c r="AS169" s="3">
        <v>16548.8419</v>
      </c>
      <c r="AT169" s="3">
        <v>16755.4407</v>
      </c>
      <c r="AU169" s="3">
        <f t="shared" si="2"/>
        <v>13369.03533</v>
      </c>
      <c r="AV169" s="3">
        <f t="shared" si="3"/>
        <v>13983.69936</v>
      </c>
      <c r="AW169" s="3">
        <f t="shared" si="4"/>
        <v>16459.53345</v>
      </c>
      <c r="AX169" s="4">
        <f t="shared" si="5"/>
        <v>-0.008728346993</v>
      </c>
      <c r="AY169" s="4">
        <f t="shared" si="6"/>
        <v>0.01375098636</v>
      </c>
      <c r="AZ169" s="4">
        <f t="shared" si="7"/>
        <v>0.002542163505</v>
      </c>
    </row>
    <row r="170" ht="14.25" customHeight="1">
      <c r="A170" s="2" t="s">
        <v>314</v>
      </c>
      <c r="B170" s="3">
        <v>24252.7004</v>
      </c>
      <c r="C170" s="3">
        <v>22372.3311</v>
      </c>
      <c r="D170" s="3">
        <v>21645.2173</v>
      </c>
      <c r="E170" s="3">
        <v>21469.3062</v>
      </c>
      <c r="F170" s="3">
        <v>20917.3429</v>
      </c>
      <c r="G170" s="3">
        <v>21161.0543</v>
      </c>
      <c r="H170" s="3">
        <v>20557.6976</v>
      </c>
      <c r="I170" s="3">
        <v>20730.6751</v>
      </c>
      <c r="J170" s="3">
        <v>20727.9587</v>
      </c>
      <c r="K170" s="3">
        <v>19049.3602</v>
      </c>
      <c r="L170" s="3">
        <v>18888.0087</v>
      </c>
      <c r="M170" s="3">
        <v>17147.8033</v>
      </c>
      <c r="N170" s="3">
        <v>18726.8746</v>
      </c>
      <c r="O170" s="3">
        <v>19449.3163</v>
      </c>
      <c r="P170" s="3">
        <v>19812.6559</v>
      </c>
      <c r="Q170" s="3">
        <v>19922.5052</v>
      </c>
      <c r="R170" s="3">
        <v>20970.8008</v>
      </c>
      <c r="S170" s="3">
        <v>21536.9978</v>
      </c>
      <c r="T170" s="3">
        <v>22444.4775</v>
      </c>
      <c r="U170" s="3">
        <v>22184.468</v>
      </c>
      <c r="V170" s="3">
        <v>22243.7932</v>
      </c>
      <c r="W170" s="3">
        <v>21990.4117</v>
      </c>
      <c r="X170" s="3">
        <v>21739.7465</v>
      </c>
      <c r="Y170" s="3">
        <v>21160.837</v>
      </c>
      <c r="Z170" s="3">
        <v>22506.845</v>
      </c>
      <c r="AA170" s="3">
        <v>22801.5151</v>
      </c>
      <c r="AB170" s="3">
        <v>23362.0621</v>
      </c>
      <c r="AC170" s="3">
        <v>23947.0562</v>
      </c>
      <c r="AD170" s="3">
        <v>24326.2593</v>
      </c>
      <c r="AE170" s="3">
        <v>24279.6467</v>
      </c>
      <c r="AF170" s="3">
        <v>24707.7442</v>
      </c>
      <c r="AG170" s="3">
        <v>24474.7896</v>
      </c>
      <c r="AH170" s="3">
        <v>23240.0434</v>
      </c>
      <c r="AI170" s="3">
        <v>21782.4476</v>
      </c>
      <c r="AJ170" s="3">
        <v>21122.6994</v>
      </c>
      <c r="AK170" s="3">
        <v>20877.1409</v>
      </c>
      <c r="AL170" s="3">
        <v>21075.4348</v>
      </c>
      <c r="AM170" s="3">
        <v>20874.6418</v>
      </c>
      <c r="AN170" s="3">
        <v>20940.0517</v>
      </c>
      <c r="AO170" s="3">
        <v>20710.6827</v>
      </c>
      <c r="AP170" s="3">
        <v>19253.0868</v>
      </c>
      <c r="AQ170" s="3">
        <v>19256.0205</v>
      </c>
      <c r="AR170" s="3">
        <v>19563.5118</v>
      </c>
      <c r="AS170" s="3">
        <v>18945.1608</v>
      </c>
      <c r="AT170" s="3">
        <v>18154.267</v>
      </c>
      <c r="AU170" s="3">
        <f t="shared" si="2"/>
        <v>20460.55351</v>
      </c>
      <c r="AV170" s="3">
        <f t="shared" si="3"/>
        <v>22535.35121</v>
      </c>
      <c r="AW170" s="3">
        <f t="shared" si="4"/>
        <v>20998.51487</v>
      </c>
      <c r="AX170" s="4">
        <f t="shared" si="5"/>
        <v>-0.01433955557</v>
      </c>
      <c r="AY170" s="4">
        <f t="shared" si="6"/>
        <v>0.01422801161</v>
      </c>
      <c r="AZ170" s="4">
        <f t="shared" si="7"/>
        <v>-0.0211123724</v>
      </c>
    </row>
    <row r="171" ht="14.25" customHeight="1">
      <c r="A171" s="2" t="s">
        <v>315</v>
      </c>
      <c r="B171" s="3">
        <v>24319.3472</v>
      </c>
      <c r="C171" s="3">
        <v>21650.7013</v>
      </c>
      <c r="D171" s="3">
        <v>20625.0522</v>
      </c>
      <c r="E171" s="3">
        <v>20064.7604</v>
      </c>
      <c r="F171" s="3">
        <v>19880.5352</v>
      </c>
      <c r="G171" s="3">
        <v>19872.4427</v>
      </c>
      <c r="H171" s="3">
        <v>19413.002</v>
      </c>
      <c r="I171" s="3">
        <v>19768.3953</v>
      </c>
      <c r="J171" s="3">
        <v>19428.031</v>
      </c>
      <c r="K171" s="3">
        <v>18383.3407</v>
      </c>
      <c r="L171" s="3">
        <v>18176.6059</v>
      </c>
      <c r="M171" s="3">
        <v>15160.4552</v>
      </c>
      <c r="N171" s="3">
        <v>16388.2826</v>
      </c>
      <c r="O171" s="3">
        <v>17403.6629</v>
      </c>
      <c r="P171" s="3">
        <v>17374.0128</v>
      </c>
      <c r="Q171" s="3">
        <v>17073.4314</v>
      </c>
      <c r="R171" s="3">
        <v>18231.4859</v>
      </c>
      <c r="S171" s="3">
        <v>19022.5182</v>
      </c>
      <c r="T171" s="3">
        <v>20033.4781</v>
      </c>
      <c r="U171" s="3">
        <v>20284.824</v>
      </c>
      <c r="V171" s="3">
        <v>20415.1893</v>
      </c>
      <c r="W171" s="3">
        <v>20203.2182</v>
      </c>
      <c r="X171" s="3">
        <v>19644.1504</v>
      </c>
      <c r="Y171" s="3">
        <v>18592.1155</v>
      </c>
      <c r="Z171" s="3">
        <v>20462.8607</v>
      </c>
      <c r="AA171" s="3">
        <v>20910.6046</v>
      </c>
      <c r="AB171" s="3">
        <v>21500.4106</v>
      </c>
      <c r="AC171" s="3">
        <v>21888.9222</v>
      </c>
      <c r="AD171" s="3">
        <v>22299.2634</v>
      </c>
      <c r="AE171" s="3">
        <v>22067.7069</v>
      </c>
      <c r="AF171" s="3">
        <v>22490.629</v>
      </c>
      <c r="AG171" s="3">
        <v>21657.0937</v>
      </c>
      <c r="AH171" s="3">
        <v>22469.2075</v>
      </c>
      <c r="AI171" s="3">
        <v>22054.242</v>
      </c>
      <c r="AJ171" s="3">
        <v>21405.0678</v>
      </c>
      <c r="AK171" s="3">
        <v>21152.1578</v>
      </c>
      <c r="AL171" s="3">
        <v>21663.1461</v>
      </c>
      <c r="AM171" s="3">
        <v>21448.2508</v>
      </c>
      <c r="AN171" s="3">
        <v>21467.4962</v>
      </c>
      <c r="AO171" s="3">
        <v>21170.8591</v>
      </c>
      <c r="AP171" s="3">
        <v>19021.7021</v>
      </c>
      <c r="AQ171" s="3">
        <v>19000.0766</v>
      </c>
      <c r="AR171" s="3">
        <v>19402.1892</v>
      </c>
      <c r="AS171" s="3">
        <v>18827.0722</v>
      </c>
      <c r="AT171" s="3">
        <v>18211.1524</v>
      </c>
      <c r="AU171" s="3">
        <f t="shared" si="2"/>
        <v>19193.90849</v>
      </c>
      <c r="AV171" s="3">
        <f t="shared" si="3"/>
        <v>20396.91057</v>
      </c>
      <c r="AW171" s="3">
        <f t="shared" si="4"/>
        <v>20762.6895</v>
      </c>
      <c r="AX171" s="4">
        <f t="shared" si="5"/>
        <v>-0.02373497627</v>
      </c>
      <c r="AY171" s="4">
        <f t="shared" si="6"/>
        <v>0.01849697245</v>
      </c>
      <c r="AZ171" s="4">
        <f t="shared" si="7"/>
        <v>-0.01230219296</v>
      </c>
    </row>
    <row r="172" ht="14.25" customHeight="1">
      <c r="A172" s="2" t="s">
        <v>316</v>
      </c>
      <c r="B172" s="3">
        <v>10824.4092</v>
      </c>
      <c r="C172" s="3">
        <v>10478.5125</v>
      </c>
      <c r="D172" s="3">
        <v>10239.7151</v>
      </c>
      <c r="E172" s="3">
        <v>10143.3068</v>
      </c>
      <c r="F172" s="3">
        <v>9931.9465</v>
      </c>
      <c r="G172" s="3">
        <v>9912.2675</v>
      </c>
      <c r="H172" s="3">
        <v>10208.5882</v>
      </c>
      <c r="I172" s="3">
        <v>10294.7786</v>
      </c>
      <c r="J172" s="3">
        <v>10666.6932</v>
      </c>
      <c r="K172" s="3">
        <v>10666.4093</v>
      </c>
      <c r="L172" s="3">
        <v>10330.2576</v>
      </c>
      <c r="M172" s="3">
        <v>10340.1917</v>
      </c>
      <c r="N172" s="3">
        <v>10374.9138</v>
      </c>
      <c r="O172" s="3">
        <v>10602.831</v>
      </c>
      <c r="P172" s="3">
        <v>10643.2297</v>
      </c>
      <c r="Q172" s="3">
        <v>10418.6239</v>
      </c>
      <c r="R172" s="3">
        <v>10443.7904</v>
      </c>
      <c r="S172" s="3">
        <v>9993.6327</v>
      </c>
      <c r="T172" s="3">
        <v>9766.3778</v>
      </c>
      <c r="U172" s="3">
        <v>9694.8522</v>
      </c>
      <c r="V172" s="3">
        <v>9432.4021</v>
      </c>
      <c r="W172" s="3">
        <v>9246.1136</v>
      </c>
      <c r="X172" s="3">
        <v>9084.6132</v>
      </c>
      <c r="Y172" s="3">
        <v>9266.8334</v>
      </c>
      <c r="Z172" s="3">
        <v>9299.5687</v>
      </c>
      <c r="AA172" s="3">
        <v>9278.7543</v>
      </c>
      <c r="AB172" s="3">
        <v>9277.9975</v>
      </c>
      <c r="AC172" s="3">
        <v>9518.3086</v>
      </c>
      <c r="AD172" s="3">
        <v>9382.353</v>
      </c>
      <c r="AE172" s="3">
        <v>9122.3629</v>
      </c>
      <c r="AF172" s="3">
        <v>9316.4094</v>
      </c>
      <c r="AG172" s="3">
        <v>9113.8479</v>
      </c>
      <c r="AH172" s="3">
        <v>9004.0049</v>
      </c>
      <c r="AI172" s="3">
        <v>8941.5618</v>
      </c>
      <c r="AJ172" s="3">
        <v>9177.0478</v>
      </c>
      <c r="AK172" s="3">
        <v>9109.9689</v>
      </c>
      <c r="AL172" s="3">
        <v>9067.0156</v>
      </c>
      <c r="AM172" s="3">
        <v>9149.8</v>
      </c>
      <c r="AN172" s="3">
        <v>9003.6264</v>
      </c>
      <c r="AO172" s="3">
        <v>8949.6984</v>
      </c>
      <c r="AP172" s="3">
        <v>8301.6151</v>
      </c>
      <c r="AQ172" s="3">
        <v>8166.038</v>
      </c>
      <c r="AR172" s="3">
        <v>8458.7635</v>
      </c>
      <c r="AS172" s="3">
        <v>8420.4461</v>
      </c>
      <c r="AT172" s="3">
        <v>8572.0125</v>
      </c>
      <c r="AU172" s="3">
        <f t="shared" si="2"/>
        <v>10377.20338</v>
      </c>
      <c r="AV172" s="3">
        <f t="shared" si="3"/>
        <v>9486.282886</v>
      </c>
      <c r="AW172" s="3">
        <f t="shared" si="4"/>
        <v>8850.123753</v>
      </c>
      <c r="AX172" s="4">
        <f t="shared" si="5"/>
        <v>-0.001204967296</v>
      </c>
      <c r="AY172" s="4">
        <f t="shared" si="6"/>
        <v>-0.009445543927</v>
      </c>
      <c r="AZ172" s="4">
        <f t="shared" si="7"/>
        <v>-0.004368463828</v>
      </c>
    </row>
    <row r="173" ht="14.25" customHeight="1">
      <c r="A173" s="2" t="s">
        <v>317</v>
      </c>
      <c r="B173" s="3">
        <v>10019.6974</v>
      </c>
      <c r="C173" s="3">
        <v>9828.8758</v>
      </c>
      <c r="D173" s="3">
        <v>9659.4758</v>
      </c>
      <c r="E173" s="3">
        <v>9555.8364</v>
      </c>
      <c r="F173" s="3">
        <v>9450.7009</v>
      </c>
      <c r="G173" s="3">
        <v>9432.2716</v>
      </c>
      <c r="H173" s="3">
        <v>9661.7879</v>
      </c>
      <c r="I173" s="3">
        <v>9620.645</v>
      </c>
      <c r="J173" s="3">
        <v>9879.6755</v>
      </c>
      <c r="K173" s="3">
        <v>9933.4673</v>
      </c>
      <c r="L173" s="3">
        <v>9684.5696</v>
      </c>
      <c r="M173" s="3">
        <v>9789.093</v>
      </c>
      <c r="N173" s="3">
        <v>9969.3738</v>
      </c>
      <c r="O173" s="3">
        <v>10346.9367</v>
      </c>
      <c r="P173" s="3">
        <v>10428.6105</v>
      </c>
      <c r="Q173" s="3">
        <v>10182.229</v>
      </c>
      <c r="R173" s="3">
        <v>10258.0544</v>
      </c>
      <c r="S173" s="3">
        <v>9724.0124</v>
      </c>
      <c r="T173" s="3">
        <v>9683.9575</v>
      </c>
      <c r="U173" s="3">
        <v>9693.1382</v>
      </c>
      <c r="V173" s="3">
        <v>9401.4654</v>
      </c>
      <c r="W173" s="3">
        <v>9247.8425</v>
      </c>
      <c r="X173" s="3">
        <v>9107.3445</v>
      </c>
      <c r="Y173" s="3">
        <v>9117.8172</v>
      </c>
      <c r="Z173" s="3">
        <v>9061.4412</v>
      </c>
      <c r="AA173" s="3">
        <v>9036.3474</v>
      </c>
      <c r="AB173" s="3">
        <v>9016.626</v>
      </c>
      <c r="AC173" s="3">
        <v>9145.7672</v>
      </c>
      <c r="AD173" s="3">
        <v>8961.0661</v>
      </c>
      <c r="AE173" s="3">
        <v>8871.5037</v>
      </c>
      <c r="AF173" s="3">
        <v>9092.4514</v>
      </c>
      <c r="AG173" s="3">
        <v>8925.7035</v>
      </c>
      <c r="AH173" s="3">
        <v>8836.9572</v>
      </c>
      <c r="AI173" s="3">
        <v>8821.1121</v>
      </c>
      <c r="AJ173" s="3">
        <v>9177.1854</v>
      </c>
      <c r="AK173" s="3">
        <v>9296.6019</v>
      </c>
      <c r="AL173" s="3">
        <v>9375.3516</v>
      </c>
      <c r="AM173" s="3">
        <v>9440.0922</v>
      </c>
      <c r="AN173" s="3">
        <v>9277.7646</v>
      </c>
      <c r="AO173" s="3">
        <v>9270.2161</v>
      </c>
      <c r="AP173" s="3">
        <v>8547.0526</v>
      </c>
      <c r="AQ173" s="3">
        <v>8302.1671</v>
      </c>
      <c r="AR173" s="3">
        <v>8594.52</v>
      </c>
      <c r="AS173" s="3">
        <v>8678.6419</v>
      </c>
      <c r="AT173" s="3">
        <v>8972.7629</v>
      </c>
      <c r="AU173" s="3">
        <f t="shared" si="2"/>
        <v>9817.401147</v>
      </c>
      <c r="AV173" s="3">
        <f t="shared" si="3"/>
        <v>9309.027407</v>
      </c>
      <c r="AW173" s="3">
        <f t="shared" si="4"/>
        <v>8973.905367</v>
      </c>
      <c r="AX173" s="4">
        <f t="shared" si="5"/>
        <v>0.002861238628</v>
      </c>
      <c r="AY173" s="4">
        <f t="shared" si="6"/>
        <v>-0.009794549124</v>
      </c>
      <c r="AZ173" s="4">
        <f t="shared" si="7"/>
        <v>0.0003756774178</v>
      </c>
    </row>
    <row r="174" ht="14.25" customHeight="1">
      <c r="A174" s="2" t="s">
        <v>318</v>
      </c>
      <c r="B174" s="3">
        <v>69631.6002</v>
      </c>
      <c r="C174" s="3">
        <v>64716.6185</v>
      </c>
      <c r="D174" s="3">
        <v>61418.7411</v>
      </c>
      <c r="E174" s="3">
        <v>60539.9647</v>
      </c>
      <c r="F174" s="3">
        <v>56815.2252</v>
      </c>
      <c r="G174" s="3">
        <v>57860.0864</v>
      </c>
      <c r="H174" s="3">
        <v>61346.1154</v>
      </c>
      <c r="I174" s="3">
        <v>64050.6566</v>
      </c>
      <c r="J174" s="3">
        <v>64685.6602</v>
      </c>
      <c r="K174" s="3">
        <v>63972.3845</v>
      </c>
      <c r="L174" s="3">
        <v>61074.4996</v>
      </c>
      <c r="M174" s="3">
        <v>60549.9597</v>
      </c>
      <c r="N174" s="3">
        <v>58589.0683</v>
      </c>
      <c r="O174" s="3">
        <v>58086.2707</v>
      </c>
      <c r="P174" s="3">
        <v>59633.1507</v>
      </c>
      <c r="Q174" s="3">
        <v>63225.3598</v>
      </c>
      <c r="R174" s="3">
        <v>64755.3652</v>
      </c>
      <c r="S174" s="3">
        <v>65693.2674</v>
      </c>
      <c r="T174" s="3">
        <v>68101.5299</v>
      </c>
      <c r="U174" s="3">
        <v>69277.169</v>
      </c>
      <c r="V174" s="3">
        <v>70894.0785</v>
      </c>
      <c r="W174" s="3">
        <v>74779.9054</v>
      </c>
      <c r="X174" s="3">
        <v>73412.8695</v>
      </c>
      <c r="Y174" s="3">
        <v>76778.9592</v>
      </c>
      <c r="Z174" s="3">
        <v>79400.6203</v>
      </c>
      <c r="AA174" s="3">
        <v>80028.8739</v>
      </c>
      <c r="AB174" s="3">
        <v>83171.4404</v>
      </c>
      <c r="AC174" s="3">
        <v>87525.0825</v>
      </c>
      <c r="AD174" s="3">
        <v>90460.3512</v>
      </c>
      <c r="AE174" s="3">
        <v>87524.6931</v>
      </c>
      <c r="AF174" s="3">
        <v>87197.9753</v>
      </c>
      <c r="AG174" s="3">
        <v>84044.3755</v>
      </c>
      <c r="AH174" s="3">
        <v>80380.8388</v>
      </c>
      <c r="AI174" s="3">
        <v>79906.5332</v>
      </c>
      <c r="AJ174" s="3">
        <v>78412.4188</v>
      </c>
      <c r="AK174" s="3">
        <v>76600.6728</v>
      </c>
      <c r="AL174" s="3">
        <v>76703.5428</v>
      </c>
      <c r="AM174" s="3">
        <v>78909.9593</v>
      </c>
      <c r="AN174" s="3">
        <v>78949.7444</v>
      </c>
      <c r="AO174" s="3">
        <v>78710.9691</v>
      </c>
      <c r="AP174" s="3">
        <v>74742.8462</v>
      </c>
      <c r="AQ174" s="3">
        <v>78131.5868</v>
      </c>
      <c r="AR174" s="3">
        <v>80138.8832</v>
      </c>
      <c r="AS174" s="3">
        <v>80500.843</v>
      </c>
      <c r="AT174" s="3">
        <v>80173.3463</v>
      </c>
      <c r="AU174" s="3">
        <f t="shared" si="2"/>
        <v>61531.33345</v>
      </c>
      <c r="AV174" s="3">
        <f t="shared" si="3"/>
        <v>76557.44325</v>
      </c>
      <c r="AW174" s="3">
        <f t="shared" si="4"/>
        <v>79566.96903</v>
      </c>
      <c r="AX174" s="4">
        <f t="shared" si="5"/>
        <v>-0.01101084983</v>
      </c>
      <c r="AY174" s="4">
        <f t="shared" si="6"/>
        <v>0.02350158726</v>
      </c>
      <c r="AZ174" s="4">
        <f t="shared" si="7"/>
        <v>-0.003362464204</v>
      </c>
    </row>
    <row r="175" ht="14.25" customHeight="1">
      <c r="A175" s="2" t="s">
        <v>319</v>
      </c>
      <c r="B175" s="3">
        <v>67727.5174</v>
      </c>
      <c r="C175" s="3">
        <v>64919.5975</v>
      </c>
      <c r="D175" s="3">
        <v>62496.041</v>
      </c>
      <c r="E175" s="3">
        <v>62174.1061</v>
      </c>
      <c r="F175" s="3">
        <v>58880.0196</v>
      </c>
      <c r="G175" s="3">
        <v>59988.8385</v>
      </c>
      <c r="H175" s="3">
        <v>62053.4655</v>
      </c>
      <c r="I175" s="3">
        <v>63665.1802</v>
      </c>
      <c r="J175" s="3">
        <v>64242.0653</v>
      </c>
      <c r="K175" s="3">
        <v>64740.2008</v>
      </c>
      <c r="L175" s="3">
        <v>60099.2104</v>
      </c>
      <c r="M175" s="3">
        <v>59833.3115</v>
      </c>
      <c r="N175" s="3">
        <v>57539.2361</v>
      </c>
      <c r="O175" s="3">
        <v>57372.1483</v>
      </c>
      <c r="P175" s="3">
        <v>59077.6417</v>
      </c>
      <c r="Q175" s="3">
        <v>61838.2982</v>
      </c>
      <c r="R175" s="3">
        <v>63563.513</v>
      </c>
      <c r="S175" s="3">
        <v>65499.6788</v>
      </c>
      <c r="T175" s="3">
        <v>68394.6449</v>
      </c>
      <c r="U175" s="3">
        <v>69798.4689</v>
      </c>
      <c r="V175" s="3">
        <v>72408.9707</v>
      </c>
      <c r="W175" s="3">
        <v>75843.1472</v>
      </c>
      <c r="X175" s="3">
        <v>74479.5821</v>
      </c>
      <c r="Y175" s="3">
        <v>75666.2666</v>
      </c>
      <c r="Z175" s="3">
        <v>78084.9268</v>
      </c>
      <c r="AA175" s="3">
        <v>79822.6545</v>
      </c>
      <c r="AB175" s="3">
        <v>83397.533</v>
      </c>
      <c r="AC175" s="3">
        <v>87079.9951</v>
      </c>
      <c r="AD175" s="3">
        <v>90480.3052</v>
      </c>
      <c r="AE175" s="3">
        <v>88105.1001</v>
      </c>
      <c r="AF175" s="3">
        <v>88285.0409</v>
      </c>
      <c r="AG175" s="3">
        <v>85454.2714</v>
      </c>
      <c r="AH175" s="3">
        <v>82604.1205</v>
      </c>
      <c r="AI175" s="3">
        <v>81753.3119</v>
      </c>
      <c r="AJ175" s="3">
        <v>80889.2424</v>
      </c>
      <c r="AK175" s="3">
        <v>80131.4645</v>
      </c>
      <c r="AL175" s="3">
        <v>80892.5066</v>
      </c>
      <c r="AM175" s="3">
        <v>82407.1785</v>
      </c>
      <c r="AN175" s="3">
        <v>82018.1228</v>
      </c>
      <c r="AO175" s="3">
        <v>82670.2892</v>
      </c>
      <c r="AP175" s="3">
        <v>78861.7461</v>
      </c>
      <c r="AQ175" s="3">
        <v>81520.3953</v>
      </c>
      <c r="AR175" s="3">
        <v>84582.3813</v>
      </c>
      <c r="AS175" s="3">
        <v>85270.5903</v>
      </c>
      <c r="AT175" s="3">
        <v>85544.8538</v>
      </c>
      <c r="AU175" s="3">
        <f t="shared" si="2"/>
        <v>61653.90533</v>
      </c>
      <c r="AV175" s="3">
        <f t="shared" si="3"/>
        <v>76616.05621</v>
      </c>
      <c r="AW175" s="3">
        <f t="shared" si="4"/>
        <v>82859.03437</v>
      </c>
      <c r="AX175" s="4">
        <f t="shared" si="5"/>
        <v>-0.009712527076</v>
      </c>
      <c r="AY175" s="4">
        <f t="shared" si="6"/>
        <v>0.02560866167</v>
      </c>
      <c r="AZ175" s="4">
        <f t="shared" si="7"/>
        <v>0.00007567777727</v>
      </c>
    </row>
    <row r="176" ht="14.25" customHeight="1">
      <c r="A176" s="2" t="s">
        <v>320</v>
      </c>
      <c r="B176" s="3">
        <v>8347.2</v>
      </c>
      <c r="C176" s="3">
        <v>8226.5811</v>
      </c>
      <c r="D176" s="3">
        <v>8192.2068</v>
      </c>
      <c r="E176" s="3">
        <v>8145.9969</v>
      </c>
      <c r="F176" s="3">
        <v>8132.7206</v>
      </c>
      <c r="G176" s="3">
        <v>8150.4224</v>
      </c>
      <c r="H176" s="3">
        <v>8312.0023</v>
      </c>
      <c r="I176" s="3">
        <v>8305.7244</v>
      </c>
      <c r="J176" s="3">
        <v>8704.7343</v>
      </c>
      <c r="K176" s="3">
        <v>8804.461</v>
      </c>
      <c r="L176" s="3">
        <v>8664.9053</v>
      </c>
      <c r="M176" s="3">
        <v>8767.9254</v>
      </c>
      <c r="N176" s="3">
        <v>8959.763</v>
      </c>
      <c r="O176" s="3">
        <v>9319.9731</v>
      </c>
      <c r="P176" s="3">
        <v>9357.435</v>
      </c>
      <c r="Q176" s="3">
        <v>9065.356</v>
      </c>
      <c r="R176" s="3">
        <v>9104.4646</v>
      </c>
      <c r="S176" s="3">
        <v>8633.2068</v>
      </c>
      <c r="T176" s="3">
        <v>8468.2306</v>
      </c>
      <c r="U176" s="3">
        <v>8444.3538</v>
      </c>
      <c r="V176" s="3">
        <v>8214.1281</v>
      </c>
      <c r="W176" s="3">
        <v>7999.5458</v>
      </c>
      <c r="X176" s="3">
        <v>7992.4445</v>
      </c>
      <c r="Y176" s="3">
        <v>7984.3141</v>
      </c>
      <c r="Z176" s="3">
        <v>7917.315</v>
      </c>
      <c r="AA176" s="3">
        <v>7914.4333</v>
      </c>
      <c r="AB176" s="3">
        <v>7877.1773</v>
      </c>
      <c r="AC176" s="3">
        <v>8000.9867</v>
      </c>
      <c r="AD176" s="3">
        <v>7799.3719</v>
      </c>
      <c r="AE176" s="3">
        <v>7749.3542</v>
      </c>
      <c r="AF176" s="3">
        <v>7985.9607</v>
      </c>
      <c r="AG176" s="3">
        <v>7883.2494</v>
      </c>
      <c r="AH176" s="3">
        <v>7841.1563</v>
      </c>
      <c r="AI176" s="3">
        <v>7849.5955</v>
      </c>
      <c r="AJ176" s="3">
        <v>8188.2959</v>
      </c>
      <c r="AK176" s="3">
        <v>8318.692</v>
      </c>
      <c r="AL176" s="3">
        <v>8377.5606</v>
      </c>
      <c r="AM176" s="3">
        <v>8418.6245</v>
      </c>
      <c r="AN176" s="3">
        <v>8271.2471</v>
      </c>
      <c r="AO176" s="3">
        <v>8279.8922</v>
      </c>
      <c r="AP176" s="3">
        <v>7665.6825</v>
      </c>
      <c r="AQ176" s="3">
        <v>7421.6659</v>
      </c>
      <c r="AR176" s="3">
        <v>7682.6638</v>
      </c>
      <c r="AS176" s="3">
        <v>7701.4977</v>
      </c>
      <c r="AT176" s="3">
        <v>7944.1764</v>
      </c>
      <c r="AU176" s="3">
        <f t="shared" si="2"/>
        <v>8559.470107</v>
      </c>
      <c r="AV176" s="3">
        <f t="shared" si="3"/>
        <v>8149.951907</v>
      </c>
      <c r="AW176" s="3">
        <f t="shared" si="4"/>
        <v>7988.664033</v>
      </c>
      <c r="AX176" s="4">
        <f t="shared" si="5"/>
        <v>0.008193748017</v>
      </c>
      <c r="AY176" s="4">
        <f t="shared" si="6"/>
        <v>-0.01114108784</v>
      </c>
      <c r="AZ176" s="4">
        <f t="shared" si="7"/>
        <v>0.0005500764263</v>
      </c>
    </row>
    <row r="177" ht="14.25" customHeight="1">
      <c r="A177" s="2" t="s">
        <v>321</v>
      </c>
      <c r="B177" s="3">
        <v>8320.4605</v>
      </c>
      <c r="C177" s="3">
        <v>8215.597</v>
      </c>
      <c r="D177" s="3">
        <v>8116.922</v>
      </c>
      <c r="E177" s="3">
        <v>8025.5915</v>
      </c>
      <c r="F177" s="3">
        <v>8018.995</v>
      </c>
      <c r="G177" s="3">
        <v>7976.2199</v>
      </c>
      <c r="H177" s="3">
        <v>8165.0014</v>
      </c>
      <c r="I177" s="3">
        <v>8087.1358</v>
      </c>
      <c r="J177" s="3">
        <v>8345.4862</v>
      </c>
      <c r="K177" s="3">
        <v>8397.986</v>
      </c>
      <c r="L177" s="3">
        <v>8292.3745</v>
      </c>
      <c r="M177" s="3">
        <v>8440.625</v>
      </c>
      <c r="N177" s="3">
        <v>8726.3134</v>
      </c>
      <c r="O177" s="3">
        <v>9158.0081</v>
      </c>
      <c r="P177" s="3">
        <v>9239.4779</v>
      </c>
      <c r="Q177" s="3">
        <v>8959.774</v>
      </c>
      <c r="R177" s="3">
        <v>9034.9873</v>
      </c>
      <c r="S177" s="3">
        <v>8481.0199</v>
      </c>
      <c r="T177" s="3">
        <v>8410.4309</v>
      </c>
      <c r="U177" s="3">
        <v>8424.3039</v>
      </c>
      <c r="V177" s="3">
        <v>8107.8093</v>
      </c>
      <c r="W177" s="3">
        <v>7918.5518</v>
      </c>
      <c r="X177" s="3">
        <v>7838.1021</v>
      </c>
      <c r="Y177" s="3">
        <v>7859.6596</v>
      </c>
      <c r="Z177" s="3">
        <v>7790.4987</v>
      </c>
      <c r="AA177" s="3">
        <v>7767.2411</v>
      </c>
      <c r="AB177" s="3">
        <v>7718.9576</v>
      </c>
      <c r="AC177" s="3">
        <v>7818.2447</v>
      </c>
      <c r="AD177" s="3">
        <v>7600.5612</v>
      </c>
      <c r="AE177" s="3">
        <v>7576.6915</v>
      </c>
      <c r="AF177" s="3">
        <v>7827.3573</v>
      </c>
      <c r="AG177" s="3">
        <v>7732.0826</v>
      </c>
      <c r="AH177" s="3">
        <v>7715.0814</v>
      </c>
      <c r="AI177" s="3">
        <v>7739.4271</v>
      </c>
      <c r="AJ177" s="3">
        <v>8138.9555</v>
      </c>
      <c r="AK177" s="3">
        <v>8294.6866</v>
      </c>
      <c r="AL177" s="3">
        <v>8386.4252</v>
      </c>
      <c r="AM177" s="3">
        <v>8453.5459</v>
      </c>
      <c r="AN177" s="3">
        <v>8314.544</v>
      </c>
      <c r="AO177" s="3">
        <v>8317.5363</v>
      </c>
      <c r="AP177" s="3">
        <v>7652.1089</v>
      </c>
      <c r="AQ177" s="3">
        <v>7387.706</v>
      </c>
      <c r="AR177" s="3">
        <v>7664.0777</v>
      </c>
      <c r="AS177" s="3">
        <v>7760.9166</v>
      </c>
      <c r="AT177" s="3">
        <v>8075.507</v>
      </c>
      <c r="AU177" s="3">
        <f t="shared" si="2"/>
        <v>8368.412947</v>
      </c>
      <c r="AV177" s="3">
        <f t="shared" si="3"/>
        <v>8024.789971</v>
      </c>
      <c r="AW177" s="3">
        <f t="shared" si="4"/>
        <v>7963.997207</v>
      </c>
      <c r="AX177" s="4">
        <f t="shared" si="5"/>
        <v>0.007511483416</v>
      </c>
      <c r="AY177" s="4">
        <f t="shared" si="6"/>
        <v>-0.01190488203</v>
      </c>
      <c r="AZ177" s="4">
        <f t="shared" si="7"/>
        <v>0.003108923377</v>
      </c>
    </row>
    <row r="178" ht="14.25" customHeight="1">
      <c r="A178" s="2" t="s">
        <v>322</v>
      </c>
      <c r="B178" s="3">
        <v>17622.7382</v>
      </c>
      <c r="C178" s="3">
        <v>17505.9479</v>
      </c>
      <c r="D178" s="3">
        <v>17165.9282</v>
      </c>
      <c r="E178" s="3">
        <v>17428.9878</v>
      </c>
      <c r="F178" s="3">
        <v>17372.5054</v>
      </c>
      <c r="G178" s="3">
        <v>17145.6756</v>
      </c>
      <c r="H178" s="3">
        <v>17143.6503</v>
      </c>
      <c r="I178" s="3">
        <v>17221.5105</v>
      </c>
      <c r="J178" s="3">
        <v>17512.9238</v>
      </c>
      <c r="K178" s="3">
        <v>17739.7536</v>
      </c>
      <c r="L178" s="3">
        <v>17014.4834</v>
      </c>
      <c r="M178" s="3">
        <v>15403.4969</v>
      </c>
      <c r="N178" s="3">
        <v>13521.7999</v>
      </c>
      <c r="O178" s="3">
        <v>11773.7705</v>
      </c>
      <c r="P178" s="3">
        <v>9570.5063</v>
      </c>
      <c r="Q178" s="3">
        <v>8581.0514</v>
      </c>
      <c r="R178" s="3">
        <v>8203.4518</v>
      </c>
      <c r="S178" s="3">
        <v>8194.0006</v>
      </c>
      <c r="T178" s="3">
        <v>8189.725</v>
      </c>
      <c r="U178" s="3">
        <v>8299.0894</v>
      </c>
      <c r="V178" s="3">
        <v>8785.6032</v>
      </c>
      <c r="W178" s="3">
        <v>9572.0815</v>
      </c>
      <c r="X178" s="3">
        <v>10113.2775</v>
      </c>
      <c r="Y178" s="3">
        <v>10933.5102</v>
      </c>
      <c r="Z178" s="3">
        <v>11983.948</v>
      </c>
      <c r="AA178" s="3">
        <v>12722.27</v>
      </c>
      <c r="AB178" s="3">
        <v>13923.0276</v>
      </c>
      <c r="AC178" s="3">
        <v>15155.9644</v>
      </c>
      <c r="AD178" s="3">
        <v>15759.2686</v>
      </c>
      <c r="AE178" s="3">
        <v>14770.9389</v>
      </c>
      <c r="AF178" s="3">
        <v>15371.3177</v>
      </c>
      <c r="AG178" s="3">
        <v>16200.1015</v>
      </c>
      <c r="AH178" s="3">
        <v>16401.2779</v>
      </c>
      <c r="AI178" s="3">
        <v>16724.1953</v>
      </c>
      <c r="AJ178" s="3">
        <v>16641.8345</v>
      </c>
      <c r="AK178" s="3">
        <v>16287.1879</v>
      </c>
      <c r="AL178" s="3">
        <v>16247.3577</v>
      </c>
      <c r="AM178" s="3">
        <v>16900.6184</v>
      </c>
      <c r="AN178" s="3">
        <v>17399.0588</v>
      </c>
      <c r="AO178" s="3">
        <v>17947.9059</v>
      </c>
      <c r="AP178" s="3">
        <v>17446.3151</v>
      </c>
      <c r="AQ178" s="3">
        <v>18342.1576</v>
      </c>
      <c r="AR178" s="3">
        <v>17724.9016</v>
      </c>
      <c r="AS178" s="3">
        <v>18820.7955</v>
      </c>
      <c r="AT178" s="3">
        <v>19906.563</v>
      </c>
      <c r="AU178" s="3">
        <f t="shared" si="2"/>
        <v>16076.24522</v>
      </c>
      <c r="AV178" s="3">
        <f t="shared" si="3"/>
        <v>11186.15405</v>
      </c>
      <c r="AW178" s="3">
        <f t="shared" si="4"/>
        <v>17224.10589</v>
      </c>
      <c r="AX178" s="4">
        <f t="shared" si="5"/>
        <v>-0.04267028932</v>
      </c>
      <c r="AY178" s="4">
        <f t="shared" si="6"/>
        <v>0.03955551222</v>
      </c>
      <c r="AZ178" s="4">
        <f t="shared" si="7"/>
        <v>0.01482539107</v>
      </c>
    </row>
    <row r="179" ht="14.25" customHeight="1">
      <c r="A179" s="2" t="s">
        <v>323</v>
      </c>
      <c r="B179" s="3">
        <v>18721.7325</v>
      </c>
      <c r="C179" s="3">
        <v>18608.8445</v>
      </c>
      <c r="D179" s="3">
        <v>18250.255</v>
      </c>
      <c r="E179" s="3">
        <v>18542.7438</v>
      </c>
      <c r="F179" s="3">
        <v>18487.3198</v>
      </c>
      <c r="G179" s="3">
        <v>18248.0788</v>
      </c>
      <c r="H179" s="3">
        <v>18262.1558</v>
      </c>
      <c r="I179" s="3">
        <v>18355.3224</v>
      </c>
      <c r="J179" s="3">
        <v>18683.4458</v>
      </c>
      <c r="K179" s="3">
        <v>18947.8486</v>
      </c>
      <c r="L179" s="3">
        <v>18078.2707</v>
      </c>
      <c r="M179" s="3">
        <v>16443.0943</v>
      </c>
      <c r="N179" s="3">
        <v>14430.1511</v>
      </c>
      <c r="O179" s="3">
        <v>12532.748</v>
      </c>
      <c r="P179" s="3">
        <v>10143.602</v>
      </c>
      <c r="Q179" s="3">
        <v>9103.1959</v>
      </c>
      <c r="R179" s="3">
        <v>8633.9625</v>
      </c>
      <c r="S179" s="3">
        <v>8649.1956</v>
      </c>
      <c r="T179" s="3">
        <v>8676.3295</v>
      </c>
      <c r="U179" s="3">
        <v>8809.279</v>
      </c>
      <c r="V179" s="3">
        <v>9324.8237</v>
      </c>
      <c r="W179" s="3">
        <v>10082.5336</v>
      </c>
      <c r="X179" s="3">
        <v>10621.404</v>
      </c>
      <c r="Y179" s="3">
        <v>11455.2113</v>
      </c>
      <c r="Z179" s="3">
        <v>12531.728</v>
      </c>
      <c r="AA179" s="3">
        <v>13262.2359</v>
      </c>
      <c r="AB179" s="3">
        <v>14442.1199</v>
      </c>
      <c r="AC179" s="3">
        <v>15677.8359</v>
      </c>
      <c r="AD179" s="3">
        <v>16266.6218</v>
      </c>
      <c r="AE179" s="3">
        <v>15216.491</v>
      </c>
      <c r="AF179" s="3">
        <v>15712.9944</v>
      </c>
      <c r="AG179" s="3">
        <v>16490.9017</v>
      </c>
      <c r="AH179" s="3">
        <v>16750.4762</v>
      </c>
      <c r="AI179" s="3">
        <v>17073.7712</v>
      </c>
      <c r="AJ179" s="3">
        <v>16928.7169</v>
      </c>
      <c r="AK179" s="3">
        <v>16387.3304</v>
      </c>
      <c r="AL179" s="3">
        <v>16461.0476</v>
      </c>
      <c r="AM179" s="3">
        <v>17070.779</v>
      </c>
      <c r="AN179" s="3">
        <v>17600.6047</v>
      </c>
      <c r="AO179" s="3">
        <v>18167.9691</v>
      </c>
      <c r="AP179" s="3">
        <v>17676.5661</v>
      </c>
      <c r="AQ179" s="3">
        <v>18600.5479</v>
      </c>
      <c r="AR179" s="3">
        <v>17773.8811</v>
      </c>
      <c r="AS179" s="3">
        <v>18842.9852</v>
      </c>
      <c r="AT179" s="3">
        <v>19922.222</v>
      </c>
      <c r="AU179" s="3">
        <f t="shared" si="2"/>
        <v>17115.70754</v>
      </c>
      <c r="AV179" s="3">
        <f t="shared" si="3"/>
        <v>11689.26941</v>
      </c>
      <c r="AW179" s="3">
        <f t="shared" si="4"/>
        <v>17430.71957</v>
      </c>
      <c r="AX179" s="4">
        <f t="shared" si="5"/>
        <v>-0.04283014665</v>
      </c>
      <c r="AY179" s="4">
        <f t="shared" si="6"/>
        <v>0.03737836771</v>
      </c>
      <c r="AZ179" s="4">
        <f t="shared" si="7"/>
        <v>0.01359348946</v>
      </c>
    </row>
    <row r="180" ht="14.25" customHeight="1">
      <c r="A180" s="2" t="s">
        <v>324</v>
      </c>
      <c r="B180" s="3">
        <v>7212.6078</v>
      </c>
      <c r="C180" s="3">
        <v>7506.1462</v>
      </c>
      <c r="D180" s="3">
        <v>7850.455</v>
      </c>
      <c r="E180" s="3">
        <v>8208.3502</v>
      </c>
      <c r="F180" s="3">
        <v>8606.826</v>
      </c>
      <c r="G180" s="3">
        <v>8447.3642</v>
      </c>
      <c r="H180" s="3">
        <v>8317.2205</v>
      </c>
      <c r="I180" s="3">
        <v>8607.3623</v>
      </c>
      <c r="J180" s="3">
        <v>9012.095</v>
      </c>
      <c r="K180" s="3">
        <v>9398.4144</v>
      </c>
      <c r="L180" s="3">
        <v>9839.9735</v>
      </c>
      <c r="M180" s="3">
        <v>10230.5834</v>
      </c>
      <c r="N180" s="3">
        <v>10525.1944</v>
      </c>
      <c r="O180" s="3">
        <v>10947.804</v>
      </c>
      <c r="P180" s="3">
        <v>11408.4913</v>
      </c>
      <c r="Q180" s="3">
        <v>11956.0603</v>
      </c>
      <c r="R180" s="3">
        <v>12480.3893</v>
      </c>
      <c r="S180" s="3">
        <v>12912.2948</v>
      </c>
      <c r="T180" s="3">
        <v>12095.8575</v>
      </c>
      <c r="U180" s="3">
        <v>12480.2105</v>
      </c>
      <c r="V180" s="3">
        <v>13230.8609</v>
      </c>
      <c r="W180" s="3">
        <v>12965.5679</v>
      </c>
      <c r="X180" s="3">
        <v>13249.8104</v>
      </c>
      <c r="Y180" s="3">
        <v>13616.8228</v>
      </c>
      <c r="Z180" s="3">
        <v>14318.6693</v>
      </c>
      <c r="AA180" s="3">
        <v>14864.9869</v>
      </c>
      <c r="AB180" s="3">
        <v>15522.8562</v>
      </c>
      <c r="AC180" s="3">
        <v>16350.7348</v>
      </c>
      <c r="AD180" s="3">
        <v>16557.3915</v>
      </c>
      <c r="AE180" s="3">
        <v>16044.325</v>
      </c>
      <c r="AF180" s="3">
        <v>17418.8786</v>
      </c>
      <c r="AG180" s="3">
        <v>18055.1169</v>
      </c>
      <c r="AH180" s="3">
        <v>18539.7592</v>
      </c>
      <c r="AI180" s="3">
        <v>18973.6312</v>
      </c>
      <c r="AJ180" s="3">
        <v>19429.313</v>
      </c>
      <c r="AK180" s="3">
        <v>19503.5021</v>
      </c>
      <c r="AL180" s="3">
        <v>19785.7781</v>
      </c>
      <c r="AM180" s="3">
        <v>20352.8329</v>
      </c>
      <c r="AN180" s="3">
        <v>20723.5994</v>
      </c>
      <c r="AO180" s="3">
        <v>20765.2526</v>
      </c>
      <c r="AP180" s="3">
        <v>19408.3971</v>
      </c>
      <c r="AQ180" s="3">
        <v>19825.4648</v>
      </c>
      <c r="AR180" s="3">
        <v>19643.8356</v>
      </c>
      <c r="AS180" s="3">
        <v>20470.6415</v>
      </c>
      <c r="AT180" s="3">
        <v>21082.031</v>
      </c>
      <c r="AU180" s="3">
        <f t="shared" si="2"/>
        <v>9074.592547</v>
      </c>
      <c r="AV180" s="3">
        <f t="shared" si="3"/>
        <v>14049.34127</v>
      </c>
      <c r="AW180" s="3">
        <f t="shared" si="4"/>
        <v>19598.5356</v>
      </c>
      <c r="AX180" s="4">
        <f t="shared" si="5"/>
        <v>0.03329420259</v>
      </c>
      <c r="AY180" s="4">
        <f t="shared" si="6"/>
        <v>0.02123058009</v>
      </c>
      <c r="AZ180" s="4">
        <f t="shared" si="7"/>
        <v>0.0111323613</v>
      </c>
    </row>
    <row r="181" ht="14.25" customHeight="1">
      <c r="A181" s="2" t="s">
        <v>325</v>
      </c>
      <c r="B181" s="3">
        <v>8087.6116</v>
      </c>
      <c r="C181" s="3">
        <v>8365.7514</v>
      </c>
      <c r="D181" s="3">
        <v>8683.198</v>
      </c>
      <c r="E181" s="3">
        <v>8979.6991</v>
      </c>
      <c r="F181" s="3">
        <v>9329.72</v>
      </c>
      <c r="G181" s="3">
        <v>9175.825</v>
      </c>
      <c r="H181" s="3">
        <v>9085.7186</v>
      </c>
      <c r="I181" s="3">
        <v>9253.0785</v>
      </c>
      <c r="J181" s="3">
        <v>9547.4035</v>
      </c>
      <c r="K181" s="3">
        <v>9835.0639</v>
      </c>
      <c r="L181" s="3">
        <v>10247.9213</v>
      </c>
      <c r="M181" s="3">
        <v>10578.4929</v>
      </c>
      <c r="N181" s="3">
        <v>10831.4029</v>
      </c>
      <c r="O181" s="3">
        <v>11109.0666</v>
      </c>
      <c r="P181" s="3">
        <v>11452.9671</v>
      </c>
      <c r="Q181" s="3">
        <v>12085.6161</v>
      </c>
      <c r="R181" s="3">
        <v>12587.0158</v>
      </c>
      <c r="S181" s="3">
        <v>12998.0371</v>
      </c>
      <c r="T181" s="3">
        <v>12236.3148</v>
      </c>
      <c r="U181" s="3">
        <v>12547.641</v>
      </c>
      <c r="V181" s="3">
        <v>13220.7529</v>
      </c>
      <c r="W181" s="3">
        <v>12947.3054</v>
      </c>
      <c r="X181" s="3">
        <v>13304.8069</v>
      </c>
      <c r="Y181" s="3">
        <v>13696.9228</v>
      </c>
      <c r="Z181" s="3">
        <v>14295.4334</v>
      </c>
      <c r="AA181" s="3">
        <v>14771.6033</v>
      </c>
      <c r="AB181" s="3">
        <v>15368.2097</v>
      </c>
      <c r="AC181" s="3">
        <v>16196.5767</v>
      </c>
      <c r="AD181" s="3">
        <v>16415.0082</v>
      </c>
      <c r="AE181" s="3">
        <v>16116.875</v>
      </c>
      <c r="AF181" s="3">
        <v>17187.0672</v>
      </c>
      <c r="AG181" s="3">
        <v>17791.4262</v>
      </c>
      <c r="AH181" s="3">
        <v>18344.9856</v>
      </c>
      <c r="AI181" s="3">
        <v>18754.0347</v>
      </c>
      <c r="AJ181" s="3">
        <v>19243.0575</v>
      </c>
      <c r="AK181" s="3">
        <v>19510.3165</v>
      </c>
      <c r="AL181" s="3">
        <v>19885.4312</v>
      </c>
      <c r="AM181" s="3">
        <v>20547.5263</v>
      </c>
      <c r="AN181" s="3">
        <v>20958.1396</v>
      </c>
      <c r="AO181" s="3">
        <v>21111.2185</v>
      </c>
      <c r="AP181" s="3">
        <v>19725.6198</v>
      </c>
      <c r="AQ181" s="3">
        <v>19950.1038</v>
      </c>
      <c r="AR181" s="3">
        <v>19811.578</v>
      </c>
      <c r="AS181" s="3">
        <v>20721.7547</v>
      </c>
      <c r="AT181" s="3">
        <v>21432.8813</v>
      </c>
      <c r="AU181" s="3">
        <f t="shared" si="2"/>
        <v>9637.528027</v>
      </c>
      <c r="AV181" s="3">
        <f t="shared" si="3"/>
        <v>14050.17879</v>
      </c>
      <c r="AW181" s="3">
        <f t="shared" si="4"/>
        <v>19665.00939</v>
      </c>
      <c r="AX181" s="4">
        <f t="shared" si="5"/>
        <v>0.02516246049</v>
      </c>
      <c r="AY181" s="4">
        <f t="shared" si="6"/>
        <v>0.02077360506</v>
      </c>
      <c r="AZ181" s="4">
        <f t="shared" si="7"/>
        <v>0.01338953223</v>
      </c>
    </row>
    <row r="182" ht="14.25" customHeight="1">
      <c r="A182" s="2" t="s">
        <v>326</v>
      </c>
      <c r="B182" s="3">
        <v>4136.0123</v>
      </c>
      <c r="C182" s="3">
        <v>4099.5222</v>
      </c>
      <c r="D182" s="3">
        <v>4081.2772</v>
      </c>
      <c r="E182" s="3">
        <v>4033.5594</v>
      </c>
      <c r="F182" s="3">
        <v>4077.8688</v>
      </c>
      <c r="G182" s="3">
        <v>4097.5173</v>
      </c>
      <c r="H182" s="3">
        <v>4025.5396</v>
      </c>
      <c r="I182" s="3">
        <v>4018.9232</v>
      </c>
      <c r="J182" s="3">
        <v>4062.0297</v>
      </c>
      <c r="K182" s="3">
        <v>4128.193</v>
      </c>
      <c r="L182" s="3">
        <v>4120.1732</v>
      </c>
      <c r="M182" s="3">
        <v>4138.2178</v>
      </c>
      <c r="N182" s="3">
        <v>4028.7475</v>
      </c>
      <c r="O182" s="3">
        <v>3906.4455</v>
      </c>
      <c r="P182" s="3">
        <v>3853.9158</v>
      </c>
      <c r="Q182" s="3">
        <v>3867.75</v>
      </c>
      <c r="R182" s="3">
        <v>3997.0693</v>
      </c>
      <c r="S182" s="3">
        <v>4141.2252</v>
      </c>
      <c r="T182" s="3">
        <v>4231.6485</v>
      </c>
      <c r="U182" s="3">
        <v>4234.8564</v>
      </c>
      <c r="V182" s="3">
        <v>4295.4059</v>
      </c>
      <c r="W182" s="3">
        <v>4363.5742</v>
      </c>
      <c r="X182" s="3">
        <v>4453.797</v>
      </c>
      <c r="Y182" s="3">
        <v>4509.1336</v>
      </c>
      <c r="Z182" s="3">
        <v>4653.6905</v>
      </c>
      <c r="AA182" s="3">
        <v>4812.8836</v>
      </c>
      <c r="AB182" s="3">
        <v>4981.9009</v>
      </c>
      <c r="AC182" s="3">
        <v>5178.1856</v>
      </c>
      <c r="AD182" s="3">
        <v>5445.245</v>
      </c>
      <c r="AE182" s="3">
        <v>5497.9752</v>
      </c>
      <c r="AF182" s="3">
        <v>5683.4331</v>
      </c>
      <c r="AG182" s="3">
        <v>5837.8143</v>
      </c>
      <c r="AH182" s="3">
        <v>5917.6113</v>
      </c>
      <c r="AI182" s="3">
        <v>6010.8415</v>
      </c>
      <c r="AJ182" s="3">
        <v>6168.0296</v>
      </c>
      <c r="AK182" s="3">
        <v>6143.1682</v>
      </c>
      <c r="AL182" s="3">
        <v>6052.344</v>
      </c>
      <c r="AM182" s="3">
        <v>6113.896</v>
      </c>
      <c r="AN182" s="3">
        <v>6130.938</v>
      </c>
      <c r="AO182" s="3">
        <v>6128.5321</v>
      </c>
      <c r="AP182" s="3">
        <v>5791.4999</v>
      </c>
      <c r="AQ182" s="3">
        <v>5878.1138</v>
      </c>
      <c r="AR182" s="3">
        <v>5915.4059</v>
      </c>
      <c r="AS182" s="3">
        <v>5945.8811</v>
      </c>
      <c r="AT182" s="3">
        <v>5990.792</v>
      </c>
      <c r="AU182" s="3">
        <f t="shared" si="2"/>
        <v>4053.862833</v>
      </c>
      <c r="AV182" s="3">
        <f t="shared" si="3"/>
        <v>4628.327921</v>
      </c>
      <c r="AW182" s="3">
        <f t="shared" si="4"/>
        <v>5980.553387</v>
      </c>
      <c r="AX182" s="4">
        <f t="shared" si="5"/>
        <v>-0.00503317582</v>
      </c>
      <c r="AY182" s="4">
        <f t="shared" si="6"/>
        <v>0.02544013869</v>
      </c>
      <c r="AZ182" s="4">
        <f t="shared" si="7"/>
        <v>0.001849362298</v>
      </c>
    </row>
    <row r="183" ht="14.25" customHeight="1">
      <c r="A183" s="2" t="s">
        <v>327</v>
      </c>
      <c r="B183" s="3">
        <v>4105.3162</v>
      </c>
      <c r="C183" s="3">
        <v>4030.6469</v>
      </c>
      <c r="D183" s="3">
        <v>4014.9378</v>
      </c>
      <c r="E183" s="3">
        <v>3981.2074</v>
      </c>
      <c r="F183" s="3">
        <v>4044.3839</v>
      </c>
      <c r="G183" s="3">
        <v>4053.2925</v>
      </c>
      <c r="H183" s="3">
        <v>4023.3024</v>
      </c>
      <c r="I183" s="3">
        <v>4001.8809</v>
      </c>
      <c r="J183" s="3">
        <v>4052.6805</v>
      </c>
      <c r="K183" s="3">
        <v>4085.3228</v>
      </c>
      <c r="L183" s="3">
        <v>4056.4888</v>
      </c>
      <c r="M183" s="3">
        <v>4059.685</v>
      </c>
      <c r="N183" s="3">
        <v>3964.2742</v>
      </c>
      <c r="O183" s="3">
        <v>3820.0359</v>
      </c>
      <c r="P183" s="3">
        <v>3771.0045</v>
      </c>
      <c r="Q183" s="3">
        <v>3847.0339</v>
      </c>
      <c r="R183" s="3">
        <v>3974.747</v>
      </c>
      <c r="S183" s="3">
        <v>4079.9504</v>
      </c>
      <c r="T183" s="3">
        <v>4165.4325</v>
      </c>
      <c r="U183" s="3">
        <v>4209.4997</v>
      </c>
      <c r="V183" s="3">
        <v>4247.6504</v>
      </c>
      <c r="W183" s="3">
        <v>4323.2718</v>
      </c>
      <c r="X183" s="3">
        <v>4429.9714</v>
      </c>
      <c r="Y183" s="3">
        <v>4512.1212</v>
      </c>
      <c r="Z183" s="3">
        <v>4677.101</v>
      </c>
      <c r="AA183" s="3">
        <v>4849.5612</v>
      </c>
      <c r="AB183" s="3">
        <v>5003.7282</v>
      </c>
      <c r="AC183" s="3">
        <v>5218.1475</v>
      </c>
      <c r="AD183" s="3">
        <v>5452.9002</v>
      </c>
      <c r="AE183" s="3">
        <v>5455.2123</v>
      </c>
      <c r="AF183" s="3">
        <v>5611.3515</v>
      </c>
      <c r="AG183" s="3">
        <v>5744.981</v>
      </c>
      <c r="AH183" s="3">
        <v>5841.7519</v>
      </c>
      <c r="AI183" s="3">
        <v>5946.8873</v>
      </c>
      <c r="AJ183" s="3">
        <v>6095.3419</v>
      </c>
      <c r="AK183" s="3">
        <v>6083.169</v>
      </c>
      <c r="AL183" s="3">
        <v>6038.7619</v>
      </c>
      <c r="AM183" s="3">
        <v>6080.4489</v>
      </c>
      <c r="AN183" s="3">
        <v>6107.5148</v>
      </c>
      <c r="AO183" s="3">
        <v>6147.7736</v>
      </c>
      <c r="AP183" s="3">
        <v>5854.6728</v>
      </c>
      <c r="AQ183" s="3">
        <v>5912.6809</v>
      </c>
      <c r="AR183" s="3">
        <v>5926.4859</v>
      </c>
      <c r="AS183" s="3">
        <v>5970.8251</v>
      </c>
      <c r="AT183" s="3">
        <v>6017.1363</v>
      </c>
      <c r="AU183" s="3">
        <f t="shared" si="2"/>
        <v>4004.297313</v>
      </c>
      <c r="AV183" s="3">
        <f t="shared" si="3"/>
        <v>4614.235343</v>
      </c>
      <c r="AW183" s="3">
        <f t="shared" si="4"/>
        <v>5958.652187</v>
      </c>
      <c r="AX183" s="4">
        <f t="shared" si="5"/>
        <v>-0.006048871208</v>
      </c>
      <c r="AY183" s="4">
        <f t="shared" si="6"/>
        <v>0.02526159323</v>
      </c>
      <c r="AZ183" s="4">
        <f t="shared" si="7"/>
        <v>0.003311531359</v>
      </c>
    </row>
    <row r="184" ht="14.25" customHeight="1">
      <c r="A184" s="2" t="s">
        <v>328</v>
      </c>
      <c r="B184" s="3">
        <v>35112.5799</v>
      </c>
      <c r="C184" s="3">
        <v>35021.5074</v>
      </c>
      <c r="D184" s="3">
        <v>34866.5155</v>
      </c>
      <c r="E184" s="3">
        <v>34809.5108</v>
      </c>
      <c r="F184" s="3">
        <v>35185.1849</v>
      </c>
      <c r="G184" s="3">
        <v>35828.6796</v>
      </c>
      <c r="H184" s="3">
        <v>36277.1273</v>
      </c>
      <c r="I184" s="3">
        <v>36738.3926</v>
      </c>
      <c r="J184" s="3">
        <v>38039.8861</v>
      </c>
      <c r="K184" s="3">
        <v>39410.6115</v>
      </c>
      <c r="L184" s="3">
        <v>40352.6216</v>
      </c>
      <c r="M184" s="3">
        <v>40407.9397</v>
      </c>
      <c r="N184" s="3">
        <v>40297.4721</v>
      </c>
      <c r="O184" s="3">
        <v>39723.2937</v>
      </c>
      <c r="P184" s="3">
        <v>40310.2054</v>
      </c>
      <c r="Q184" s="3">
        <v>41067.2877</v>
      </c>
      <c r="R184" s="3">
        <v>41672.0765</v>
      </c>
      <c r="S184" s="3">
        <v>43047.1869</v>
      </c>
      <c r="T184" s="3">
        <v>44382.7482</v>
      </c>
      <c r="U184" s="3">
        <v>45728.766</v>
      </c>
      <c r="V184" s="3">
        <v>47345.8931</v>
      </c>
      <c r="W184" s="3">
        <v>47905.483</v>
      </c>
      <c r="X184" s="3">
        <v>48320.6218</v>
      </c>
      <c r="Y184" s="3">
        <v>48562.0483</v>
      </c>
      <c r="Z184" s="3">
        <v>49830.4858</v>
      </c>
      <c r="AA184" s="3">
        <v>50676.6168</v>
      </c>
      <c r="AB184" s="3">
        <v>52202.9244</v>
      </c>
      <c r="AC184" s="3">
        <v>53769.6243</v>
      </c>
      <c r="AD184" s="3">
        <v>53438.8962</v>
      </c>
      <c r="AE184" s="3">
        <v>51235.4477</v>
      </c>
      <c r="AF184" s="3">
        <v>51753.7177</v>
      </c>
      <c r="AG184" s="3">
        <v>51662.1393</v>
      </c>
      <c r="AH184" s="3">
        <v>51123.4623</v>
      </c>
      <c r="AI184" s="3">
        <v>51125.0645</v>
      </c>
      <c r="AJ184" s="3">
        <v>51901.5419</v>
      </c>
      <c r="AK184" s="3">
        <v>53562.9403</v>
      </c>
      <c r="AL184" s="3">
        <v>54336.7193</v>
      </c>
      <c r="AM184" s="3">
        <v>55556.6691</v>
      </c>
      <c r="AN184" s="3">
        <v>56930.5989</v>
      </c>
      <c r="AO184" s="3">
        <v>57875.8134</v>
      </c>
      <c r="AP184" s="3">
        <v>55542.2493</v>
      </c>
      <c r="AQ184" s="3">
        <v>59063.2132</v>
      </c>
      <c r="AR184" s="3">
        <v>61320.462</v>
      </c>
      <c r="AS184" s="3">
        <v>61546.794</v>
      </c>
      <c r="AT184" s="3">
        <v>62111.2748</v>
      </c>
      <c r="AU184" s="3">
        <f t="shared" si="2"/>
        <v>37492.10187</v>
      </c>
      <c r="AV184" s="3">
        <f t="shared" si="3"/>
        <v>48437.0585</v>
      </c>
      <c r="AW184" s="3">
        <f t="shared" si="4"/>
        <v>55694.17733</v>
      </c>
      <c r="AX184" s="4">
        <f t="shared" si="5"/>
        <v>0.009909145404</v>
      </c>
      <c r="AY184" s="4">
        <f t="shared" si="6"/>
        <v>0.01592691285</v>
      </c>
      <c r="AZ184" s="4">
        <f t="shared" si="7"/>
        <v>0.01324424779</v>
      </c>
    </row>
    <row r="185" ht="14.25" customHeight="1">
      <c r="A185" s="2" t="s">
        <v>329</v>
      </c>
      <c r="B185" s="3">
        <v>35473.2969</v>
      </c>
      <c r="C185" s="3">
        <v>35286.4196</v>
      </c>
      <c r="D185" s="3">
        <v>35156.6663</v>
      </c>
      <c r="E185" s="3">
        <v>35089.2735</v>
      </c>
      <c r="F185" s="3">
        <v>35368.9095</v>
      </c>
      <c r="G185" s="3">
        <v>35987.6855</v>
      </c>
      <c r="H185" s="3">
        <v>36401.2909</v>
      </c>
      <c r="I185" s="3">
        <v>36845.4305</v>
      </c>
      <c r="J185" s="3">
        <v>38202.9432</v>
      </c>
      <c r="K185" s="3">
        <v>39571.4046</v>
      </c>
      <c r="L185" s="3">
        <v>40445.1988</v>
      </c>
      <c r="M185" s="3">
        <v>40609.9745</v>
      </c>
      <c r="N185" s="3">
        <v>40530.8849</v>
      </c>
      <c r="O185" s="3">
        <v>40005.8195</v>
      </c>
      <c r="P185" s="3">
        <v>40661.5222</v>
      </c>
      <c r="Q185" s="3">
        <v>41483.9727</v>
      </c>
      <c r="R185" s="3">
        <v>42146.6799</v>
      </c>
      <c r="S185" s="3">
        <v>43566.2129</v>
      </c>
      <c r="T185" s="3">
        <v>44944.535</v>
      </c>
      <c r="U185" s="3">
        <v>46323.6732</v>
      </c>
      <c r="V185" s="3">
        <v>47965.378</v>
      </c>
      <c r="W185" s="3">
        <v>48565.9288</v>
      </c>
      <c r="X185" s="3">
        <v>49038.4264</v>
      </c>
      <c r="Y185" s="3">
        <v>49356.9611</v>
      </c>
      <c r="Z185" s="3">
        <v>50713.7937</v>
      </c>
      <c r="AA185" s="3">
        <v>51468.3754</v>
      </c>
      <c r="AB185" s="3">
        <v>52945.9165</v>
      </c>
      <c r="AC185" s="3">
        <v>54579.3248</v>
      </c>
      <c r="AD185" s="3">
        <v>54402.1042</v>
      </c>
      <c r="AE185" s="3">
        <v>51999.0171</v>
      </c>
      <c r="AF185" s="3">
        <v>52263.488</v>
      </c>
      <c r="AG185" s="3">
        <v>51881.7768</v>
      </c>
      <c r="AH185" s="3">
        <v>51138.1439</v>
      </c>
      <c r="AI185" s="3">
        <v>51032.6003</v>
      </c>
      <c r="AJ185" s="3">
        <v>51812.1398</v>
      </c>
      <c r="AK185" s="3">
        <v>53329.6678</v>
      </c>
      <c r="AL185" s="3">
        <v>54029.3696</v>
      </c>
      <c r="AM185" s="3">
        <v>55272.6341</v>
      </c>
      <c r="AN185" s="3">
        <v>56648.7801</v>
      </c>
      <c r="AO185" s="3">
        <v>57587.3829</v>
      </c>
      <c r="AP185" s="3">
        <v>55110.2386</v>
      </c>
      <c r="AQ185" s="3">
        <v>58754.0739</v>
      </c>
      <c r="AR185" s="3">
        <v>61070.1828</v>
      </c>
      <c r="AS185" s="3">
        <v>61387.7654</v>
      </c>
      <c r="AT185" s="3">
        <v>61957.85</v>
      </c>
      <c r="AU185" s="3">
        <f t="shared" si="2"/>
        <v>37709.11469</v>
      </c>
      <c r="AV185" s="3">
        <f t="shared" si="3"/>
        <v>49144.02336</v>
      </c>
      <c r="AW185" s="3">
        <f t="shared" si="4"/>
        <v>55551.7396</v>
      </c>
      <c r="AX185" s="4">
        <f t="shared" si="5"/>
        <v>0.009797832622</v>
      </c>
      <c r="AY185" s="4">
        <f t="shared" si="6"/>
        <v>0.01626788017</v>
      </c>
      <c r="AZ185" s="4">
        <f t="shared" si="7"/>
        <v>0.01275832373</v>
      </c>
    </row>
    <row r="186" ht="14.25" customHeight="1">
      <c r="A186" s="2" t="s">
        <v>330</v>
      </c>
      <c r="B186" s="3">
        <v>4125.7558</v>
      </c>
      <c r="C186" s="3">
        <v>4193.9984</v>
      </c>
      <c r="D186" s="3">
        <v>4293.404</v>
      </c>
      <c r="E186" s="3">
        <v>4391.137</v>
      </c>
      <c r="F186" s="3">
        <v>4534.5042</v>
      </c>
      <c r="G186" s="3">
        <v>4687.3784</v>
      </c>
      <c r="H186" s="3">
        <v>4808.8122</v>
      </c>
      <c r="I186" s="3">
        <v>4985.9815</v>
      </c>
      <c r="J186" s="3">
        <v>5127.0678</v>
      </c>
      <c r="K186" s="3">
        <v>5206.1329</v>
      </c>
      <c r="L186" s="3">
        <v>5287.5535</v>
      </c>
      <c r="M186" s="3">
        <v>5452.6665</v>
      </c>
      <c r="N186" s="3">
        <v>5558.3832</v>
      </c>
      <c r="O186" s="3">
        <v>5581.1085</v>
      </c>
      <c r="P186" s="3">
        <v>5672.2863</v>
      </c>
      <c r="Q186" s="3">
        <v>5782.6686</v>
      </c>
      <c r="R186" s="3">
        <v>5772.8842</v>
      </c>
      <c r="S186" s="3">
        <v>5707.0325</v>
      </c>
      <c r="T186" s="3">
        <v>5714.3423</v>
      </c>
      <c r="U186" s="3">
        <v>5766.8516</v>
      </c>
      <c r="V186" s="3">
        <v>5757.4727</v>
      </c>
      <c r="W186" s="3">
        <v>5711.6125</v>
      </c>
      <c r="X186" s="3">
        <v>5771.4487</v>
      </c>
      <c r="Y186" s="3">
        <v>5953.7498</v>
      </c>
      <c r="Z186" s="3">
        <v>6196.5539</v>
      </c>
      <c r="AA186" s="3">
        <v>6413.6233</v>
      </c>
      <c r="AB186" s="3">
        <v>6588.7881</v>
      </c>
      <c r="AC186" s="3">
        <v>6638.8248</v>
      </c>
      <c r="AD186" s="3">
        <v>6634.1258</v>
      </c>
      <c r="AE186" s="3">
        <v>6628.081</v>
      </c>
      <c r="AF186" s="3">
        <v>6644.0797</v>
      </c>
      <c r="AG186" s="3">
        <v>6731.8951</v>
      </c>
      <c r="AH186" s="3">
        <v>6917.3557</v>
      </c>
      <c r="AI186" s="3">
        <v>7175.4573</v>
      </c>
      <c r="AJ186" s="3">
        <v>7463.9834</v>
      </c>
      <c r="AK186" s="3">
        <v>7805.5727</v>
      </c>
      <c r="AL186" s="3">
        <v>8115.5974</v>
      </c>
      <c r="AM186" s="3">
        <v>8399.3166</v>
      </c>
      <c r="AN186" s="3">
        <v>8578.0213</v>
      </c>
      <c r="AO186" s="3">
        <v>8431.0667</v>
      </c>
      <c r="AP186" s="3">
        <v>8455.8076</v>
      </c>
      <c r="AQ186" s="3">
        <v>8767.7269</v>
      </c>
      <c r="AR186" s="3">
        <v>8969.62</v>
      </c>
      <c r="AS186" s="3">
        <v>8787.0445</v>
      </c>
      <c r="AT186" s="3">
        <v>8829.5354</v>
      </c>
      <c r="AU186" s="3">
        <f t="shared" si="2"/>
        <v>4927.078013</v>
      </c>
      <c r="AV186" s="3">
        <f t="shared" si="3"/>
        <v>6089.6708</v>
      </c>
      <c r="AW186" s="3">
        <f t="shared" si="4"/>
        <v>8004.805353</v>
      </c>
      <c r="AX186" s="4">
        <f t="shared" si="5"/>
        <v>0.0229992853</v>
      </c>
      <c r="AY186" s="4">
        <f t="shared" si="6"/>
        <v>0.009794083205</v>
      </c>
      <c r="AZ186" s="4">
        <f t="shared" si="7"/>
        <v>0.01956360049</v>
      </c>
    </row>
    <row r="187" ht="14.25" customHeight="1">
      <c r="A187" s="2" t="s">
        <v>331</v>
      </c>
      <c r="B187" s="3">
        <v>22510.6404</v>
      </c>
      <c r="C187" s="3">
        <v>21655.3334</v>
      </c>
      <c r="D187" s="3">
        <v>20581.3933</v>
      </c>
      <c r="E187" s="3">
        <v>20076.9127</v>
      </c>
      <c r="F187" s="3">
        <v>20055.6753</v>
      </c>
      <c r="G187" s="3">
        <v>20201.9523</v>
      </c>
      <c r="H187" s="3">
        <v>20299.6442</v>
      </c>
      <c r="I187" s="3">
        <v>20345.0251</v>
      </c>
      <c r="J187" s="3">
        <v>20457.7695</v>
      </c>
      <c r="K187" s="3">
        <v>20662.6169</v>
      </c>
      <c r="L187" s="3">
        <v>20889.0743</v>
      </c>
      <c r="M187" s="3">
        <v>20925.5132</v>
      </c>
      <c r="N187" s="3">
        <v>19822.4369</v>
      </c>
      <c r="O187" s="3">
        <v>17607.9383</v>
      </c>
      <c r="P187" s="3">
        <v>18675.47</v>
      </c>
      <c r="Q187" s="3">
        <v>20739.444</v>
      </c>
      <c r="R187" s="3">
        <v>21721.4301</v>
      </c>
      <c r="S187" s="3">
        <v>21652.8744</v>
      </c>
      <c r="T187" s="3">
        <v>20993.6963</v>
      </c>
      <c r="U187" s="3">
        <v>19335.4678</v>
      </c>
      <c r="V187" s="3">
        <v>18000.7924</v>
      </c>
      <c r="W187" s="3">
        <v>18285.5966</v>
      </c>
      <c r="X187" s="3">
        <v>18807.5888</v>
      </c>
      <c r="Y187" s="3">
        <v>18732.3265</v>
      </c>
      <c r="Z187" s="3">
        <v>18827.0377</v>
      </c>
      <c r="AA187" s="3">
        <v>19091.8714</v>
      </c>
      <c r="AB187" s="3">
        <v>19201.4115</v>
      </c>
      <c r="AC187" s="3">
        <v>19226.1512</v>
      </c>
      <c r="AD187" s="3">
        <v>18341.4845</v>
      </c>
      <c r="AE187" s="3">
        <v>17687.0755</v>
      </c>
      <c r="AF187" s="3">
        <v>18152.062</v>
      </c>
      <c r="AG187" s="3">
        <v>19089.6359</v>
      </c>
      <c r="AH187" s="3">
        <v>19473.846</v>
      </c>
      <c r="AI187" s="3">
        <v>19502.4605</v>
      </c>
      <c r="AJ187" s="3">
        <v>20386.3076</v>
      </c>
      <c r="AK187" s="3">
        <v>21513.0058</v>
      </c>
      <c r="AL187" s="3">
        <v>21241.9872</v>
      </c>
      <c r="AM187" s="3">
        <v>20522.4503</v>
      </c>
      <c r="AN187" s="3">
        <v>20447.1135</v>
      </c>
      <c r="AO187" s="3">
        <v>20156.4969</v>
      </c>
      <c r="AP187" s="3">
        <v>18515.1838</v>
      </c>
      <c r="AQ187" s="3">
        <v>16514.7728</v>
      </c>
      <c r="AR187" s="3">
        <v>16375.2023</v>
      </c>
      <c r="AS187" s="3">
        <v>16686.9818</v>
      </c>
      <c r="AT187" s="3">
        <v>18149.0068</v>
      </c>
      <c r="AU187" s="3">
        <f t="shared" si="2"/>
        <v>20317.82639</v>
      </c>
      <c r="AV187" s="3">
        <f t="shared" si="3"/>
        <v>19278.91462</v>
      </c>
      <c r="AW187" s="3">
        <f t="shared" si="4"/>
        <v>19115.10088</v>
      </c>
      <c r="AX187" s="4">
        <f t="shared" si="5"/>
        <v>-0.01325262926</v>
      </c>
      <c r="AY187" s="4">
        <f t="shared" si="6"/>
        <v>-0.0113072456</v>
      </c>
      <c r="AZ187" s="4">
        <f t="shared" si="7"/>
        <v>-0.003602760663</v>
      </c>
    </row>
    <row r="188" ht="14.25" customHeight="1">
      <c r="A188" s="2" t="s">
        <v>332</v>
      </c>
      <c r="B188" s="3">
        <v>5758.3509</v>
      </c>
      <c r="C188" s="3">
        <v>5239.2997</v>
      </c>
      <c r="D188" s="3">
        <v>5508.076</v>
      </c>
      <c r="E188" s="3">
        <v>5102.8207</v>
      </c>
      <c r="F188" s="3">
        <v>5131.4597</v>
      </c>
      <c r="G188" s="3">
        <v>4925.6641</v>
      </c>
      <c r="H188" s="3">
        <v>5723.2491</v>
      </c>
      <c r="I188" s="3">
        <v>5304.688</v>
      </c>
      <c r="J188" s="3">
        <v>4958.6116</v>
      </c>
      <c r="K188" s="3">
        <v>4869.6532</v>
      </c>
      <c r="L188" s="3">
        <v>5562.4395</v>
      </c>
      <c r="M188" s="3">
        <v>5108.143</v>
      </c>
      <c r="N188" s="3">
        <v>6060.2015</v>
      </c>
      <c r="O188" s="3">
        <v>6413.1208</v>
      </c>
      <c r="P188" s="3">
        <v>7114.3975</v>
      </c>
      <c r="Q188" s="3">
        <v>7277.4881</v>
      </c>
      <c r="R188" s="3">
        <v>7037.6043</v>
      </c>
      <c r="S188" s="3">
        <v>7711.7626</v>
      </c>
      <c r="T188" s="3">
        <v>8462.4606</v>
      </c>
      <c r="U188" s="3">
        <v>8829.8262</v>
      </c>
      <c r="V188" s="3">
        <v>7780.3189</v>
      </c>
      <c r="W188" s="3">
        <v>6813.5607</v>
      </c>
      <c r="X188" s="3">
        <v>5779.7668</v>
      </c>
      <c r="Y188" s="3">
        <v>6392.8454</v>
      </c>
      <c r="Z188" s="3">
        <v>7553.4874</v>
      </c>
      <c r="AA188" s="3">
        <v>8130.1969</v>
      </c>
      <c r="AB188" s="3">
        <v>7770.6881</v>
      </c>
      <c r="AC188" s="3">
        <v>7771.7018</v>
      </c>
      <c r="AD188" s="3">
        <v>8042.3789</v>
      </c>
      <c r="AE188" s="3">
        <v>8408.2239</v>
      </c>
      <c r="AF188" s="3">
        <v>8567.2593</v>
      </c>
      <c r="AG188" s="3">
        <v>9042.845</v>
      </c>
      <c r="AH188" s="3">
        <v>9242.5581</v>
      </c>
      <c r="AI188" s="3">
        <v>9328.3485</v>
      </c>
      <c r="AJ188" s="3">
        <v>8992.1564</v>
      </c>
      <c r="AK188" s="3">
        <v>9014.206</v>
      </c>
      <c r="AL188" s="3">
        <v>9485.7366</v>
      </c>
      <c r="AM188" s="3">
        <v>9334.4312</v>
      </c>
      <c r="AN188" s="3">
        <v>9197.8254</v>
      </c>
      <c r="AO188" s="3">
        <v>9034.3547</v>
      </c>
      <c r="AP188" s="3">
        <v>7888.1589</v>
      </c>
      <c r="AQ188" s="3">
        <v>8054.2907</v>
      </c>
      <c r="AR188" s="3">
        <v>8200.6541</v>
      </c>
      <c r="AS188" s="3">
        <v>7612.2862</v>
      </c>
      <c r="AT188" s="3">
        <v>7046.6015</v>
      </c>
      <c r="AU188" s="3">
        <f t="shared" si="2"/>
        <v>5518.678353</v>
      </c>
      <c r="AV188" s="3">
        <f t="shared" si="3"/>
        <v>7606.05875</v>
      </c>
      <c r="AW188" s="3">
        <f t="shared" si="4"/>
        <v>8669.447507</v>
      </c>
      <c r="AX188" s="4">
        <f t="shared" si="5"/>
        <v>0.01521961474</v>
      </c>
      <c r="AY188" s="4">
        <f t="shared" si="6"/>
        <v>0.01036942954</v>
      </c>
      <c r="AZ188" s="4">
        <f t="shared" si="7"/>
        <v>-0.01765854166</v>
      </c>
    </row>
    <row r="189" ht="14.25" customHeight="1">
      <c r="A189" s="2" t="s">
        <v>333</v>
      </c>
      <c r="B189" s="3">
        <v>17709.3345</v>
      </c>
      <c r="C189" s="3">
        <v>18636.6613</v>
      </c>
      <c r="D189" s="3">
        <v>18737.7979</v>
      </c>
      <c r="E189" s="3">
        <v>17837.2766</v>
      </c>
      <c r="F189" s="3">
        <v>17622.9772</v>
      </c>
      <c r="G189" s="3">
        <v>17887.8449</v>
      </c>
      <c r="H189" s="3">
        <v>18115.04</v>
      </c>
      <c r="I189" s="3">
        <v>18070.992</v>
      </c>
      <c r="J189" s="3">
        <v>15735.7222</v>
      </c>
      <c r="K189" s="3">
        <v>15474.3319</v>
      </c>
      <c r="L189" s="3">
        <v>16187.3593</v>
      </c>
      <c r="M189" s="3">
        <v>17177.7154</v>
      </c>
      <c r="N189" s="3">
        <v>18018.9747</v>
      </c>
      <c r="O189" s="3">
        <v>18421.2028</v>
      </c>
      <c r="P189" s="3">
        <v>18383.8199</v>
      </c>
      <c r="Q189" s="3">
        <v>18163.4349</v>
      </c>
      <c r="R189" s="3">
        <v>18148.5107</v>
      </c>
      <c r="S189" s="3">
        <v>18799.8129</v>
      </c>
      <c r="T189" s="3">
        <v>19648.4619</v>
      </c>
      <c r="U189" s="3">
        <v>19871.8897</v>
      </c>
      <c r="V189" s="3">
        <v>19878.5548</v>
      </c>
      <c r="W189" s="3">
        <v>19487.1939</v>
      </c>
      <c r="X189" s="3">
        <v>19408.3712</v>
      </c>
      <c r="Y189" s="3">
        <v>19690.1916</v>
      </c>
      <c r="Z189" s="3">
        <v>20611.8675</v>
      </c>
      <c r="AA189" s="3">
        <v>21511.9541</v>
      </c>
      <c r="AB189" s="3">
        <v>22746.7478</v>
      </c>
      <c r="AC189" s="3">
        <v>24863.3713</v>
      </c>
      <c r="AD189" s="3">
        <v>26710.0557</v>
      </c>
      <c r="AE189" s="3">
        <v>26524.7353</v>
      </c>
      <c r="AF189" s="3">
        <v>27462.4945</v>
      </c>
      <c r="AG189" s="3">
        <v>29933.8206</v>
      </c>
      <c r="AH189" s="3">
        <v>32223.5934</v>
      </c>
      <c r="AI189" s="3">
        <v>33755.1316</v>
      </c>
      <c r="AJ189" s="3">
        <v>34809.3863</v>
      </c>
      <c r="AK189" s="3">
        <v>36190.5237</v>
      </c>
      <c r="AL189" s="3">
        <v>37273.0329</v>
      </c>
      <c r="AM189" s="3">
        <v>38545.789</v>
      </c>
      <c r="AN189" s="3">
        <v>39238.3862</v>
      </c>
      <c r="AO189" s="3">
        <v>39657.5669</v>
      </c>
      <c r="AP189" s="3">
        <v>32093.4778</v>
      </c>
      <c r="AQ189" s="3">
        <v>36312.0905</v>
      </c>
      <c r="AR189" s="3">
        <v>39477.6076</v>
      </c>
      <c r="AS189" s="3">
        <v>41602.2003</v>
      </c>
      <c r="AT189" s="3">
        <v>42002.11</v>
      </c>
      <c r="AU189" s="3">
        <f t="shared" si="2"/>
        <v>17601.13671</v>
      </c>
      <c r="AV189" s="3">
        <f t="shared" si="3"/>
        <v>21278.69417</v>
      </c>
      <c r="AW189" s="3">
        <f t="shared" si="4"/>
        <v>36038.48075</v>
      </c>
      <c r="AX189" s="4">
        <f t="shared" si="5"/>
        <v>0.002673499661</v>
      </c>
      <c r="AY189" s="4">
        <f t="shared" si="6"/>
        <v>0.0274167656</v>
      </c>
      <c r="AZ189" s="4">
        <f t="shared" si="7"/>
        <v>0.02449013912</v>
      </c>
    </row>
    <row r="190" ht="14.25" customHeight="1">
      <c r="A190" s="2" t="s">
        <v>334</v>
      </c>
      <c r="B190" s="3">
        <v>5761.0623</v>
      </c>
      <c r="C190" s="3">
        <v>5598.5717</v>
      </c>
      <c r="D190" s="3">
        <v>5510.9513</v>
      </c>
      <c r="E190" s="3">
        <v>5562.1299</v>
      </c>
      <c r="F190" s="3">
        <v>5372.0634</v>
      </c>
      <c r="G190" s="3">
        <v>5427.3339</v>
      </c>
      <c r="H190" s="3">
        <v>5590.7733</v>
      </c>
      <c r="I190" s="3">
        <v>5604.9171</v>
      </c>
      <c r="J190" s="3">
        <v>5629.1721</v>
      </c>
      <c r="K190" s="3">
        <v>5411.1738</v>
      </c>
      <c r="L190" s="3">
        <v>5096.7486</v>
      </c>
      <c r="M190" s="3">
        <v>5387.3339</v>
      </c>
      <c r="N190" s="3">
        <v>5892.5077</v>
      </c>
      <c r="O190" s="3">
        <v>6683.4929</v>
      </c>
      <c r="P190" s="3">
        <v>6795.0717</v>
      </c>
      <c r="Q190" s="3">
        <v>6305.4354</v>
      </c>
      <c r="R190" s="3">
        <v>6452.8926</v>
      </c>
      <c r="S190" s="3">
        <v>5803.6123</v>
      </c>
      <c r="T190" s="3">
        <v>5838.4825</v>
      </c>
      <c r="U190" s="3">
        <v>5718.453</v>
      </c>
      <c r="V190" s="3">
        <v>5366.7854</v>
      </c>
      <c r="W190" s="3">
        <v>5164.8879</v>
      </c>
      <c r="X190" s="3">
        <v>5074.9843</v>
      </c>
      <c r="Y190" s="3">
        <v>5104.3097</v>
      </c>
      <c r="Z190" s="3">
        <v>4946.593</v>
      </c>
      <c r="AA190" s="3">
        <v>4954.421</v>
      </c>
      <c r="AB190" s="3">
        <v>4884.473</v>
      </c>
      <c r="AC190" s="3">
        <v>5075.7256</v>
      </c>
      <c r="AD190" s="3">
        <v>4879.9066</v>
      </c>
      <c r="AE190" s="3">
        <v>5023.6574</v>
      </c>
      <c r="AF190" s="3">
        <v>5337.0745</v>
      </c>
      <c r="AG190" s="3">
        <v>5212.1525</v>
      </c>
      <c r="AH190" s="3">
        <v>5275.5475</v>
      </c>
      <c r="AI190" s="3">
        <v>5298.4978</v>
      </c>
      <c r="AJ190" s="3">
        <v>5824.4573</v>
      </c>
      <c r="AK190" s="3">
        <v>6011.6477</v>
      </c>
      <c r="AL190" s="3">
        <v>6150.417</v>
      </c>
      <c r="AM190" s="3">
        <v>6178.6453</v>
      </c>
      <c r="AN190" s="3">
        <v>5983.6566</v>
      </c>
      <c r="AO190" s="3">
        <v>6073.3526</v>
      </c>
      <c r="AP190" s="3">
        <v>5716.6146</v>
      </c>
      <c r="AQ190" s="3">
        <v>5526.3998</v>
      </c>
      <c r="AR190" s="3">
        <v>5642.3374</v>
      </c>
      <c r="AS190" s="3">
        <v>5683.3159</v>
      </c>
      <c r="AT190" s="3">
        <v>6092.1813</v>
      </c>
      <c r="AU190" s="3">
        <f t="shared" si="2"/>
        <v>5688.22024</v>
      </c>
      <c r="AV190" s="3">
        <f t="shared" si="3"/>
        <v>5306.370307</v>
      </c>
      <c r="AW190" s="3">
        <f t="shared" si="4"/>
        <v>5733.753187</v>
      </c>
      <c r="AX190" s="4">
        <f t="shared" si="5"/>
        <v>0.01186091179</v>
      </c>
      <c r="AY190" s="4">
        <f t="shared" si="6"/>
        <v>-0.01610137785</v>
      </c>
      <c r="AZ190" s="4">
        <f t="shared" si="7"/>
        <v>0.01120612897</v>
      </c>
    </row>
    <row r="191" ht="14.25" customHeight="1">
      <c r="A191" s="2" t="s">
        <v>335</v>
      </c>
      <c r="B191" s="3">
        <v>14620.305</v>
      </c>
      <c r="C191" s="3">
        <v>15373.5391</v>
      </c>
      <c r="D191" s="3">
        <v>14766.532</v>
      </c>
      <c r="E191" s="3">
        <v>13882.1423</v>
      </c>
      <c r="F191" s="3">
        <v>13871.6349</v>
      </c>
      <c r="G191" s="3">
        <v>13962.2932</v>
      </c>
      <c r="H191" s="3">
        <v>13565.4069</v>
      </c>
      <c r="I191" s="3">
        <v>13735.0592</v>
      </c>
      <c r="J191" s="3">
        <v>14190.45</v>
      </c>
      <c r="K191" s="3">
        <v>14572.041</v>
      </c>
      <c r="L191" s="3">
        <v>14578.3634</v>
      </c>
      <c r="M191" s="3">
        <v>14537.8527</v>
      </c>
      <c r="N191" s="3">
        <v>14401.1888</v>
      </c>
      <c r="O191" s="3">
        <v>14592.2502</v>
      </c>
      <c r="P191" s="3">
        <v>14644.4365</v>
      </c>
      <c r="Q191" s="3">
        <v>15033.5447</v>
      </c>
      <c r="R191" s="3">
        <v>14702.9749</v>
      </c>
      <c r="S191" s="3">
        <v>14754.5792</v>
      </c>
      <c r="T191" s="3">
        <v>14461.0196</v>
      </c>
      <c r="U191" s="3">
        <v>13867.4939</v>
      </c>
      <c r="V191" s="3">
        <v>13057.9992</v>
      </c>
      <c r="W191" s="3">
        <v>13009.0054</v>
      </c>
      <c r="X191" s="3">
        <v>14633.9506</v>
      </c>
      <c r="Y191" s="3">
        <v>14913.7034</v>
      </c>
      <c r="Z191" s="3">
        <v>15136.5747</v>
      </c>
      <c r="AA191" s="3">
        <v>15076.0643</v>
      </c>
      <c r="AB191" s="3">
        <v>15417.6066</v>
      </c>
      <c r="AC191" s="3">
        <v>15869.5401</v>
      </c>
      <c r="AD191" s="3">
        <v>16493.7485</v>
      </c>
      <c r="AE191" s="3">
        <v>16095.1994</v>
      </c>
      <c r="AF191" s="3">
        <v>17425.9731</v>
      </c>
      <c r="AG191" s="3">
        <v>17697.7592</v>
      </c>
      <c r="AH191" s="3">
        <v>17124.8214</v>
      </c>
      <c r="AI191" s="3">
        <v>18060.803</v>
      </c>
      <c r="AJ191" s="3">
        <v>18562.4519</v>
      </c>
      <c r="AK191" s="3">
        <v>18700.4575</v>
      </c>
      <c r="AL191" s="3">
        <v>19056.6791</v>
      </c>
      <c r="AM191" s="3">
        <v>19498.7795</v>
      </c>
      <c r="AN191" s="3">
        <v>19707.0465</v>
      </c>
      <c r="AO191" s="3">
        <v>19231.3706</v>
      </c>
      <c r="AP191" s="3">
        <v>18750.8495</v>
      </c>
      <c r="AQ191" s="3">
        <v>19082.1677</v>
      </c>
      <c r="AR191" s="3">
        <v>18836.0159</v>
      </c>
      <c r="AS191" s="3">
        <v>19441.0603</v>
      </c>
      <c r="AT191" s="3">
        <v>19495.3263</v>
      </c>
      <c r="AU191" s="3">
        <f t="shared" si="2"/>
        <v>14352.89968</v>
      </c>
      <c r="AV191" s="3">
        <f t="shared" si="3"/>
        <v>14820.6757</v>
      </c>
      <c r="AW191" s="3">
        <f t="shared" si="4"/>
        <v>18711.43743</v>
      </c>
      <c r="AX191" s="4">
        <f t="shared" si="5"/>
        <v>0.0001178059605</v>
      </c>
      <c r="AY191" s="4">
        <f t="shared" si="6"/>
        <v>0.004885971621</v>
      </c>
      <c r="AZ191" s="4">
        <f t="shared" si="7"/>
        <v>0.006933693744</v>
      </c>
    </row>
    <row r="192" ht="14.25" customHeight="1">
      <c r="A192" s="2" t="s">
        <v>336</v>
      </c>
      <c r="B192" s="3">
        <v>14636.3168</v>
      </c>
      <c r="C192" s="3">
        <v>14995.8401</v>
      </c>
      <c r="D192" s="3">
        <v>14549.2611</v>
      </c>
      <c r="E192" s="3">
        <v>12650.3965</v>
      </c>
      <c r="F192" s="3">
        <v>12722.6132</v>
      </c>
      <c r="G192" s="3">
        <v>12586.5506</v>
      </c>
      <c r="H192" s="3">
        <v>13404.4101</v>
      </c>
      <c r="I192" s="3">
        <v>14299.5847</v>
      </c>
      <c r="J192" s="3">
        <v>12588.2628</v>
      </c>
      <c r="K192" s="3">
        <v>10713.0646</v>
      </c>
      <c r="L192" s="3">
        <v>9870.131</v>
      </c>
      <c r="M192" s="3">
        <v>9812.5251</v>
      </c>
      <c r="N192" s="3">
        <v>9486.7891</v>
      </c>
      <c r="O192" s="3">
        <v>9695.5249</v>
      </c>
      <c r="P192" s="3">
        <v>10569.8488</v>
      </c>
      <c r="Q192" s="3">
        <v>11013.2318</v>
      </c>
      <c r="R192" s="3">
        <v>10988.7283</v>
      </c>
      <c r="S192" s="3">
        <v>11365.9063</v>
      </c>
      <c r="T192" s="3">
        <v>11002.464</v>
      </c>
      <c r="U192" s="3">
        <v>10853.5409</v>
      </c>
      <c r="V192" s="3">
        <v>10853.1223</v>
      </c>
      <c r="W192" s="3">
        <v>10659.3777</v>
      </c>
      <c r="X192" s="3">
        <v>10982.5264</v>
      </c>
      <c r="Y192" s="3">
        <v>11183.5764</v>
      </c>
      <c r="Z192" s="3">
        <v>11486.5972</v>
      </c>
      <c r="AA192" s="3">
        <v>11957.147</v>
      </c>
      <c r="AB192" s="3">
        <v>12608.8853</v>
      </c>
      <c r="AC192" s="3">
        <v>13432.5662</v>
      </c>
      <c r="AD192" s="3">
        <v>14387.3633</v>
      </c>
      <c r="AE192" s="3">
        <v>14320.7399</v>
      </c>
      <c r="AF192" s="3">
        <v>15234.5204</v>
      </c>
      <c r="AG192" s="3">
        <v>15910.7621</v>
      </c>
      <c r="AH192" s="3">
        <v>16599.9024</v>
      </c>
      <c r="AI192" s="3">
        <v>17251.108</v>
      </c>
      <c r="AJ192" s="3">
        <v>17360.955</v>
      </c>
      <c r="AK192" s="3">
        <v>17642.8587</v>
      </c>
      <c r="AL192" s="3">
        <v>17998.463</v>
      </c>
      <c r="AM192" s="3">
        <v>18041.2679</v>
      </c>
      <c r="AN192" s="3">
        <v>18290.3735</v>
      </c>
      <c r="AO192" s="3">
        <v>18249.2808</v>
      </c>
      <c r="AP192" s="3">
        <v>16001.2422</v>
      </c>
      <c r="AQ192" s="3">
        <v>17772.8335</v>
      </c>
      <c r="AR192" s="3">
        <v>17984.6513</v>
      </c>
      <c r="AS192" s="3">
        <v>17602.1084</v>
      </c>
      <c r="AT192" s="3">
        <v>17868.7926</v>
      </c>
      <c r="AU192" s="3">
        <f t="shared" si="2"/>
        <v>12172.07463</v>
      </c>
      <c r="AV192" s="3">
        <f t="shared" si="3"/>
        <v>11863.03866</v>
      </c>
      <c r="AW192" s="3">
        <f t="shared" si="4"/>
        <v>17320.60799</v>
      </c>
      <c r="AX192" s="4">
        <f t="shared" si="5"/>
        <v>-0.02298182902</v>
      </c>
      <c r="AY192" s="4">
        <f t="shared" si="6"/>
        <v>0.01893499199</v>
      </c>
      <c r="AZ192" s="4">
        <f t="shared" si="7"/>
        <v>0.008324458587</v>
      </c>
    </row>
    <row r="193" ht="14.25" customHeight="1">
      <c r="A193" s="2" t="s">
        <v>337</v>
      </c>
      <c r="B193" s="3">
        <v>8819.6762</v>
      </c>
      <c r="C193" s="3">
        <v>8782.7321</v>
      </c>
      <c r="D193" s="3">
        <v>8747.1292</v>
      </c>
      <c r="E193" s="3">
        <v>8547.5616</v>
      </c>
      <c r="F193" s="3">
        <v>7630.651</v>
      </c>
      <c r="G193" s="3">
        <v>6849.5134</v>
      </c>
      <c r="H193" s="3">
        <v>6857.0827</v>
      </c>
      <c r="I193" s="3">
        <v>6917.4016</v>
      </c>
      <c r="J193" s="3">
        <v>7134.5162</v>
      </c>
      <c r="K193" s="3">
        <v>7345.6062</v>
      </c>
      <c r="L193" s="3">
        <v>7337.8087</v>
      </c>
      <c r="M193" s="3">
        <v>7100.5387</v>
      </c>
      <c r="N193" s="3">
        <v>6933.6566</v>
      </c>
      <c r="O193" s="3">
        <v>6884.7583</v>
      </c>
      <c r="P193" s="3">
        <v>7009.8338</v>
      </c>
      <c r="Q193" s="3">
        <v>7154.1906</v>
      </c>
      <c r="R193" s="3">
        <v>7370.9752</v>
      </c>
      <c r="S193" s="3">
        <v>7532.8263</v>
      </c>
      <c r="T193" s="3">
        <v>7252.872</v>
      </c>
      <c r="U193" s="3">
        <v>7243.8107</v>
      </c>
      <c r="V193" s="3">
        <v>7325.1979</v>
      </c>
      <c r="W193" s="3">
        <v>7331.57</v>
      </c>
      <c r="X193" s="3">
        <v>7402.8532</v>
      </c>
      <c r="Y193" s="3">
        <v>7571.4696</v>
      </c>
      <c r="Z193" s="3">
        <v>7851.7257</v>
      </c>
      <c r="AA193" s="3">
        <v>8023.8564</v>
      </c>
      <c r="AB193" s="3">
        <v>8252.9744</v>
      </c>
      <c r="AC193" s="3">
        <v>8580.2541</v>
      </c>
      <c r="AD193" s="3">
        <v>8733.2159</v>
      </c>
      <c r="AE193" s="3">
        <v>8640.401</v>
      </c>
      <c r="AF193" s="3">
        <v>9011.2602</v>
      </c>
      <c r="AG193" s="3">
        <v>9100.2448</v>
      </c>
      <c r="AH193" s="3">
        <v>9459.1182</v>
      </c>
      <c r="AI193" s="3">
        <v>9825.1852</v>
      </c>
      <c r="AJ193" s="3">
        <v>10192.4002</v>
      </c>
      <c r="AK193" s="3">
        <v>10568.164</v>
      </c>
      <c r="AL193" s="3">
        <v>11039.3757</v>
      </c>
      <c r="AM193" s="3">
        <v>11518.1672</v>
      </c>
      <c r="AN193" s="3">
        <v>11961.6788</v>
      </c>
      <c r="AO193" s="3">
        <v>12402.8417</v>
      </c>
      <c r="AP193" s="3">
        <v>10963.7778</v>
      </c>
      <c r="AQ193" s="3">
        <v>11347.1775</v>
      </c>
      <c r="AR193" s="3">
        <v>11975.1041</v>
      </c>
      <c r="AS193" s="3">
        <v>12396.0027</v>
      </c>
      <c r="AT193" s="3">
        <v>12848.7617</v>
      </c>
      <c r="AU193" s="3">
        <f t="shared" si="2"/>
        <v>7526.56442</v>
      </c>
      <c r="AV193" s="3">
        <f t="shared" si="3"/>
        <v>7793.857314</v>
      </c>
      <c r="AW193" s="3">
        <f t="shared" si="4"/>
        <v>10973.95065</v>
      </c>
      <c r="AX193" s="4">
        <f t="shared" si="5"/>
        <v>-0.01627125271</v>
      </c>
      <c r="AY193" s="4">
        <f t="shared" si="6"/>
        <v>0.01357348823</v>
      </c>
      <c r="AZ193" s="4">
        <f t="shared" si="7"/>
        <v>0.02494505784</v>
      </c>
    </row>
    <row r="194" ht="14.25" customHeight="1">
      <c r="A194" s="2" t="s">
        <v>338</v>
      </c>
      <c r="B194" s="3">
        <v>14421.0063</v>
      </c>
      <c r="C194" s="3">
        <v>12849.1712</v>
      </c>
      <c r="D194" s="3">
        <v>12135.4611</v>
      </c>
      <c r="E194" s="3">
        <v>12704.0884</v>
      </c>
      <c r="F194" s="3">
        <v>13314.5747</v>
      </c>
      <c r="G194" s="3">
        <v>13717.2425</v>
      </c>
      <c r="H194" s="3">
        <v>14231.2178</v>
      </c>
      <c r="I194" s="3">
        <v>14445.503</v>
      </c>
      <c r="J194" s="3">
        <v>14999.8259</v>
      </c>
      <c r="K194" s="3">
        <v>14977.3676</v>
      </c>
      <c r="L194" s="3">
        <v>14802.0945</v>
      </c>
      <c r="M194" s="3">
        <v>13698.4394</v>
      </c>
      <c r="N194" s="3">
        <v>13964.8813</v>
      </c>
      <c r="O194" s="3">
        <v>14400.0241</v>
      </c>
      <c r="P194" s="3">
        <v>15063.2996</v>
      </c>
      <c r="Q194" s="3">
        <v>15998.043</v>
      </c>
      <c r="R194" s="3">
        <v>16849.42</v>
      </c>
      <c r="S194" s="3">
        <v>17795.4803</v>
      </c>
      <c r="T194" s="3">
        <v>18479.3163</v>
      </c>
      <c r="U194" s="3">
        <v>19167.5806</v>
      </c>
      <c r="V194" s="3">
        <v>19957.1007</v>
      </c>
      <c r="W194" s="3">
        <v>19929.019</v>
      </c>
      <c r="X194" s="3">
        <v>20219.079</v>
      </c>
      <c r="Y194" s="3">
        <v>20689.3327</v>
      </c>
      <c r="Z194" s="3">
        <v>21458.8898</v>
      </c>
      <c r="AA194" s="3">
        <v>21962.8484</v>
      </c>
      <c r="AB194" s="3">
        <v>23193.2752</v>
      </c>
      <c r="AC194" s="3">
        <v>24595.3199</v>
      </c>
      <c r="AD194" s="3">
        <v>25607.033</v>
      </c>
      <c r="AE194" s="3">
        <v>26025.4814</v>
      </c>
      <c r="AF194" s="3">
        <v>26513.1675</v>
      </c>
      <c r="AG194" s="3">
        <v>27905.6876</v>
      </c>
      <c r="AH194" s="3">
        <v>28139.3383</v>
      </c>
      <c r="AI194" s="3">
        <v>28223.4779</v>
      </c>
      <c r="AJ194" s="3">
        <v>29276.6281</v>
      </c>
      <c r="AK194" s="3">
        <v>30463.1223</v>
      </c>
      <c r="AL194" s="3">
        <v>31304.6936</v>
      </c>
      <c r="AM194" s="3">
        <v>32876.7747</v>
      </c>
      <c r="AN194" s="3">
        <v>34845.2326</v>
      </c>
      <c r="AO194" s="3">
        <v>36442.9703</v>
      </c>
      <c r="AP194" s="3">
        <v>35669.0902</v>
      </c>
      <c r="AQ194" s="3">
        <v>38235.4872</v>
      </c>
      <c r="AR194" s="3">
        <v>39995.9509</v>
      </c>
      <c r="AS194" s="3">
        <v>39910.511</v>
      </c>
      <c r="AT194" s="3">
        <v>41237.0972</v>
      </c>
      <c r="AU194" s="3">
        <f t="shared" si="2"/>
        <v>13981.61316</v>
      </c>
      <c r="AV194" s="3">
        <f t="shared" si="3"/>
        <v>21137.79831</v>
      </c>
      <c r="AW194" s="3">
        <f t="shared" si="4"/>
        <v>33402.61529</v>
      </c>
      <c r="AX194" s="4">
        <f t="shared" si="5"/>
        <v>0.003117376148</v>
      </c>
      <c r="AY194" s="4">
        <f t="shared" si="6"/>
        <v>0.03536894977</v>
      </c>
      <c r="AZ194" s="4">
        <f t="shared" si="7"/>
        <v>0.02828607386</v>
      </c>
    </row>
    <row r="195" ht="14.25" customHeight="1">
      <c r="A195" s="2" t="s">
        <v>339</v>
      </c>
      <c r="B195" s="3">
        <v>23899.2778</v>
      </c>
      <c r="C195" s="3">
        <v>23918.4797</v>
      </c>
      <c r="D195" s="3">
        <v>24109.8908</v>
      </c>
      <c r="E195" s="3">
        <v>23770.8198</v>
      </c>
      <c r="F195" s="3">
        <v>23056.3401</v>
      </c>
      <c r="G195" s="3">
        <v>23448.5201</v>
      </c>
      <c r="H195" s="3">
        <v>24171.993</v>
      </c>
      <c r="I195" s="3">
        <v>25475.8971</v>
      </c>
      <c r="J195" s="3">
        <v>27153.7515</v>
      </c>
      <c r="K195" s="3">
        <v>28670.9422</v>
      </c>
      <c r="L195" s="3">
        <v>29574.2808</v>
      </c>
      <c r="M195" s="3">
        <v>30643.2658</v>
      </c>
      <c r="N195" s="3">
        <v>30718.2504</v>
      </c>
      <c r="O195" s="3">
        <v>29798.8697</v>
      </c>
      <c r="P195" s="3">
        <v>29749.7713</v>
      </c>
      <c r="Q195" s="3">
        <v>30643.5089</v>
      </c>
      <c r="R195" s="3">
        <v>31376.9474</v>
      </c>
      <c r="S195" s="3">
        <v>32400.723</v>
      </c>
      <c r="T195" s="3">
        <v>33593.5479</v>
      </c>
      <c r="U195" s="3">
        <v>34548.5371</v>
      </c>
      <c r="V195" s="3">
        <v>35444.5838</v>
      </c>
      <c r="W195" s="3">
        <v>35672.3325</v>
      </c>
      <c r="X195" s="3">
        <v>35576.6877</v>
      </c>
      <c r="Y195" s="3">
        <v>34957.7313</v>
      </c>
      <c r="Z195" s="3">
        <v>35361.5782</v>
      </c>
      <c r="AA195" s="3">
        <v>35440.8163</v>
      </c>
      <c r="AB195" s="3">
        <v>35836.8852</v>
      </c>
      <c r="AC195" s="3">
        <v>36559.2644</v>
      </c>
      <c r="AD195" s="3">
        <v>36532.163</v>
      </c>
      <c r="AE195" s="3">
        <v>35245.5163</v>
      </c>
      <c r="AF195" s="3">
        <v>35710.8578</v>
      </c>
      <c r="AG195" s="3">
        <v>35003.5484</v>
      </c>
      <c r="AH195" s="3">
        <v>33725.4088</v>
      </c>
      <c r="AI195" s="3">
        <v>33453.909</v>
      </c>
      <c r="AJ195" s="3">
        <v>33760.7743</v>
      </c>
      <c r="AK195" s="3">
        <v>34328.9309</v>
      </c>
      <c r="AL195" s="3">
        <v>35054.7129</v>
      </c>
      <c r="AM195" s="3">
        <v>36126.8577</v>
      </c>
      <c r="AN195" s="3">
        <v>37124.8688</v>
      </c>
      <c r="AO195" s="3">
        <v>37920.6526</v>
      </c>
      <c r="AP195" s="3">
        <v>34529.5782</v>
      </c>
      <c r="AQ195" s="3">
        <v>36164.4108</v>
      </c>
      <c r="AR195" s="3">
        <v>38304.933</v>
      </c>
      <c r="AS195" s="3">
        <v>39621.8409</v>
      </c>
      <c r="AT195" s="3">
        <v>40349.3244</v>
      </c>
      <c r="AU195" s="3">
        <f t="shared" si="2"/>
        <v>26544.02334</v>
      </c>
      <c r="AV195" s="3">
        <f t="shared" si="3"/>
        <v>34896.23672</v>
      </c>
      <c r="AW195" s="3">
        <f t="shared" si="4"/>
        <v>36078.70723</v>
      </c>
      <c r="AX195" s="4">
        <f t="shared" si="5"/>
        <v>0.0157639029</v>
      </c>
      <c r="AY195" s="4">
        <f t="shared" si="6"/>
        <v>0.01004421253</v>
      </c>
      <c r="AZ195" s="4">
        <f t="shared" si="7"/>
        <v>0.01020350519</v>
      </c>
    </row>
    <row r="196" ht="14.25" customHeight="1">
      <c r="A196" s="2" t="s">
        <v>340</v>
      </c>
      <c r="B196" s="3">
        <v>29854.0672</v>
      </c>
      <c r="C196" s="3">
        <v>28828.967</v>
      </c>
      <c r="D196" s="3">
        <v>27850.7448</v>
      </c>
      <c r="E196" s="3">
        <v>28290.3144</v>
      </c>
      <c r="F196" s="3">
        <v>28946.961</v>
      </c>
      <c r="G196" s="3">
        <v>29789.8763</v>
      </c>
      <c r="H196" s="3">
        <v>31227.3782</v>
      </c>
      <c r="I196" s="3">
        <v>32494.5036</v>
      </c>
      <c r="J196" s="3">
        <v>33847.5719</v>
      </c>
      <c r="K196" s="3">
        <v>34792.7665</v>
      </c>
      <c r="L196" s="3">
        <v>35237.0417</v>
      </c>
      <c r="M196" s="3">
        <v>35850.5392</v>
      </c>
      <c r="N196" s="3">
        <v>36849.2705</v>
      </c>
      <c r="O196" s="3">
        <v>37844.2729</v>
      </c>
      <c r="P196" s="3">
        <v>38909.8586</v>
      </c>
      <c r="Q196" s="3">
        <v>39662.3919</v>
      </c>
      <c r="R196" s="3">
        <v>40533.7181</v>
      </c>
      <c r="S196" s="3">
        <v>42119.223</v>
      </c>
      <c r="T196" s="3">
        <v>43827.4273</v>
      </c>
      <c r="U196" s="3">
        <v>45122.3421</v>
      </c>
      <c r="V196" s="3">
        <v>46813.056</v>
      </c>
      <c r="W196" s="3">
        <v>48083.7328</v>
      </c>
      <c r="X196" s="3">
        <v>48007.2009</v>
      </c>
      <c r="Y196" s="3">
        <v>48455.649</v>
      </c>
      <c r="Z196" s="3">
        <v>48414.2756</v>
      </c>
      <c r="AA196" s="3">
        <v>47398.6753</v>
      </c>
      <c r="AB196" s="3">
        <v>46650.2261</v>
      </c>
      <c r="AC196" s="3">
        <v>45825.0676</v>
      </c>
      <c r="AD196" s="3">
        <v>44815.0607</v>
      </c>
      <c r="AE196" s="3">
        <v>44266.4643</v>
      </c>
      <c r="AF196" s="3">
        <v>43933.7906</v>
      </c>
      <c r="AG196" s="3">
        <v>43734.648</v>
      </c>
      <c r="AH196" s="3">
        <v>43637.3408</v>
      </c>
      <c r="AI196" s="3">
        <v>43272.0834</v>
      </c>
      <c r="AJ196" s="3">
        <v>42855.3312</v>
      </c>
      <c r="AK196" s="3">
        <v>42554.0871</v>
      </c>
      <c r="AL196" s="3">
        <v>41826.4133</v>
      </c>
      <c r="AM196" s="3">
        <v>41148.1923</v>
      </c>
      <c r="AN196" s="3">
        <v>41257.8405</v>
      </c>
      <c r="AO196" s="3">
        <v>40339.4587</v>
      </c>
      <c r="AP196" s="3">
        <v>39438.745</v>
      </c>
      <c r="AQ196" s="3">
        <v>39944.1923</v>
      </c>
      <c r="AR196" s="3">
        <v>40622.3246</v>
      </c>
      <c r="AS196" s="3">
        <v>40691.8425</v>
      </c>
      <c r="AT196" s="3">
        <v>40866.8357</v>
      </c>
      <c r="AU196" s="3">
        <f t="shared" si="2"/>
        <v>32707.60892</v>
      </c>
      <c r="AV196" s="3">
        <f t="shared" si="3"/>
        <v>45738.00849</v>
      </c>
      <c r="AW196" s="3">
        <f t="shared" si="4"/>
        <v>41741.54173</v>
      </c>
      <c r="AX196" s="4">
        <f t="shared" si="5"/>
        <v>0.01910350716</v>
      </c>
      <c r="AY196" s="4">
        <f t="shared" si="6"/>
        <v>0.007875416763</v>
      </c>
      <c r="AZ196" s="4">
        <f t="shared" si="7"/>
        <v>-0.004832697424</v>
      </c>
    </row>
    <row r="197" ht="14.25" customHeight="1">
      <c r="A197" s="2" t="s">
        <v>341</v>
      </c>
      <c r="B197" s="3">
        <v>131798.1654</v>
      </c>
      <c r="C197" s="3">
        <v>121881.0212</v>
      </c>
      <c r="D197" s="3">
        <v>104534.0084</v>
      </c>
      <c r="E197" s="3">
        <v>94979.9327</v>
      </c>
      <c r="F197" s="3">
        <v>92448.8935</v>
      </c>
      <c r="G197" s="3">
        <v>84581.024</v>
      </c>
      <c r="H197" s="3">
        <v>84876.3528</v>
      </c>
      <c r="I197" s="3">
        <v>82359.3957</v>
      </c>
      <c r="J197" s="3">
        <v>84648.976</v>
      </c>
      <c r="K197" s="3">
        <v>86993.3367</v>
      </c>
      <c r="L197" s="3">
        <v>86821.5294</v>
      </c>
      <c r="M197" s="3">
        <v>82257.756</v>
      </c>
      <c r="N197" s="3">
        <v>88170.8282</v>
      </c>
      <c r="O197" s="3">
        <v>83781.1079</v>
      </c>
      <c r="P197" s="3">
        <v>81887.4037</v>
      </c>
      <c r="Q197" s="3">
        <v>80832.1591</v>
      </c>
      <c r="R197" s="3">
        <v>81524.6387</v>
      </c>
      <c r="S197" s="3">
        <v>101509.8844</v>
      </c>
      <c r="T197" s="3">
        <v>106711.9336</v>
      </c>
      <c r="U197" s="3">
        <v>104741.2636</v>
      </c>
      <c r="V197" s="3">
        <v>106404.1919</v>
      </c>
      <c r="W197" s="3">
        <v>103962.6224</v>
      </c>
      <c r="X197" s="3">
        <v>104982.4494</v>
      </c>
      <c r="Y197" s="3">
        <v>102846.5275</v>
      </c>
      <c r="Z197" s="3">
        <v>117720.7111</v>
      </c>
      <c r="AA197" s="3">
        <v>119122.9998</v>
      </c>
      <c r="AB197" s="3">
        <v>123193.2332</v>
      </c>
      <c r="AC197" s="3">
        <v>110352.0266</v>
      </c>
      <c r="AD197" s="3">
        <v>106922.4059</v>
      </c>
      <c r="AE197" s="3">
        <v>106542.2811</v>
      </c>
      <c r="AF197" s="3">
        <v>115026.9998</v>
      </c>
      <c r="AG197" s="3">
        <v>123394.0544</v>
      </c>
      <c r="AH197" s="3">
        <v>123231.0484</v>
      </c>
      <c r="AI197" s="3">
        <v>122210.7358</v>
      </c>
      <c r="AJ197" s="3">
        <v>117753.2456</v>
      </c>
      <c r="AK197" s="3">
        <v>111877.503</v>
      </c>
      <c r="AL197" s="3">
        <v>106828.141</v>
      </c>
      <c r="AM197" s="3">
        <v>100721.5314</v>
      </c>
      <c r="AN197" s="3">
        <v>99963.8009</v>
      </c>
      <c r="AO197" s="3">
        <v>99526.4677</v>
      </c>
      <c r="AP197" s="3">
        <v>98108.3064</v>
      </c>
      <c r="AQ197" s="3">
        <v>97624.5085</v>
      </c>
      <c r="AR197" s="3">
        <v>99441.1255</v>
      </c>
      <c r="AS197" s="3">
        <v>98622.7267</v>
      </c>
      <c r="AT197" s="3">
        <v>99120.5764</v>
      </c>
      <c r="AU197" s="3">
        <f t="shared" si="2"/>
        <v>92801.31544</v>
      </c>
      <c r="AV197" s="3">
        <f t="shared" si="3"/>
        <v>106895.5121</v>
      </c>
      <c r="AW197" s="3">
        <f t="shared" si="4"/>
        <v>107563.3848</v>
      </c>
      <c r="AX197" s="4">
        <f t="shared" si="5"/>
        <v>-0.03342342253</v>
      </c>
      <c r="AY197" s="4">
        <f t="shared" si="6"/>
        <v>0.01992206294</v>
      </c>
      <c r="AZ197" s="4">
        <f t="shared" si="7"/>
        <v>-0.01552436914</v>
      </c>
    </row>
    <row r="198" ht="14.25" customHeight="1">
      <c r="A198" s="2" t="s">
        <v>342</v>
      </c>
      <c r="B198" s="3">
        <v>18094.7388</v>
      </c>
      <c r="C198" s="3">
        <v>18084.2015</v>
      </c>
      <c r="D198" s="3">
        <v>18774.247</v>
      </c>
      <c r="E198" s="3">
        <v>19840.5887</v>
      </c>
      <c r="F198" s="3">
        <v>20954.6026</v>
      </c>
      <c r="G198" s="3">
        <v>20901.4753</v>
      </c>
      <c r="H198" s="3">
        <v>21386.3978</v>
      </c>
      <c r="I198" s="3">
        <v>21410.6575</v>
      </c>
      <c r="J198" s="3">
        <v>21012.609</v>
      </c>
      <c r="K198" s="3">
        <v>19557.7737</v>
      </c>
      <c r="L198" s="3">
        <v>18423.4981</v>
      </c>
      <c r="M198" s="3">
        <v>15934.4754</v>
      </c>
      <c r="N198" s="3">
        <v>14460.8354</v>
      </c>
      <c r="O198" s="3">
        <v>14621.505</v>
      </c>
      <c r="P198" s="3">
        <v>15127.1296</v>
      </c>
      <c r="Q198" s="3">
        <v>16125.4018</v>
      </c>
      <c r="R198" s="3">
        <v>16693.5052</v>
      </c>
      <c r="S198" s="3">
        <v>15847.2287</v>
      </c>
      <c r="T198" s="3">
        <v>15485.8746</v>
      </c>
      <c r="U198" s="3">
        <v>15357.461</v>
      </c>
      <c r="V198" s="3">
        <v>15751.1725</v>
      </c>
      <c r="W198" s="3">
        <v>16482.4528</v>
      </c>
      <c r="X198" s="3">
        <v>17530.1931</v>
      </c>
      <c r="Y198" s="3">
        <v>17985.9091</v>
      </c>
      <c r="Z198" s="3">
        <v>19890.5988</v>
      </c>
      <c r="AA198" s="3">
        <v>20890.6668</v>
      </c>
      <c r="AB198" s="3">
        <v>22659.2516</v>
      </c>
      <c r="AC198" s="3">
        <v>24313.8227</v>
      </c>
      <c r="AD198" s="3">
        <v>26684.0205</v>
      </c>
      <c r="AE198" s="3">
        <v>25194.6253</v>
      </c>
      <c r="AF198" s="3">
        <v>24150.3071</v>
      </c>
      <c r="AG198" s="3">
        <v>25494.0425</v>
      </c>
      <c r="AH198" s="3">
        <v>26047.746</v>
      </c>
      <c r="AI198" s="3">
        <v>26205.1967</v>
      </c>
      <c r="AJ198" s="3">
        <v>27416.4866</v>
      </c>
      <c r="AK198" s="3">
        <v>28367.8658</v>
      </c>
      <c r="AL198" s="3">
        <v>29299.5594</v>
      </c>
      <c r="AM198" s="3">
        <v>31860.5819</v>
      </c>
      <c r="AN198" s="3">
        <v>33929.736</v>
      </c>
      <c r="AO198" s="3">
        <v>35463.8896</v>
      </c>
      <c r="AP198" s="3">
        <v>34312.5036</v>
      </c>
      <c r="AQ198" s="3">
        <v>36501.9057</v>
      </c>
      <c r="AR198" s="3">
        <v>38267.8816</v>
      </c>
      <c r="AS198" s="3">
        <v>39556.5585</v>
      </c>
      <c r="AT198" s="3">
        <v>40070.3825</v>
      </c>
      <c r="AU198" s="3">
        <f t="shared" si="2"/>
        <v>18572.31569</v>
      </c>
      <c r="AV198" s="3">
        <f t="shared" si="3"/>
        <v>19340.48448</v>
      </c>
      <c r="AW198" s="3">
        <f t="shared" si="4"/>
        <v>31796.30957</v>
      </c>
      <c r="AX198" s="4">
        <f t="shared" si="5"/>
        <v>-0.01271359269</v>
      </c>
      <c r="AY198" s="4">
        <f t="shared" si="6"/>
        <v>0.0323873359</v>
      </c>
      <c r="AZ198" s="4">
        <f t="shared" si="7"/>
        <v>0.03282676649</v>
      </c>
    </row>
    <row r="199" ht="14.25" customHeight="1">
      <c r="A199" s="2" t="s">
        <v>343</v>
      </c>
      <c r="B199" s="3">
        <v>20440.3508</v>
      </c>
      <c r="C199" s="3">
        <v>20485.6726</v>
      </c>
      <c r="D199" s="3">
        <v>20400.9867</v>
      </c>
      <c r="E199" s="3">
        <v>20742.709</v>
      </c>
      <c r="F199" s="3">
        <v>20753.9862</v>
      </c>
      <c r="G199" s="3">
        <v>20882.0789</v>
      </c>
      <c r="H199" s="3">
        <v>21258.9095</v>
      </c>
      <c r="I199" s="3">
        <v>21275.9318</v>
      </c>
      <c r="J199" s="3">
        <v>21674.2531</v>
      </c>
      <c r="K199" s="3">
        <v>21928.0978</v>
      </c>
      <c r="L199" s="3">
        <v>21979.1646</v>
      </c>
      <c r="M199" s="3">
        <v>19648.8149</v>
      </c>
      <c r="N199" s="3">
        <v>17599.1199</v>
      </c>
      <c r="O199" s="3">
        <v>16528.6314</v>
      </c>
      <c r="P199" s="3">
        <v>14818.7436</v>
      </c>
      <c r="Q199" s="3">
        <v>15569.2133</v>
      </c>
      <c r="R199" s="3">
        <v>14952.7941</v>
      </c>
      <c r="S199" s="3">
        <v>15070.035</v>
      </c>
      <c r="T199" s="3">
        <v>14418.9329</v>
      </c>
      <c r="U199" s="3">
        <v>15164.2959</v>
      </c>
      <c r="V199" s="3">
        <v>16457.1378</v>
      </c>
      <c r="W199" s="3">
        <v>17363.9997</v>
      </c>
      <c r="X199" s="3">
        <v>18139.1516</v>
      </c>
      <c r="Y199" s="3">
        <v>19415.3969</v>
      </c>
      <c r="Z199" s="3">
        <v>20809.5214</v>
      </c>
      <c r="AA199" s="3">
        <v>22024.2737</v>
      </c>
      <c r="AB199" s="3">
        <v>23770.7593</v>
      </c>
      <c r="AC199" s="3">
        <v>25668.5305</v>
      </c>
      <c r="AD199" s="3">
        <v>26784.7663</v>
      </c>
      <c r="AE199" s="3">
        <v>24692.3029</v>
      </c>
      <c r="AF199" s="3">
        <v>25630.8687</v>
      </c>
      <c r="AG199" s="3">
        <v>26500.7071</v>
      </c>
      <c r="AH199" s="3">
        <v>27408.6328</v>
      </c>
      <c r="AI199" s="3">
        <v>27964.4102</v>
      </c>
      <c r="AJ199" s="3">
        <v>27770.9945</v>
      </c>
      <c r="AK199" s="3">
        <v>27086.4862</v>
      </c>
      <c r="AL199" s="3">
        <v>26355.3794</v>
      </c>
      <c r="AM199" s="3">
        <v>26945.8396</v>
      </c>
      <c r="AN199" s="3">
        <v>27690.1387</v>
      </c>
      <c r="AO199" s="3">
        <v>28374.2215</v>
      </c>
      <c r="AP199" s="3">
        <v>27641.6252</v>
      </c>
      <c r="AQ199" s="3">
        <v>29218.5265</v>
      </c>
      <c r="AR199" s="3">
        <v>28648.4929</v>
      </c>
      <c r="AS199" s="3">
        <v>30029.2124</v>
      </c>
      <c r="AT199" s="3">
        <v>31388.2285</v>
      </c>
      <c r="AU199" s="3">
        <f t="shared" si="2"/>
        <v>20027.83005</v>
      </c>
      <c r="AV199" s="3">
        <f t="shared" si="3"/>
        <v>19623.707</v>
      </c>
      <c r="AW199" s="3">
        <f t="shared" si="4"/>
        <v>27910.25095</v>
      </c>
      <c r="AX199" s="4">
        <f t="shared" si="5"/>
        <v>-0.02271085675</v>
      </c>
      <c r="AY199" s="4">
        <f t="shared" si="6"/>
        <v>0.03349119401</v>
      </c>
      <c r="AZ199" s="4">
        <f t="shared" si="7"/>
        <v>0.01216348925</v>
      </c>
    </row>
    <row r="200" ht="14.25" customHeight="1">
      <c r="A200" s="2" t="s">
        <v>344</v>
      </c>
      <c r="B200" s="3">
        <v>20986.6338</v>
      </c>
      <c r="C200" s="3">
        <v>21042.6018</v>
      </c>
      <c r="D200" s="3">
        <v>20933.522</v>
      </c>
      <c r="E200" s="3">
        <v>21288.4393</v>
      </c>
      <c r="F200" s="3">
        <v>21305.1004</v>
      </c>
      <c r="G200" s="3">
        <v>21411.052</v>
      </c>
      <c r="H200" s="3">
        <v>21772.4977</v>
      </c>
      <c r="I200" s="3">
        <v>21813.3006</v>
      </c>
      <c r="J200" s="3">
        <v>22217.7254</v>
      </c>
      <c r="K200" s="3">
        <v>22493.689</v>
      </c>
      <c r="L200" s="3">
        <v>22492.0569</v>
      </c>
      <c r="M200" s="3">
        <v>20183.7006</v>
      </c>
      <c r="N200" s="3">
        <v>18083.9832</v>
      </c>
      <c r="O200" s="3">
        <v>16920.8964</v>
      </c>
      <c r="P200" s="3">
        <v>15074.973</v>
      </c>
      <c r="Q200" s="3">
        <v>15755.7014</v>
      </c>
      <c r="R200" s="3">
        <v>15084.6297</v>
      </c>
      <c r="S200" s="3">
        <v>15202.2101</v>
      </c>
      <c r="T200" s="3">
        <v>14557.5242</v>
      </c>
      <c r="U200" s="3">
        <v>15248.9294</v>
      </c>
      <c r="V200" s="3">
        <v>16561.3548</v>
      </c>
      <c r="W200" s="3">
        <v>17483.2964</v>
      </c>
      <c r="X200" s="3">
        <v>18269.1603</v>
      </c>
      <c r="Y200" s="3">
        <v>19566.2847</v>
      </c>
      <c r="Z200" s="3">
        <v>20999.9627</v>
      </c>
      <c r="AA200" s="3">
        <v>22213.0331</v>
      </c>
      <c r="AB200" s="3">
        <v>23962.5936</v>
      </c>
      <c r="AC200" s="3">
        <v>25872.0335</v>
      </c>
      <c r="AD200" s="3">
        <v>26979.4243</v>
      </c>
      <c r="AE200" s="3">
        <v>24846.6565</v>
      </c>
      <c r="AF200" s="3">
        <v>25752.005</v>
      </c>
      <c r="AG200" s="3">
        <v>26651.0289</v>
      </c>
      <c r="AH200" s="3">
        <v>27557.3975</v>
      </c>
      <c r="AI200" s="3">
        <v>28095.2477</v>
      </c>
      <c r="AJ200" s="3">
        <v>27872.7359</v>
      </c>
      <c r="AK200" s="3">
        <v>27105.3013</v>
      </c>
      <c r="AL200" s="3">
        <v>26440.0099</v>
      </c>
      <c r="AM200" s="3">
        <v>27045.389</v>
      </c>
      <c r="AN200" s="3">
        <v>27812.6876</v>
      </c>
      <c r="AO200" s="3">
        <v>28501.1686</v>
      </c>
      <c r="AP200" s="3">
        <v>27760.5279</v>
      </c>
      <c r="AQ200" s="3">
        <v>29360.6138</v>
      </c>
      <c r="AR200" s="3">
        <v>28682.3335</v>
      </c>
      <c r="AS200" s="3">
        <v>30018.0846</v>
      </c>
      <c r="AT200" s="3">
        <v>31403.6832</v>
      </c>
      <c r="AU200" s="3">
        <f t="shared" si="2"/>
        <v>20534.67814</v>
      </c>
      <c r="AV200" s="3">
        <f t="shared" si="3"/>
        <v>19774.79238</v>
      </c>
      <c r="AW200" s="3">
        <f t="shared" si="4"/>
        <v>28003.88096</v>
      </c>
      <c r="AX200" s="4">
        <f t="shared" si="5"/>
        <v>-0.0233550764</v>
      </c>
      <c r="AY200" s="4">
        <f t="shared" si="6"/>
        <v>0.0330723303</v>
      </c>
      <c r="AZ200" s="4">
        <f t="shared" si="7"/>
        <v>0.0117902078</v>
      </c>
    </row>
    <row r="201" ht="14.25" customHeight="1">
      <c r="A201" s="2" t="s">
        <v>345</v>
      </c>
      <c r="B201" s="3">
        <v>22651.2726</v>
      </c>
      <c r="C201" s="3">
        <v>22841.1421</v>
      </c>
      <c r="D201" s="3">
        <v>22927.5218</v>
      </c>
      <c r="E201" s="3">
        <v>23338.3874</v>
      </c>
      <c r="F201" s="3">
        <v>23420.2044</v>
      </c>
      <c r="G201" s="3">
        <v>23801.6071</v>
      </c>
      <c r="H201" s="3">
        <v>24443.8514</v>
      </c>
      <c r="I201" s="3">
        <v>24461.9514</v>
      </c>
      <c r="J201" s="3">
        <v>24942.7165</v>
      </c>
      <c r="K201" s="3">
        <v>25244.2162</v>
      </c>
      <c r="L201" s="3">
        <v>25930.3582</v>
      </c>
      <c r="M201" s="3">
        <v>23108.9932</v>
      </c>
      <c r="N201" s="3">
        <v>20961.7871</v>
      </c>
      <c r="O201" s="3">
        <v>20393.0103</v>
      </c>
      <c r="P201" s="3">
        <v>18966.6527</v>
      </c>
      <c r="Q201" s="3">
        <v>20989.8588</v>
      </c>
      <c r="R201" s="3">
        <v>20150.7063</v>
      </c>
      <c r="S201" s="3">
        <v>20333.7975</v>
      </c>
      <c r="T201" s="3">
        <v>19150.5246</v>
      </c>
      <c r="U201" s="3">
        <v>20280.4559</v>
      </c>
      <c r="V201" s="3">
        <v>22233.3903</v>
      </c>
      <c r="W201" s="3">
        <v>23316.1455</v>
      </c>
      <c r="X201" s="3">
        <v>24323.057</v>
      </c>
      <c r="Y201" s="3">
        <v>26010.4654</v>
      </c>
      <c r="Z201" s="3">
        <v>27773.0025</v>
      </c>
      <c r="AA201" s="3">
        <v>29419.5973</v>
      </c>
      <c r="AB201" s="3">
        <v>31684.4361</v>
      </c>
      <c r="AC201" s="3">
        <v>34195.9494</v>
      </c>
      <c r="AD201" s="3">
        <v>35773.6175</v>
      </c>
      <c r="AE201" s="3">
        <v>32798.8042</v>
      </c>
      <c r="AF201" s="3">
        <v>34097.1293</v>
      </c>
      <c r="AG201" s="3">
        <v>35160.6536</v>
      </c>
      <c r="AH201" s="3">
        <v>36687.4195</v>
      </c>
      <c r="AI201" s="3">
        <v>37497.1845</v>
      </c>
      <c r="AJ201" s="3">
        <v>37299.3011</v>
      </c>
      <c r="AK201" s="3">
        <v>36423.1558</v>
      </c>
      <c r="AL201" s="3">
        <v>35191.515</v>
      </c>
      <c r="AM201" s="3">
        <v>35863.9519</v>
      </c>
      <c r="AN201" s="3">
        <v>36909.4054</v>
      </c>
      <c r="AO201" s="3">
        <v>37773.8959</v>
      </c>
      <c r="AP201" s="3">
        <v>36880.2271</v>
      </c>
      <c r="AQ201" s="3">
        <v>39173.6897</v>
      </c>
      <c r="AR201" s="3">
        <v>38474.7814</v>
      </c>
      <c r="AS201" s="3">
        <v>39872.289</v>
      </c>
      <c r="AT201" s="3">
        <v>41651.4206</v>
      </c>
      <c r="AU201" s="3">
        <f t="shared" si="2"/>
        <v>23162.24483</v>
      </c>
      <c r="AV201" s="3">
        <f t="shared" si="3"/>
        <v>26245.99639</v>
      </c>
      <c r="AW201" s="3">
        <f t="shared" si="4"/>
        <v>37263.73465</v>
      </c>
      <c r="AX201" s="4">
        <f t="shared" si="5"/>
        <v>-0.01260091514</v>
      </c>
      <c r="AY201" s="4">
        <f t="shared" si="6"/>
        <v>0.03239601838</v>
      </c>
      <c r="AZ201" s="4">
        <f t="shared" si="7"/>
        <v>0.0121740661</v>
      </c>
    </row>
    <row r="202" ht="14.25" customHeight="1">
      <c r="A202" s="2" t="s">
        <v>346</v>
      </c>
      <c r="B202" s="3">
        <v>1881.7042</v>
      </c>
      <c r="C202" s="3">
        <v>1923.0417</v>
      </c>
      <c r="D202" s="3">
        <v>1898.9322</v>
      </c>
      <c r="E202" s="3">
        <v>1953.2281</v>
      </c>
      <c r="F202" s="3">
        <v>1816.4837</v>
      </c>
      <c r="G202" s="3">
        <v>1842.7568</v>
      </c>
      <c r="H202" s="3">
        <v>1871.7093</v>
      </c>
      <c r="I202" s="3">
        <v>1821.6784</v>
      </c>
      <c r="J202" s="3">
        <v>1771.1774</v>
      </c>
      <c r="K202" s="3">
        <v>1777.7262</v>
      </c>
      <c r="L202" s="3">
        <v>1696.6066</v>
      </c>
      <c r="M202" s="3">
        <v>1605.8965</v>
      </c>
      <c r="N202" s="3">
        <v>1676.8222</v>
      </c>
      <c r="O202" s="3">
        <v>1473.3667</v>
      </c>
      <c r="P202" s="3">
        <v>933.2573</v>
      </c>
      <c r="Q202" s="3">
        <v>1615.3961</v>
      </c>
      <c r="R202" s="3">
        <v>1619.5575</v>
      </c>
      <c r="S202" s="3">
        <v>1651.1562</v>
      </c>
      <c r="T202" s="3">
        <v>1763.3961</v>
      </c>
      <c r="U202" s="3">
        <v>1879.7848</v>
      </c>
      <c r="V202" s="3">
        <v>1955.6165</v>
      </c>
      <c r="W202" s="3">
        <v>2039.1199</v>
      </c>
      <c r="X202" s="3">
        <v>2219.6361</v>
      </c>
      <c r="Y202" s="3">
        <v>2177.4551</v>
      </c>
      <c r="Z202" s="3">
        <v>2241.4746</v>
      </c>
      <c r="AA202" s="3">
        <v>2351.1681</v>
      </c>
      <c r="AB202" s="3">
        <v>2466.7411</v>
      </c>
      <c r="AC202" s="3">
        <v>2556.3998</v>
      </c>
      <c r="AD202" s="3">
        <v>2741.4298</v>
      </c>
      <c r="AE202" s="3">
        <v>2815.6422</v>
      </c>
      <c r="AF202" s="3">
        <v>2926.8157</v>
      </c>
      <c r="AG202" s="3">
        <v>3064.2074</v>
      </c>
      <c r="AH202" s="3">
        <v>3228.093</v>
      </c>
      <c r="AI202" s="3">
        <v>3274.4124</v>
      </c>
      <c r="AJ202" s="3">
        <v>3367.3445</v>
      </c>
      <c r="AK202" s="3">
        <v>3553.9928</v>
      </c>
      <c r="AL202" s="3">
        <v>3656.2125</v>
      </c>
      <c r="AM202" s="3">
        <v>3695.0389</v>
      </c>
      <c r="AN202" s="3">
        <v>3902.7491</v>
      </c>
      <c r="AO202" s="3">
        <v>4156.9458</v>
      </c>
      <c r="AP202" s="3">
        <v>3908.2661</v>
      </c>
      <c r="AQ202" s="3">
        <v>4213.4935</v>
      </c>
      <c r="AR202" s="3">
        <v>4422.1664</v>
      </c>
      <c r="AS202" s="3">
        <v>4638.9403</v>
      </c>
      <c r="AT202" s="3">
        <v>4988.3732</v>
      </c>
      <c r="AU202" s="3">
        <f t="shared" si="2"/>
        <v>1729.62582</v>
      </c>
      <c r="AV202" s="3">
        <f t="shared" si="3"/>
        <v>2177.041271</v>
      </c>
      <c r="AW202" s="3">
        <f t="shared" si="4"/>
        <v>3799.80344</v>
      </c>
      <c r="AX202" s="4">
        <f t="shared" si="5"/>
        <v>-0.04885565201</v>
      </c>
      <c r="AY202" s="4">
        <f t="shared" si="6"/>
        <v>0.04048447027</v>
      </c>
      <c r="AZ202" s="4">
        <f t="shared" si="7"/>
        <v>0.03542154756</v>
      </c>
    </row>
    <row r="203" ht="14.25" customHeight="1">
      <c r="A203" s="2" t="s">
        <v>347</v>
      </c>
      <c r="B203" s="3">
        <v>11937.4777</v>
      </c>
      <c r="C203" s="3">
        <v>11930.0621</v>
      </c>
      <c r="D203" s="3">
        <v>11825.7632</v>
      </c>
      <c r="E203" s="3">
        <v>11809.6037</v>
      </c>
      <c r="F203" s="3">
        <v>12724.2755</v>
      </c>
      <c r="G203" s="3">
        <v>13687.4627</v>
      </c>
      <c r="H203" s="3">
        <v>15137.095</v>
      </c>
      <c r="I203" s="3">
        <v>16125.001</v>
      </c>
      <c r="J203" s="3">
        <v>17679.1535</v>
      </c>
      <c r="K203" s="3">
        <v>18745.6803</v>
      </c>
      <c r="L203" s="3">
        <v>19798.6302</v>
      </c>
      <c r="M203" s="3">
        <v>19445.2242</v>
      </c>
      <c r="N203" s="3">
        <v>19947.4599</v>
      </c>
      <c r="O203" s="3">
        <v>20801.5889</v>
      </c>
      <c r="P203" s="3">
        <v>21380.3792</v>
      </c>
      <c r="Q203" s="3">
        <v>21979.7564</v>
      </c>
      <c r="R203" s="3">
        <v>22702.0269</v>
      </c>
      <c r="S203" s="3">
        <v>23701.001</v>
      </c>
      <c r="T203" s="3">
        <v>23069.3418</v>
      </c>
      <c r="U203" s="3">
        <v>23285.1338</v>
      </c>
      <c r="V203" s="3">
        <v>25894.4129</v>
      </c>
      <c r="W203" s="3">
        <v>26721.5725</v>
      </c>
      <c r="X203" s="3">
        <v>26750.4604</v>
      </c>
      <c r="Y203" s="3">
        <v>25397.4899</v>
      </c>
      <c r="Z203" s="3">
        <v>26025.1277</v>
      </c>
      <c r="AA203" s="3">
        <v>28255.3965</v>
      </c>
      <c r="AB203" s="3">
        <v>28827.0664</v>
      </c>
      <c r="AC203" s="3">
        <v>28630.1641</v>
      </c>
      <c r="AD203" s="3">
        <v>30011.9486</v>
      </c>
      <c r="AE203" s="3">
        <v>28666.7996</v>
      </c>
      <c r="AF203" s="3">
        <v>28281.8494</v>
      </c>
      <c r="AG203" s="3">
        <v>28390.9814</v>
      </c>
      <c r="AH203" s="3">
        <v>27899.076</v>
      </c>
      <c r="AI203" s="3">
        <v>29210.1719</v>
      </c>
      <c r="AJ203" s="3">
        <v>31173.5139</v>
      </c>
      <c r="AK203" s="3">
        <v>31212.8796</v>
      </c>
      <c r="AL203" s="3">
        <v>32209.4188</v>
      </c>
      <c r="AM203" s="3">
        <v>31994.5491</v>
      </c>
      <c r="AN203" s="3">
        <v>32418.4223</v>
      </c>
      <c r="AO203" s="3">
        <v>33102.2863</v>
      </c>
      <c r="AP203" s="3">
        <v>27919.5889</v>
      </c>
      <c r="AQ203" s="3">
        <v>27810.6046</v>
      </c>
      <c r="AR203" s="3">
        <v>30674.119</v>
      </c>
      <c r="AS203" s="3">
        <v>31315.1493</v>
      </c>
      <c r="AT203" s="3">
        <v>31674.8272</v>
      </c>
      <c r="AU203" s="3">
        <f t="shared" si="2"/>
        <v>16198.32381</v>
      </c>
      <c r="AV203" s="3">
        <f t="shared" si="3"/>
        <v>26281.28158</v>
      </c>
      <c r="AW203" s="3">
        <f t="shared" si="4"/>
        <v>30352.49585</v>
      </c>
      <c r="AX203" s="4">
        <f t="shared" si="5"/>
        <v>0.04250650509</v>
      </c>
      <c r="AY203" s="4">
        <f t="shared" si="6"/>
        <v>0.01915382379</v>
      </c>
      <c r="AZ203" s="4">
        <f t="shared" si="7"/>
        <v>0.007848549104</v>
      </c>
    </row>
    <row r="204" ht="14.25" customHeight="1">
      <c r="A204" s="2" t="s">
        <v>348</v>
      </c>
      <c r="B204" s="3">
        <v>17837.476</v>
      </c>
      <c r="C204" s="3">
        <v>17946.2215</v>
      </c>
      <c r="D204" s="3">
        <v>18132.9458</v>
      </c>
      <c r="E204" s="3">
        <v>18733.9598</v>
      </c>
      <c r="F204" s="3">
        <v>19565.4532</v>
      </c>
      <c r="G204" s="3">
        <v>20485.9381</v>
      </c>
      <c r="H204" s="3">
        <v>23350.7555</v>
      </c>
      <c r="I204" s="3">
        <v>23373.3244</v>
      </c>
      <c r="J204" s="3">
        <v>25686.7595</v>
      </c>
      <c r="K204" s="3">
        <v>26227.9685</v>
      </c>
      <c r="L204" s="3">
        <v>25808.3451</v>
      </c>
      <c r="M204" s="3">
        <v>25188.3672</v>
      </c>
      <c r="N204" s="3">
        <v>26446.9905</v>
      </c>
      <c r="O204" s="3">
        <v>25911.7571</v>
      </c>
      <c r="P204" s="3">
        <v>25752.9353</v>
      </c>
      <c r="Q204" s="3">
        <v>25418.9946</v>
      </c>
      <c r="R204" s="3">
        <v>26532.4263</v>
      </c>
      <c r="S204" s="3">
        <v>25786.8133</v>
      </c>
      <c r="T204" s="3">
        <v>26557.0694</v>
      </c>
      <c r="U204" s="3">
        <v>26161.9409</v>
      </c>
      <c r="V204" s="3">
        <v>25224.7639</v>
      </c>
      <c r="W204" s="3">
        <v>23767.7121</v>
      </c>
      <c r="X204" s="3">
        <v>23377.127</v>
      </c>
      <c r="Y204" s="3">
        <v>23831.6656</v>
      </c>
      <c r="Z204" s="3">
        <v>24979.8642</v>
      </c>
      <c r="AA204" s="3">
        <v>24307.3902</v>
      </c>
      <c r="AB204" s="3">
        <v>25245.6043</v>
      </c>
      <c r="AC204" s="3">
        <v>25129.3029</v>
      </c>
      <c r="AD204" s="3">
        <v>25720.7363</v>
      </c>
      <c r="AE204" s="3">
        <v>24838.2777</v>
      </c>
      <c r="AF204" s="3">
        <v>24467.5948</v>
      </c>
      <c r="AG204" s="3">
        <v>25069.1027</v>
      </c>
      <c r="AH204" s="3">
        <v>24611.9468</v>
      </c>
      <c r="AI204" s="3">
        <v>23683.017</v>
      </c>
      <c r="AJ204" s="3">
        <v>23604.3963</v>
      </c>
      <c r="AK204" s="3">
        <v>23289.4195</v>
      </c>
      <c r="AL204" s="3">
        <v>23717.1914</v>
      </c>
      <c r="AM204" s="3">
        <v>24131.2343</v>
      </c>
      <c r="AN204" s="3">
        <v>24522.8565</v>
      </c>
      <c r="AO204" s="3">
        <v>24062.0955</v>
      </c>
      <c r="AP204" s="3">
        <v>18037.5835</v>
      </c>
      <c r="AQ204" s="3">
        <v>19848.1817</v>
      </c>
      <c r="AR204" s="3">
        <v>23710.4257</v>
      </c>
      <c r="AS204" s="3">
        <v>24055.7248</v>
      </c>
      <c r="AT204" s="3">
        <v>24767.4104</v>
      </c>
      <c r="AU204" s="3">
        <f t="shared" si="2"/>
        <v>22696.61317</v>
      </c>
      <c r="AV204" s="3">
        <f t="shared" si="3"/>
        <v>25104.33529</v>
      </c>
      <c r="AW204" s="3">
        <f t="shared" si="4"/>
        <v>23438.54539</v>
      </c>
      <c r="AX204" s="4">
        <f t="shared" si="5"/>
        <v>0.02657901207</v>
      </c>
      <c r="AY204" s="4">
        <f t="shared" si="6"/>
        <v>-0.001649409265</v>
      </c>
      <c r="AZ204" s="4">
        <f t="shared" si="7"/>
        <v>-0.0008644424065</v>
      </c>
    </row>
    <row r="205" ht="14.25" customHeight="1">
      <c r="A205" s="2" t="s">
        <v>349</v>
      </c>
      <c r="B205" s="3">
        <v>8126.1311</v>
      </c>
      <c r="C205" s="3">
        <v>8258.8493</v>
      </c>
      <c r="D205" s="3">
        <v>8374.7933</v>
      </c>
      <c r="E205" s="3">
        <v>8306.7753</v>
      </c>
      <c r="F205" s="3">
        <v>8617.3727</v>
      </c>
      <c r="G205" s="3">
        <v>8911.5185</v>
      </c>
      <c r="H205" s="3">
        <v>9220.2726</v>
      </c>
      <c r="I205" s="3">
        <v>9088.8448</v>
      </c>
      <c r="J205" s="3">
        <v>10210.7281</v>
      </c>
      <c r="K205" s="3">
        <v>10204.6912</v>
      </c>
      <c r="L205" s="3">
        <v>10481.9709</v>
      </c>
      <c r="M205" s="3">
        <v>10535.0581</v>
      </c>
      <c r="N205" s="3">
        <v>11080.7234</v>
      </c>
      <c r="O205" s="3">
        <v>11187.9117</v>
      </c>
      <c r="P205" s="3">
        <v>10840.5403</v>
      </c>
      <c r="Q205" s="3">
        <v>11539.7071</v>
      </c>
      <c r="R205" s="3">
        <v>11640.9047</v>
      </c>
      <c r="S205" s="3">
        <v>12012.2391</v>
      </c>
      <c r="T205" s="3">
        <v>12593.0193</v>
      </c>
      <c r="U205" s="3">
        <v>13116.1501</v>
      </c>
      <c r="V205" s="3">
        <v>13370.1119</v>
      </c>
      <c r="W205" s="3">
        <v>13491.0329</v>
      </c>
      <c r="X205" s="3">
        <v>14019.4632</v>
      </c>
      <c r="Y205" s="3">
        <v>14733.2381</v>
      </c>
      <c r="Z205" s="3">
        <v>15135.1714</v>
      </c>
      <c r="AA205" s="3">
        <v>15334.433</v>
      </c>
      <c r="AB205" s="3">
        <v>16260.6492</v>
      </c>
      <c r="AC205" s="3">
        <v>16692.3519</v>
      </c>
      <c r="AD205" s="3">
        <v>16672.0756</v>
      </c>
      <c r="AE205" s="3">
        <v>16424.6115</v>
      </c>
      <c r="AF205" s="3">
        <v>15642.0811</v>
      </c>
      <c r="AG205" s="3">
        <v>15516.6901</v>
      </c>
      <c r="AH205" s="3">
        <v>15662.5419</v>
      </c>
      <c r="AI205" s="3">
        <v>15973.1393</v>
      </c>
      <c r="AJ205" s="3">
        <v>16108.0694</v>
      </c>
      <c r="AK205" s="3">
        <v>16544.2421</v>
      </c>
      <c r="AL205" s="3">
        <v>17201.151</v>
      </c>
      <c r="AM205" s="3">
        <v>17441.4723</v>
      </c>
      <c r="AN205" s="3">
        <v>17977.4141</v>
      </c>
      <c r="AO205" s="3">
        <v>18095.3858</v>
      </c>
      <c r="AP205" s="3">
        <v>17359.4451</v>
      </c>
      <c r="AQ205" s="3">
        <v>17665.2499</v>
      </c>
      <c r="AR205" s="3">
        <v>18294.2327</v>
      </c>
      <c r="AS205" s="3">
        <v>19502.7975</v>
      </c>
      <c r="AT205" s="3">
        <v>20492.6078</v>
      </c>
      <c r="AU205" s="3">
        <f t="shared" si="2"/>
        <v>9563.078753</v>
      </c>
      <c r="AV205" s="3">
        <f t="shared" si="3"/>
        <v>14392.53228</v>
      </c>
      <c r="AW205" s="3">
        <f t="shared" si="4"/>
        <v>17298.43467</v>
      </c>
      <c r="AX205" s="4">
        <f t="shared" si="5"/>
        <v>0.0207996381</v>
      </c>
      <c r="AY205" s="4">
        <f t="shared" si="6"/>
        <v>0.02553390449</v>
      </c>
      <c r="AZ205" s="4">
        <f t="shared" si="7"/>
        <v>0.02006639094</v>
      </c>
    </row>
    <row r="206" ht="14.25" customHeight="1">
      <c r="A206" s="2" t="s">
        <v>350</v>
      </c>
      <c r="B206" s="3">
        <v>8415.5506</v>
      </c>
      <c r="C206" s="3">
        <v>7514.6427</v>
      </c>
      <c r="D206" s="3">
        <v>7286.1466</v>
      </c>
      <c r="E206" s="3">
        <v>7163.2256</v>
      </c>
      <c r="F206" s="3">
        <v>7128.0723</v>
      </c>
      <c r="G206" s="3">
        <v>7302.0694</v>
      </c>
      <c r="H206" s="3">
        <v>7608.3334</v>
      </c>
      <c r="I206" s="3">
        <v>7528.3733</v>
      </c>
      <c r="J206" s="3">
        <v>7297.9541</v>
      </c>
      <c r="K206" s="3">
        <v>7474.6434</v>
      </c>
      <c r="L206" s="3">
        <v>7084.8038</v>
      </c>
      <c r="M206" s="3">
        <v>6875.4612</v>
      </c>
      <c r="N206" s="3">
        <v>6744.348</v>
      </c>
      <c r="O206" s="3">
        <v>6842.0771</v>
      </c>
      <c r="P206" s="3">
        <v>6513.1596</v>
      </c>
      <c r="Q206" s="3">
        <v>6767.1553</v>
      </c>
      <c r="R206" s="3">
        <v>7156.5718</v>
      </c>
      <c r="S206" s="3">
        <v>7162.3025</v>
      </c>
      <c r="T206" s="3">
        <v>7252.0702</v>
      </c>
      <c r="U206" s="3">
        <v>7425.6442</v>
      </c>
      <c r="V206" s="3">
        <v>7908.5976</v>
      </c>
      <c r="W206" s="3">
        <v>8518.6643</v>
      </c>
      <c r="X206" s="3">
        <v>8723.4301</v>
      </c>
      <c r="Y206" s="3">
        <v>9095.5007</v>
      </c>
      <c r="Z206" s="3">
        <v>9382.4574</v>
      </c>
      <c r="AA206" s="3">
        <v>9759.528</v>
      </c>
      <c r="AB206" s="3">
        <v>9779.8353</v>
      </c>
      <c r="AC206" s="3">
        <v>10331.0953</v>
      </c>
      <c r="AD206" s="3">
        <v>10041.0617</v>
      </c>
      <c r="AE206" s="3">
        <v>9839.6036</v>
      </c>
      <c r="AF206" s="3">
        <v>9910.9101</v>
      </c>
      <c r="AG206" s="3">
        <v>10000.3701</v>
      </c>
      <c r="AH206" s="3">
        <v>9510.1476</v>
      </c>
      <c r="AI206" s="3">
        <v>9621.9149</v>
      </c>
      <c r="AJ206" s="3">
        <v>9746.3744</v>
      </c>
      <c r="AK206" s="3">
        <v>10214.5973</v>
      </c>
      <c r="AL206" s="3">
        <v>10555.2838</v>
      </c>
      <c r="AM206" s="3">
        <v>10378.556</v>
      </c>
      <c r="AN206" s="3">
        <v>10560.0914</v>
      </c>
      <c r="AO206" s="3">
        <v>10745.8575</v>
      </c>
      <c r="AP206" s="3">
        <v>9566.0313</v>
      </c>
      <c r="AQ206" s="3">
        <v>9304.151</v>
      </c>
      <c r="AR206" s="3">
        <v>9259.2672</v>
      </c>
      <c r="AS206" s="3">
        <v>10239.7122</v>
      </c>
      <c r="AT206" s="3">
        <v>11147.9662</v>
      </c>
      <c r="AU206" s="3">
        <f t="shared" si="2"/>
        <v>7251.924073</v>
      </c>
      <c r="AV206" s="3">
        <f t="shared" si="3"/>
        <v>8741.168764</v>
      </c>
      <c r="AW206" s="3">
        <f t="shared" si="4"/>
        <v>10050.74873</v>
      </c>
      <c r="AX206" s="4">
        <f t="shared" si="5"/>
        <v>-0.01813753935</v>
      </c>
      <c r="AY206" s="4">
        <f t="shared" si="6"/>
        <v>0.02709885981</v>
      </c>
      <c r="AZ206" s="4">
        <f t="shared" si="7"/>
        <v>0.007789825135</v>
      </c>
    </row>
    <row r="207" ht="14.25" customHeight="1">
      <c r="A207" s="2" t="s">
        <v>351</v>
      </c>
      <c r="B207" s="3">
        <v>57776.2637</v>
      </c>
      <c r="C207" s="3">
        <v>57029.4422</v>
      </c>
      <c r="D207" s="3">
        <v>56092.4754</v>
      </c>
      <c r="E207" s="3">
        <v>55655.0514</v>
      </c>
      <c r="F207" s="3">
        <v>56514.0456</v>
      </c>
      <c r="G207" s="3">
        <v>57146.7001</v>
      </c>
      <c r="H207" s="3">
        <v>57744.955</v>
      </c>
      <c r="I207" s="3">
        <v>58829.4914</v>
      </c>
      <c r="J207" s="3">
        <v>60251.0446</v>
      </c>
      <c r="K207" s="3">
        <v>60876.4204</v>
      </c>
      <c r="L207" s="3">
        <v>60745.1034</v>
      </c>
      <c r="M207" s="3">
        <v>60379.9685</v>
      </c>
      <c r="N207" s="3">
        <v>59644.0153</v>
      </c>
      <c r="O207" s="3">
        <v>63569.0658</v>
      </c>
      <c r="P207" s="3">
        <v>66714.1913</v>
      </c>
      <c r="Q207" s="3">
        <v>71696.8566</v>
      </c>
      <c r="R207" s="3">
        <v>74192.377</v>
      </c>
      <c r="S207" s="3">
        <v>76842.0478</v>
      </c>
      <c r="T207" s="3">
        <v>81423.8824</v>
      </c>
      <c r="U207" s="3">
        <v>87569.7545</v>
      </c>
      <c r="V207" s="3">
        <v>88264.0293</v>
      </c>
      <c r="W207" s="3">
        <v>91904.2107</v>
      </c>
      <c r="X207" s="3">
        <v>90868.4321</v>
      </c>
      <c r="Y207" s="3">
        <v>93140.305</v>
      </c>
      <c r="Z207" s="3">
        <v>96172.2606</v>
      </c>
      <c r="AA207" s="3">
        <v>97098.6582</v>
      </c>
      <c r="AB207" s="3">
        <v>99535.9485</v>
      </c>
      <c r="AC207" s="3">
        <v>101732.8401</v>
      </c>
      <c r="AD207" s="3">
        <v>102125.8935</v>
      </c>
      <c r="AE207" s="3">
        <v>87910.6601</v>
      </c>
      <c r="AF207" s="3">
        <v>82307.5048</v>
      </c>
      <c r="AG207" s="3">
        <v>70621.992</v>
      </c>
      <c r="AH207" s="3">
        <v>62760.5243</v>
      </c>
      <c r="AI207" s="3">
        <v>60553.6619</v>
      </c>
      <c r="AJ207" s="3">
        <v>59811.2276</v>
      </c>
      <c r="AK207" s="3">
        <v>55760.3442</v>
      </c>
      <c r="AL207" s="3">
        <v>56648.2541</v>
      </c>
      <c r="AM207" s="3">
        <v>56379.2389</v>
      </c>
      <c r="AN207" s="3">
        <v>56403.1691</v>
      </c>
      <c r="AO207" s="3">
        <v>57042.7035</v>
      </c>
      <c r="AP207" s="3">
        <v>52776.249</v>
      </c>
      <c r="AQ207" s="3">
        <v>60128.0035</v>
      </c>
      <c r="AR207" s="3">
        <v>65325.2429</v>
      </c>
      <c r="AS207" s="3">
        <v>66855.0803</v>
      </c>
      <c r="AT207" s="3">
        <v>67993.3599</v>
      </c>
      <c r="AU207" s="3">
        <f t="shared" si="2"/>
        <v>59264.54894</v>
      </c>
      <c r="AV207" s="3">
        <f t="shared" si="3"/>
        <v>90627.2357</v>
      </c>
      <c r="AW207" s="3">
        <f t="shared" si="4"/>
        <v>62091.10373</v>
      </c>
      <c r="AX207" s="4">
        <f t="shared" si="5"/>
        <v>0.01032722322</v>
      </c>
      <c r="AY207" s="4">
        <f t="shared" si="6"/>
        <v>0.01466898941</v>
      </c>
      <c r="AZ207" s="4">
        <f t="shared" si="7"/>
        <v>-0.002705729008</v>
      </c>
    </row>
    <row r="208" ht="14.25" customHeight="1">
      <c r="A208" s="2" t="s">
        <v>352</v>
      </c>
      <c r="B208" s="3">
        <v>9115.4626</v>
      </c>
      <c r="C208" s="3">
        <v>7985.8115</v>
      </c>
      <c r="D208" s="3">
        <v>8076.1249</v>
      </c>
      <c r="E208" s="3">
        <v>7644.3858</v>
      </c>
      <c r="F208" s="3">
        <v>7062.3956</v>
      </c>
      <c r="G208" s="3">
        <v>7556.8907</v>
      </c>
      <c r="H208" s="3">
        <v>6949.9842</v>
      </c>
      <c r="I208" s="3">
        <v>6565.1986</v>
      </c>
      <c r="J208" s="3">
        <v>6492.8305</v>
      </c>
      <c r="K208" s="3">
        <v>6493.4506</v>
      </c>
      <c r="L208" s="3">
        <v>6196.5697</v>
      </c>
      <c r="M208" s="3">
        <v>6166.6757</v>
      </c>
      <c r="N208" s="3">
        <v>6126.3112</v>
      </c>
      <c r="O208" s="3">
        <v>6109.4844</v>
      </c>
      <c r="P208" s="3">
        <v>6160.1919</v>
      </c>
      <c r="Q208" s="3">
        <v>6194.4602</v>
      </c>
      <c r="R208" s="3">
        <v>6191.1933</v>
      </c>
      <c r="S208" s="3">
        <v>6156.7258</v>
      </c>
      <c r="T208" s="3">
        <v>6209.2328</v>
      </c>
      <c r="U208" s="3">
        <v>6253.1963</v>
      </c>
      <c r="V208" s="3">
        <v>6165.7012</v>
      </c>
      <c r="W208" s="3">
        <v>6203.1919</v>
      </c>
      <c r="X208" s="3">
        <v>6120.9514</v>
      </c>
      <c r="Y208" s="3">
        <v>6312.846</v>
      </c>
      <c r="Z208" s="3">
        <v>6332.995</v>
      </c>
      <c r="AA208" s="3">
        <v>6568.2273</v>
      </c>
      <c r="AB208" s="3">
        <v>6958.8212</v>
      </c>
      <c r="AC208" s="3">
        <v>6989.4683</v>
      </c>
      <c r="AD208" s="3">
        <v>7329.8918</v>
      </c>
      <c r="AE208" s="3">
        <v>7321.1988</v>
      </c>
      <c r="AF208" s="3">
        <v>7620.5547</v>
      </c>
      <c r="AG208" s="3">
        <v>7771.8909</v>
      </c>
      <c r="AH208" s="3">
        <v>7848.3841</v>
      </c>
      <c r="AI208" s="3">
        <v>8059.9957</v>
      </c>
      <c r="AJ208" s="3">
        <v>8406.2109</v>
      </c>
      <c r="AK208" s="3">
        <v>8538.0349</v>
      </c>
      <c r="AL208" s="3">
        <v>8729.0933</v>
      </c>
      <c r="AM208" s="3">
        <v>8883.94</v>
      </c>
      <c r="AN208" s="3">
        <v>8959.1652</v>
      </c>
      <c r="AO208" s="3">
        <v>8980.2721</v>
      </c>
      <c r="AP208" s="3">
        <v>9024.5789</v>
      </c>
      <c r="AQ208" s="3">
        <v>8976.6288</v>
      </c>
      <c r="AR208" s="3">
        <v>8709.044</v>
      </c>
      <c r="AS208" s="3">
        <v>8546.0635</v>
      </c>
      <c r="AT208" s="3">
        <v>8380.4253</v>
      </c>
      <c r="AU208" s="3">
        <f t="shared" si="2"/>
        <v>6980.11786</v>
      </c>
      <c r="AV208" s="3">
        <f t="shared" si="3"/>
        <v>6508.117221</v>
      </c>
      <c r="AW208" s="3">
        <f t="shared" si="4"/>
        <v>8495.61882</v>
      </c>
      <c r="AX208" s="4">
        <f t="shared" si="5"/>
        <v>-0.02760220298</v>
      </c>
      <c r="AY208" s="4">
        <f t="shared" si="6"/>
        <v>0.01200858154</v>
      </c>
      <c r="AZ208" s="4">
        <f t="shared" si="7"/>
        <v>0.005399178393</v>
      </c>
    </row>
    <row r="209" ht="14.25" customHeight="1">
      <c r="A209" s="2" t="s">
        <v>353</v>
      </c>
      <c r="B209" s="3">
        <v>227793.7578</v>
      </c>
      <c r="C209" s="3">
        <v>217704.5477</v>
      </c>
      <c r="D209" s="3">
        <v>161519.4146</v>
      </c>
      <c r="E209" s="3">
        <v>126960.9263</v>
      </c>
      <c r="F209" s="3">
        <v>113607.5455</v>
      </c>
      <c r="G209" s="3">
        <v>96500.7613</v>
      </c>
      <c r="H209" s="3">
        <v>106365.8902</v>
      </c>
      <c r="I209" s="3">
        <v>93517.3558</v>
      </c>
      <c r="J209" s="3">
        <v>100024.4895</v>
      </c>
      <c r="K209" s="3">
        <v>94393.3931</v>
      </c>
      <c r="L209" s="3">
        <v>103179.5052</v>
      </c>
      <c r="M209" s="3">
        <v>112722.3382</v>
      </c>
      <c r="N209" s="3">
        <v>111468.0999</v>
      </c>
      <c r="O209" s="3">
        <v>104686.4323</v>
      </c>
      <c r="P209" s="3">
        <v>100321.258</v>
      </c>
      <c r="Q209" s="3">
        <v>95861.2679</v>
      </c>
      <c r="R209" s="3">
        <v>93871.8707</v>
      </c>
      <c r="S209" s="3">
        <v>90594.7415</v>
      </c>
      <c r="T209" s="3">
        <v>89013.0381</v>
      </c>
      <c r="U209" s="3">
        <v>81821.2337</v>
      </c>
      <c r="V209" s="3">
        <v>82424.6489</v>
      </c>
      <c r="W209" s="3">
        <v>77368.2539</v>
      </c>
      <c r="X209" s="3">
        <v>71132.9279</v>
      </c>
      <c r="Y209" s="3">
        <v>74563.823</v>
      </c>
      <c r="Z209" s="3">
        <v>75596.5648</v>
      </c>
      <c r="AA209" s="3">
        <v>74761.8103</v>
      </c>
      <c r="AB209" s="3">
        <v>71875.9469</v>
      </c>
      <c r="AC209" s="3">
        <v>68432.235</v>
      </c>
      <c r="AD209" s="3">
        <v>67999.899</v>
      </c>
      <c r="AE209" s="3">
        <v>62373.7947</v>
      </c>
      <c r="AF209" s="3">
        <v>61500.6253</v>
      </c>
      <c r="AG209" s="3">
        <v>64271.244</v>
      </c>
      <c r="AH209" s="3">
        <v>64023.1226</v>
      </c>
      <c r="AI209" s="3">
        <v>62443.8621</v>
      </c>
      <c r="AJ209" s="3">
        <v>61817.5042</v>
      </c>
      <c r="AK209" s="3">
        <v>61791.4104</v>
      </c>
      <c r="AL209" s="3">
        <v>61216.2133</v>
      </c>
      <c r="AM209" s="3">
        <v>61097.3218</v>
      </c>
      <c r="AN209" s="3">
        <v>64106.8211</v>
      </c>
      <c r="AO209" s="3">
        <v>64504.5306</v>
      </c>
      <c r="AP209" s="3">
        <v>60438.8865</v>
      </c>
      <c r="AQ209" s="3">
        <v>61933.4925</v>
      </c>
      <c r="AR209" s="3">
        <v>65165.3026</v>
      </c>
      <c r="AS209" s="3">
        <v>62155.0952</v>
      </c>
      <c r="AT209" s="3">
        <v>61460.5464</v>
      </c>
      <c r="AU209" s="3">
        <f t="shared" si="2"/>
        <v>124717.7144</v>
      </c>
      <c r="AV209" s="3">
        <f t="shared" si="3"/>
        <v>77273.62774</v>
      </c>
      <c r="AW209" s="3">
        <f t="shared" si="4"/>
        <v>62528.39857</v>
      </c>
      <c r="AX209" s="4">
        <f t="shared" si="5"/>
        <v>-0.0568933732</v>
      </c>
      <c r="AY209" s="4">
        <f t="shared" si="6"/>
        <v>-0.03023054749</v>
      </c>
      <c r="AZ209" s="4">
        <f t="shared" si="7"/>
        <v>-0.003188966414</v>
      </c>
    </row>
    <row r="210" ht="14.25" customHeight="1">
      <c r="A210" s="2" t="s">
        <v>354</v>
      </c>
      <c r="B210" s="3">
        <v>5106.9194</v>
      </c>
      <c r="C210" s="3">
        <v>4958.9864</v>
      </c>
      <c r="D210" s="3">
        <v>5607.6532</v>
      </c>
      <c r="E210" s="3">
        <v>5611.812</v>
      </c>
      <c r="F210" s="3">
        <v>5272.3989</v>
      </c>
      <c r="G210" s="3">
        <v>5339.4776</v>
      </c>
      <c r="H210" s="3">
        <v>5437.2016</v>
      </c>
      <c r="I210" s="3">
        <v>5496.8938</v>
      </c>
      <c r="J210" s="3">
        <v>5604.3979</v>
      </c>
      <c r="K210" s="3">
        <v>5358.7694</v>
      </c>
      <c r="L210" s="3">
        <v>5395.5397</v>
      </c>
      <c r="M210" s="3">
        <v>5205.337</v>
      </c>
      <c r="N210" s="3">
        <v>5152.7793</v>
      </c>
      <c r="O210" s="3">
        <v>4879.0807</v>
      </c>
      <c r="P210" s="3">
        <v>4863.8755</v>
      </c>
      <c r="Q210" s="3">
        <v>4938.7447</v>
      </c>
      <c r="R210" s="3">
        <v>5042.2471</v>
      </c>
      <c r="S210" s="3">
        <v>4965.0291</v>
      </c>
      <c r="T210" s="3">
        <v>5023.5861</v>
      </c>
      <c r="U210" s="3">
        <v>5331.0285</v>
      </c>
      <c r="V210" s="3">
        <v>5384.8108</v>
      </c>
      <c r="W210" s="3">
        <v>5458.6657</v>
      </c>
      <c r="X210" s="3">
        <v>5294.933</v>
      </c>
      <c r="Y210" s="3">
        <v>5417.9458</v>
      </c>
      <c r="Z210" s="3">
        <v>5505.5798</v>
      </c>
      <c r="AA210" s="3">
        <v>5580.1918</v>
      </c>
      <c r="AB210" s="3">
        <v>5553.1792</v>
      </c>
      <c r="AC210" s="3">
        <v>5554.5155</v>
      </c>
      <c r="AD210" s="3">
        <v>5578.9445</v>
      </c>
      <c r="AE210" s="3">
        <v>5583.287</v>
      </c>
      <c r="AF210" s="3">
        <v>5623.7175</v>
      </c>
      <c r="AG210" s="3">
        <v>5548.8512</v>
      </c>
      <c r="AH210" s="3">
        <v>5616.264</v>
      </c>
      <c r="AI210" s="3">
        <v>5578.7637</v>
      </c>
      <c r="AJ210" s="3">
        <v>5725.5139</v>
      </c>
      <c r="AK210" s="3">
        <v>5873.0617</v>
      </c>
      <c r="AL210" s="3">
        <v>6044.799</v>
      </c>
      <c r="AM210" s="3">
        <v>6268.924</v>
      </c>
      <c r="AN210" s="3">
        <v>6424.7806</v>
      </c>
      <c r="AO210" s="3">
        <v>6495.2176</v>
      </c>
      <c r="AP210" s="3">
        <v>6346.8133</v>
      </c>
      <c r="AQ210" s="3">
        <v>6550.0366</v>
      </c>
      <c r="AR210" s="3">
        <v>6529.9829</v>
      </c>
      <c r="AS210" s="3">
        <v>6617.3869</v>
      </c>
      <c r="AT210" s="3">
        <v>6833.3095</v>
      </c>
      <c r="AU210" s="3">
        <f t="shared" si="2"/>
        <v>5286.074827</v>
      </c>
      <c r="AV210" s="3">
        <f t="shared" si="3"/>
        <v>5376.710279</v>
      </c>
      <c r="AW210" s="3">
        <f t="shared" si="4"/>
        <v>6138.494827</v>
      </c>
      <c r="AX210" s="4">
        <f t="shared" si="5"/>
        <v>-0.003476857197</v>
      </c>
      <c r="AY210" s="4">
        <f t="shared" si="6"/>
        <v>0.00880038926</v>
      </c>
      <c r="AZ210" s="4">
        <f t="shared" si="7"/>
        <v>0.01498387754</v>
      </c>
    </row>
    <row r="211" ht="14.25" customHeight="1">
      <c r="A211" s="2" t="s">
        <v>355</v>
      </c>
      <c r="B211" s="3">
        <v>15159.6602</v>
      </c>
      <c r="C211" s="3">
        <v>15188.8418</v>
      </c>
      <c r="D211" s="3">
        <v>15267.2967</v>
      </c>
      <c r="E211" s="3">
        <v>15343.2192</v>
      </c>
      <c r="F211" s="3">
        <v>15411.6484</v>
      </c>
      <c r="G211" s="3">
        <v>15485.4531</v>
      </c>
      <c r="H211" s="3">
        <v>15559.3589</v>
      </c>
      <c r="I211" s="3">
        <v>15614.7547</v>
      </c>
      <c r="J211" s="3">
        <v>15676.5964</v>
      </c>
      <c r="K211" s="3">
        <v>15754.0588</v>
      </c>
      <c r="L211" s="3">
        <v>18372.3833</v>
      </c>
      <c r="M211" s="3">
        <v>16188.3636</v>
      </c>
      <c r="N211" s="3">
        <v>11603.319</v>
      </c>
      <c r="O211" s="3">
        <v>8057.9498</v>
      </c>
      <c r="P211" s="3">
        <v>8252.2698</v>
      </c>
      <c r="Q211" s="3">
        <v>8704.0314</v>
      </c>
      <c r="R211" s="3">
        <v>9231.8022</v>
      </c>
      <c r="S211" s="3">
        <v>9884.7199</v>
      </c>
      <c r="T211" s="3">
        <v>10201.2628</v>
      </c>
      <c r="U211" s="3">
        <v>9217.1392</v>
      </c>
      <c r="V211" s="3">
        <v>9819.2377</v>
      </c>
      <c r="W211" s="3">
        <v>10461.8927</v>
      </c>
      <c r="X211" s="3">
        <v>11192.673</v>
      </c>
      <c r="Y211" s="3">
        <v>11662.6572</v>
      </c>
      <c r="Z211" s="3">
        <v>12672.6266</v>
      </c>
      <c r="AA211" s="3">
        <v>13376.8387</v>
      </c>
      <c r="AB211" s="3">
        <v>14090.1967</v>
      </c>
      <c r="AC211" s="3">
        <v>14993.1118</v>
      </c>
      <c r="AD211" s="3">
        <v>15894.289</v>
      </c>
      <c r="AE211" s="3">
        <v>15436.6333</v>
      </c>
      <c r="AF211" s="3">
        <v>15479.234</v>
      </c>
      <c r="AG211" s="3">
        <v>15895.4722</v>
      </c>
      <c r="AH211" s="3">
        <v>15808.6962</v>
      </c>
      <c r="AI211" s="3">
        <v>16346.1041</v>
      </c>
      <c r="AJ211" s="3">
        <v>16189.957</v>
      </c>
      <c r="AK211" s="3">
        <v>16552.13</v>
      </c>
      <c r="AL211" s="3">
        <v>17191.7714</v>
      </c>
      <c r="AM211" s="3">
        <v>17669.7329</v>
      </c>
      <c r="AN211" s="3">
        <v>18565.526</v>
      </c>
      <c r="AO211" s="3">
        <v>19520.3697</v>
      </c>
      <c r="AP211" s="3">
        <v>19469.5838</v>
      </c>
      <c r="AQ211" s="3">
        <v>21186.2139</v>
      </c>
      <c r="AR211" s="3">
        <v>21937.1525</v>
      </c>
      <c r="AS211" s="3">
        <v>22693.5981</v>
      </c>
      <c r="AT211" s="3">
        <v>23680.4722</v>
      </c>
      <c r="AU211" s="3">
        <f t="shared" si="2"/>
        <v>14462.34491</v>
      </c>
      <c r="AV211" s="3">
        <f t="shared" si="3"/>
        <v>12009.64863</v>
      </c>
      <c r="AW211" s="3">
        <f t="shared" si="4"/>
        <v>18545.73427</v>
      </c>
      <c r="AX211" s="4">
        <f t="shared" si="5"/>
        <v>-0.04250929215</v>
      </c>
      <c r="AY211" s="4">
        <f t="shared" si="6"/>
        <v>0.0417745033</v>
      </c>
      <c r="AZ211" s="4">
        <f t="shared" si="7"/>
        <v>0.02888182271</v>
      </c>
    </row>
    <row r="212" ht="14.25" customHeight="1">
      <c r="A212" s="2" t="s">
        <v>356</v>
      </c>
      <c r="B212" s="3">
        <v>16012.6492</v>
      </c>
      <c r="C212" s="3">
        <v>14561.4108</v>
      </c>
      <c r="D212" s="3">
        <v>13974.9789</v>
      </c>
      <c r="E212" s="3">
        <v>13403.1314</v>
      </c>
      <c r="F212" s="3">
        <v>14153.4711</v>
      </c>
      <c r="G212" s="3">
        <v>15275.0821</v>
      </c>
      <c r="H212" s="3">
        <v>15166.6365</v>
      </c>
      <c r="I212" s="3">
        <v>15513.228</v>
      </c>
      <c r="J212" s="3">
        <v>15950.5168</v>
      </c>
      <c r="K212" s="3">
        <v>17158.7689</v>
      </c>
      <c r="L212" s="3">
        <v>18007.3055</v>
      </c>
      <c r="M212" s="3">
        <v>18089.8723</v>
      </c>
      <c r="N212" s="3">
        <v>18991.7618</v>
      </c>
      <c r="O212" s="3">
        <v>19787.4592</v>
      </c>
      <c r="P212" s="3">
        <v>19268.4689</v>
      </c>
      <c r="Q212" s="3">
        <v>18787.7965</v>
      </c>
      <c r="R212" s="3">
        <v>18817.9117</v>
      </c>
      <c r="S212" s="3">
        <v>21292.7537</v>
      </c>
      <c r="T212" s="3">
        <v>23124.2142</v>
      </c>
      <c r="U212" s="3">
        <v>22896.1369</v>
      </c>
      <c r="V212" s="3">
        <v>22227.8412</v>
      </c>
      <c r="W212" s="3">
        <v>21155.2114</v>
      </c>
      <c r="X212" s="3">
        <v>20904.8157</v>
      </c>
      <c r="Y212" s="3">
        <v>19156.4268</v>
      </c>
      <c r="Z212" s="3">
        <v>18380.2534</v>
      </c>
      <c r="AA212" s="3">
        <v>19608.5974</v>
      </c>
      <c r="AB212" s="3">
        <v>20993.1154</v>
      </c>
      <c r="AC212" s="3">
        <v>22779.1281</v>
      </c>
      <c r="AD212" s="3">
        <v>21815.2323</v>
      </c>
      <c r="AE212" s="3">
        <v>21235.5067</v>
      </c>
      <c r="AF212" s="3">
        <v>22117.5658</v>
      </c>
      <c r="AG212" s="3">
        <v>22813.4709</v>
      </c>
      <c r="AH212" s="3">
        <v>23083.5348</v>
      </c>
      <c r="AI212" s="3">
        <v>23829.4396</v>
      </c>
      <c r="AJ212" s="3">
        <v>24193.5991</v>
      </c>
      <c r="AK212" s="3">
        <v>25462.4333</v>
      </c>
      <c r="AL212" s="3">
        <v>27711.1539</v>
      </c>
      <c r="AM212" s="3">
        <v>28752.7851</v>
      </c>
      <c r="AN212" s="3">
        <v>29320.4682</v>
      </c>
      <c r="AO212" s="3">
        <v>30149.8052</v>
      </c>
      <c r="AP212" s="3">
        <v>25878.3232</v>
      </c>
      <c r="AQ212" s="3">
        <v>25439.9708</v>
      </c>
      <c r="AR212" s="3">
        <v>28335.48</v>
      </c>
      <c r="AS212" s="3">
        <v>28778.5556</v>
      </c>
      <c r="AT212" s="3">
        <v>28856.913</v>
      </c>
      <c r="AU212" s="3">
        <f t="shared" si="2"/>
        <v>16354.31609</v>
      </c>
      <c r="AV212" s="3">
        <f t="shared" si="3"/>
        <v>21027.65321</v>
      </c>
      <c r="AW212" s="3">
        <f t="shared" si="4"/>
        <v>26314.8999</v>
      </c>
      <c r="AX212" s="4">
        <f t="shared" si="5"/>
        <v>0.01330856956</v>
      </c>
      <c r="AY212" s="4">
        <f t="shared" si="6"/>
        <v>0.008786021656</v>
      </c>
      <c r="AZ212" s="4">
        <f t="shared" si="7"/>
        <v>0.0169272692</v>
      </c>
    </row>
    <row r="213" ht="14.25" customHeight="1">
      <c r="A213" s="2" t="s">
        <v>357</v>
      </c>
      <c r="B213" s="3">
        <v>3343.7897</v>
      </c>
      <c r="C213" s="3">
        <v>3418.8373</v>
      </c>
      <c r="D213" s="3">
        <v>3416.8636</v>
      </c>
      <c r="E213" s="3">
        <v>3350.8046</v>
      </c>
      <c r="F213" s="3">
        <v>3432.3915</v>
      </c>
      <c r="G213" s="3">
        <v>3443.5083</v>
      </c>
      <c r="H213" s="3">
        <v>3420.2759</v>
      </c>
      <c r="I213" s="3">
        <v>3475.0278</v>
      </c>
      <c r="J213" s="3">
        <v>3473.8864</v>
      </c>
      <c r="K213" s="3">
        <v>3511.1248</v>
      </c>
      <c r="L213" s="3">
        <v>3504.8114</v>
      </c>
      <c r="M213" s="3">
        <v>3193.8492</v>
      </c>
      <c r="N213" s="3">
        <v>2948.8864</v>
      </c>
      <c r="O213" s="3">
        <v>2965.1515</v>
      </c>
      <c r="P213" s="3">
        <v>3066.2849</v>
      </c>
      <c r="Q213" s="3">
        <v>2761.2556</v>
      </c>
      <c r="R213" s="3">
        <v>2070.5018</v>
      </c>
      <c r="S213" s="3">
        <v>1688.3561</v>
      </c>
      <c r="T213" s="3">
        <v>1662.294</v>
      </c>
      <c r="U213" s="3">
        <v>1524.0885</v>
      </c>
      <c r="V213" s="3">
        <v>1549.2708</v>
      </c>
      <c r="W213" s="3">
        <v>1729.4349</v>
      </c>
      <c r="X213" s="3">
        <v>2066.6852</v>
      </c>
      <c r="Y213" s="3">
        <v>2170.4106</v>
      </c>
      <c r="Z213" s="3">
        <v>2236.1724</v>
      </c>
      <c r="AA213" s="3">
        <v>2273.0066</v>
      </c>
      <c r="AB213" s="3">
        <v>2315.0127</v>
      </c>
      <c r="AC213" s="3">
        <v>2443.1001</v>
      </c>
      <c r="AD213" s="3">
        <v>2494.3564</v>
      </c>
      <c r="AE213" s="3">
        <v>2500.3013</v>
      </c>
      <c r="AF213" s="3">
        <v>2557.0269</v>
      </c>
      <c r="AG213" s="3">
        <v>2641.9428</v>
      </c>
      <c r="AH213" s="3">
        <v>2959.1115</v>
      </c>
      <c r="AI213" s="3">
        <v>3469.2732</v>
      </c>
      <c r="AJ213" s="3">
        <v>3517.1648</v>
      </c>
      <c r="AK213" s="3">
        <v>3027.8694</v>
      </c>
      <c r="AL213" s="3">
        <v>3496.5243</v>
      </c>
      <c r="AM213" s="3">
        <v>3929.9858</v>
      </c>
      <c r="AN213" s="3">
        <v>4403.3728</v>
      </c>
      <c r="AO213" s="3">
        <v>4506.801</v>
      </c>
      <c r="AP213" s="3">
        <v>4308.0771</v>
      </c>
      <c r="AQ213" s="3">
        <v>4436.1288</v>
      </c>
      <c r="AR213" s="3">
        <v>4503.5551</v>
      </c>
      <c r="AS213" s="3">
        <v>4635.1261</v>
      </c>
      <c r="AT213" s="3">
        <v>4663.0074</v>
      </c>
      <c r="AU213" s="3">
        <f t="shared" si="2"/>
        <v>3331.032887</v>
      </c>
      <c r="AV213" s="3">
        <f t="shared" si="3"/>
        <v>2051.642243</v>
      </c>
      <c r="AW213" s="3">
        <f t="shared" si="4"/>
        <v>3803.664467</v>
      </c>
      <c r="AX213" s="4">
        <f t="shared" si="5"/>
        <v>-0.006169327209</v>
      </c>
      <c r="AY213" s="4">
        <f t="shared" si="6"/>
        <v>-0.007065936563</v>
      </c>
      <c r="AZ213" s="4">
        <f t="shared" si="7"/>
        <v>0.04141655726</v>
      </c>
    </row>
    <row r="214" ht="14.25" customHeight="1">
      <c r="A214" s="2" t="s">
        <v>358</v>
      </c>
      <c r="B214" s="3">
        <v>33747.0345</v>
      </c>
      <c r="C214" s="3">
        <v>35079.1708</v>
      </c>
      <c r="D214" s="3">
        <v>35414.7837</v>
      </c>
      <c r="E214" s="3">
        <v>36978.8803</v>
      </c>
      <c r="F214" s="3">
        <v>39169.169</v>
      </c>
      <c r="G214" s="3">
        <v>38322.254</v>
      </c>
      <c r="H214" s="3">
        <v>38347.9994</v>
      </c>
      <c r="I214" s="3">
        <v>41529.8639</v>
      </c>
      <c r="J214" s="3">
        <v>44785.4424</v>
      </c>
      <c r="K214" s="3">
        <v>47540.3691</v>
      </c>
      <c r="L214" s="3">
        <v>50151.6415</v>
      </c>
      <c r="M214" s="3">
        <v>51538.3715</v>
      </c>
      <c r="N214" s="3">
        <v>53097.6041</v>
      </c>
      <c r="O214" s="3">
        <v>57180.8934</v>
      </c>
      <c r="P214" s="3">
        <v>61315.6735</v>
      </c>
      <c r="Q214" s="3">
        <v>63218.3181</v>
      </c>
      <c r="R214" s="3">
        <v>65138.8251</v>
      </c>
      <c r="S214" s="3">
        <v>67731.8157</v>
      </c>
      <c r="T214" s="3">
        <v>64194.5472</v>
      </c>
      <c r="U214" s="3">
        <v>66525.8906</v>
      </c>
      <c r="V214" s="3">
        <v>71034.1888</v>
      </c>
      <c r="W214" s="3">
        <v>68616.7199</v>
      </c>
      <c r="X214" s="3">
        <v>70575.1322</v>
      </c>
      <c r="Y214" s="3">
        <v>73765.3828</v>
      </c>
      <c r="Z214" s="3">
        <v>80105.0435</v>
      </c>
      <c r="AA214" s="3">
        <v>83607.5096</v>
      </c>
      <c r="AB214" s="3">
        <v>87720.8212</v>
      </c>
      <c r="AC214" s="3">
        <v>91029.3162</v>
      </c>
      <c r="AD214" s="3">
        <v>87879.9061</v>
      </c>
      <c r="AE214" s="3">
        <v>84406.3721</v>
      </c>
      <c r="AF214" s="3">
        <v>94103.7544</v>
      </c>
      <c r="AG214" s="3">
        <v>97358.9974</v>
      </c>
      <c r="AH214" s="3">
        <v>99006.536</v>
      </c>
      <c r="AI214" s="3">
        <v>101419.6442</v>
      </c>
      <c r="AJ214" s="3">
        <v>103464.7691</v>
      </c>
      <c r="AK214" s="3">
        <v>104726.8812</v>
      </c>
      <c r="AL214" s="3">
        <v>107045.5616</v>
      </c>
      <c r="AM214" s="3">
        <v>111057.2334</v>
      </c>
      <c r="AN214" s="3">
        <v>113915.561</v>
      </c>
      <c r="AO214" s="3">
        <v>114313.0635</v>
      </c>
      <c r="AP214" s="3">
        <v>110395.484</v>
      </c>
      <c r="AQ214" s="3">
        <v>121323.1951</v>
      </c>
      <c r="AR214" s="3">
        <v>120352.9201</v>
      </c>
      <c r="AS214" s="3">
        <v>123222.7368</v>
      </c>
      <c r="AT214" s="3">
        <v>126459.6142</v>
      </c>
      <c r="AU214" s="3">
        <f t="shared" si="2"/>
        <v>44279.94341</v>
      </c>
      <c r="AV214" s="3">
        <f t="shared" si="3"/>
        <v>75880.81936</v>
      </c>
      <c r="AW214" s="3">
        <f t="shared" si="4"/>
        <v>109877.7301</v>
      </c>
      <c r="AX214" s="4">
        <f t="shared" si="5"/>
        <v>0.04357578196</v>
      </c>
      <c r="AY214" s="4">
        <f t="shared" si="6"/>
        <v>0.02086095266</v>
      </c>
      <c r="AZ214" s="4">
        <f t="shared" si="7"/>
        <v>0.01885540628</v>
      </c>
    </row>
    <row r="215" ht="14.25" customHeight="1">
      <c r="A215" s="2" t="s">
        <v>359</v>
      </c>
      <c r="B215" s="3">
        <v>64660.5533</v>
      </c>
      <c r="C215" s="3">
        <v>71502.1086</v>
      </c>
      <c r="D215" s="3">
        <v>72219.5678</v>
      </c>
      <c r="E215" s="3">
        <v>67030.7138</v>
      </c>
      <c r="F215" s="3">
        <v>63047.7216</v>
      </c>
      <c r="G215" s="3">
        <v>59714.6425</v>
      </c>
      <c r="H215" s="3">
        <v>72395.1102</v>
      </c>
      <c r="I215" s="3">
        <v>66086.1333</v>
      </c>
      <c r="J215" s="3">
        <v>60512.6151</v>
      </c>
      <c r="K215" s="3">
        <v>59573.0183</v>
      </c>
      <c r="L215" s="3">
        <v>54531.1109</v>
      </c>
      <c r="M215" s="3">
        <v>50243.9194</v>
      </c>
      <c r="N215" s="3">
        <v>48212.9408</v>
      </c>
      <c r="O215" s="3">
        <v>48144.427</v>
      </c>
      <c r="P215" s="3">
        <v>48878.7244</v>
      </c>
      <c r="Q215" s="3">
        <v>52282.4945</v>
      </c>
      <c r="R215" s="3">
        <v>53258.332</v>
      </c>
      <c r="S215" s="3">
        <v>53597.9977</v>
      </c>
      <c r="T215" s="3">
        <v>53487.0983</v>
      </c>
      <c r="U215" s="3">
        <v>52347.2343</v>
      </c>
      <c r="V215" s="3">
        <v>54503.7731</v>
      </c>
      <c r="W215" s="3">
        <v>54038.4504</v>
      </c>
      <c r="X215" s="3">
        <v>52537.6793</v>
      </c>
      <c r="Y215" s="3">
        <v>51368.4937</v>
      </c>
      <c r="Z215" s="3">
        <v>50655.244</v>
      </c>
      <c r="AA215" s="3">
        <v>50833.4959</v>
      </c>
      <c r="AB215" s="3">
        <v>52320.5255</v>
      </c>
      <c r="AC215" s="3">
        <v>53526.7744</v>
      </c>
      <c r="AD215" s="3">
        <v>53273.0412</v>
      </c>
      <c r="AE215" s="3">
        <v>52444.0535</v>
      </c>
      <c r="AF215" s="3">
        <v>52221.1902</v>
      </c>
      <c r="AG215" s="3">
        <v>51270.7551</v>
      </c>
      <c r="AH215" s="3">
        <v>54565.4645</v>
      </c>
      <c r="AI215" s="3">
        <v>57737.1298</v>
      </c>
      <c r="AJ215" s="3">
        <v>61361.7311</v>
      </c>
      <c r="AK215" s="3">
        <v>59841.993</v>
      </c>
      <c r="AL215" s="3">
        <v>58237.6771</v>
      </c>
      <c r="AM215" s="3">
        <v>52520.4541</v>
      </c>
      <c r="AN215" s="3">
        <v>45228.5755</v>
      </c>
      <c r="AO215" s="3">
        <v>48052.1076</v>
      </c>
      <c r="AP215" s="3">
        <v>39351.1484</v>
      </c>
      <c r="AQ215" s="3">
        <v>41110.7815</v>
      </c>
      <c r="AR215" s="3">
        <v>44417.3937</v>
      </c>
      <c r="AS215" s="3">
        <v>45066.9682</v>
      </c>
      <c r="AT215" s="3">
        <v>45644.158</v>
      </c>
      <c r="AU215" s="3">
        <f t="shared" si="2"/>
        <v>60450.22047</v>
      </c>
      <c r="AV215" s="3">
        <f t="shared" si="3"/>
        <v>52728.01381</v>
      </c>
      <c r="AW215" s="3">
        <f t="shared" si="4"/>
        <v>50441.83519</v>
      </c>
      <c r="AX215" s="4">
        <f t="shared" si="5"/>
        <v>-0.01978796169</v>
      </c>
      <c r="AY215" s="4">
        <f t="shared" si="6"/>
        <v>0.0002204065662</v>
      </c>
      <c r="AZ215" s="4">
        <f t="shared" si="7"/>
        <v>-0.008268829912</v>
      </c>
    </row>
    <row r="216" ht="14.25" customHeight="1">
      <c r="A216" s="2" t="s">
        <v>360</v>
      </c>
      <c r="B216" s="3">
        <v>20260.9771</v>
      </c>
      <c r="C216" s="3">
        <v>20276.586</v>
      </c>
      <c r="D216" s="3">
        <v>20309.9968</v>
      </c>
      <c r="E216" s="3">
        <v>20313.0927</v>
      </c>
      <c r="F216" s="3">
        <v>20279.94</v>
      </c>
      <c r="G216" s="3">
        <v>20247.5612</v>
      </c>
      <c r="H216" s="3">
        <v>20250.6572</v>
      </c>
      <c r="I216" s="3">
        <v>20231.1784</v>
      </c>
      <c r="J216" s="3">
        <v>20218.1494</v>
      </c>
      <c r="K216" s="3">
        <v>20212.8605</v>
      </c>
      <c r="L216" s="3">
        <v>20379.6563</v>
      </c>
      <c r="M216" s="3">
        <v>17303.158</v>
      </c>
      <c r="N216" s="3">
        <v>16036.0004</v>
      </c>
      <c r="O216" s="3">
        <v>16190.7992</v>
      </c>
      <c r="P216" s="3">
        <v>17015.2321</v>
      </c>
      <c r="Q216" s="3">
        <v>17812.8332</v>
      </c>
      <c r="R216" s="3">
        <v>18696.8637</v>
      </c>
      <c r="S216" s="3">
        <v>19513.2987</v>
      </c>
      <c r="T216" s="3">
        <v>20042.7107</v>
      </c>
      <c r="U216" s="3">
        <v>19694.2843</v>
      </c>
      <c r="V216" s="3">
        <v>19709.2482</v>
      </c>
      <c r="W216" s="3">
        <v>20006.591</v>
      </c>
      <c r="X216" s="3">
        <v>20803.9341</v>
      </c>
      <c r="Y216" s="3">
        <v>21593.4083</v>
      </c>
      <c r="Z216" s="3">
        <v>22496.0146</v>
      </c>
      <c r="AA216" s="3">
        <v>23760.9792</v>
      </c>
      <c r="AB216" s="3">
        <v>25724.6027</v>
      </c>
      <c r="AC216" s="3">
        <v>28282.0088</v>
      </c>
      <c r="AD216" s="3">
        <v>29682.4224</v>
      </c>
      <c r="AE216" s="3">
        <v>27801.7454</v>
      </c>
      <c r="AF216" s="3">
        <v>29339.156</v>
      </c>
      <c r="AG216" s="3">
        <v>30053.6817</v>
      </c>
      <c r="AH216" s="3">
        <v>30289.363</v>
      </c>
      <c r="AI216" s="3">
        <v>30347.4125</v>
      </c>
      <c r="AJ216" s="3">
        <v>31082.5781</v>
      </c>
      <c r="AK216" s="3">
        <v>32560.6492</v>
      </c>
      <c r="AL216" s="3">
        <v>33096.1242</v>
      </c>
      <c r="AM216" s="3">
        <v>33981.0576</v>
      </c>
      <c r="AN216" s="3">
        <v>35243.1843</v>
      </c>
      <c r="AO216" s="3">
        <v>35998.7317</v>
      </c>
      <c r="AP216" s="3">
        <v>34964.4174</v>
      </c>
      <c r="AQ216" s="3">
        <v>37050.2029</v>
      </c>
      <c r="AR216" s="3">
        <v>37168.7531</v>
      </c>
      <c r="AS216" s="3">
        <v>37644.7595</v>
      </c>
      <c r="AT216" s="3">
        <v>38465.1935</v>
      </c>
      <c r="AU216" s="3">
        <f t="shared" si="2"/>
        <v>19301.72302</v>
      </c>
      <c r="AV216" s="3">
        <f t="shared" si="3"/>
        <v>22700.57944</v>
      </c>
      <c r="AW216" s="3">
        <f t="shared" si="4"/>
        <v>33819.01765</v>
      </c>
      <c r="AX216" s="4">
        <f t="shared" si="5"/>
        <v>-0.01239312034</v>
      </c>
      <c r="AY216" s="4">
        <f t="shared" si="6"/>
        <v>0.03230952111</v>
      </c>
      <c r="AZ216" s="4">
        <f t="shared" si="7"/>
        <v>0.01778258867</v>
      </c>
    </row>
    <row r="217" ht="14.25" customHeight="1">
      <c r="A217" s="2" t="s">
        <v>361</v>
      </c>
      <c r="B217" s="3">
        <v>25698.3285</v>
      </c>
      <c r="C217" s="3">
        <v>25862.2113</v>
      </c>
      <c r="D217" s="3">
        <v>26204.6052</v>
      </c>
      <c r="E217" s="3">
        <v>26479.0911</v>
      </c>
      <c r="F217" s="3">
        <v>26647.1364</v>
      </c>
      <c r="G217" s="3">
        <v>26796.7479</v>
      </c>
      <c r="H217" s="3">
        <v>26666.6406</v>
      </c>
      <c r="I217" s="3">
        <v>26518.8131</v>
      </c>
      <c r="J217" s="3">
        <v>26678.8902</v>
      </c>
      <c r="K217" s="3">
        <v>26848.1248</v>
      </c>
      <c r="L217" s="3">
        <v>27159.8352</v>
      </c>
      <c r="M217" s="3">
        <v>24600.3848</v>
      </c>
      <c r="N217" s="3">
        <v>23148.5112</v>
      </c>
      <c r="O217" s="3">
        <v>23721.6255</v>
      </c>
      <c r="P217" s="3">
        <v>24859.1722</v>
      </c>
      <c r="Q217" s="3">
        <v>25734.6015</v>
      </c>
      <c r="R217" s="3">
        <v>26324.7225</v>
      </c>
      <c r="S217" s="3">
        <v>27504.4887</v>
      </c>
      <c r="T217" s="3">
        <v>28195.2228</v>
      </c>
      <c r="U217" s="3">
        <v>29362.6204</v>
      </c>
      <c r="V217" s="3">
        <v>30152.6594</v>
      </c>
      <c r="W217" s="3">
        <v>30608.6295</v>
      </c>
      <c r="X217" s="3">
        <v>31544.2365</v>
      </c>
      <c r="Y217" s="3">
        <v>32311.5602</v>
      </c>
      <c r="Z217" s="3">
        <v>33495.7267</v>
      </c>
      <c r="AA217" s="3">
        <v>34576.6637</v>
      </c>
      <c r="AB217" s="3">
        <v>36416.1238</v>
      </c>
      <c r="AC217" s="3">
        <v>38600.4752</v>
      </c>
      <c r="AD217" s="3">
        <v>39654.8912</v>
      </c>
      <c r="AE217" s="3">
        <v>36291.844</v>
      </c>
      <c r="AF217" s="3">
        <v>36283.0433</v>
      </c>
      <c r="AG217" s="3">
        <v>36610.9279</v>
      </c>
      <c r="AH217" s="3">
        <v>35407.495</v>
      </c>
      <c r="AI217" s="3">
        <v>35089.1247</v>
      </c>
      <c r="AJ217" s="3">
        <v>36092.9963</v>
      </c>
      <c r="AK217" s="3">
        <v>36912.4105</v>
      </c>
      <c r="AL217" s="3">
        <v>37999.7696</v>
      </c>
      <c r="AM217" s="3">
        <v>39965.7691</v>
      </c>
      <c r="AN217" s="3">
        <v>41503.6276</v>
      </c>
      <c r="AO217" s="3">
        <v>42659.1325</v>
      </c>
      <c r="AP217" s="3">
        <v>40461.4612</v>
      </c>
      <c r="AQ217" s="3">
        <v>43607.7026</v>
      </c>
      <c r="AR217" s="3">
        <v>44895.4554</v>
      </c>
      <c r="AS217" s="3">
        <v>46090.8012</v>
      </c>
      <c r="AT217" s="3">
        <v>46818.9976</v>
      </c>
      <c r="AU217" s="3">
        <f t="shared" si="2"/>
        <v>25859.3412</v>
      </c>
      <c r="AV217" s="3">
        <f t="shared" si="3"/>
        <v>32502.84747</v>
      </c>
      <c r="AW217" s="3">
        <f t="shared" si="4"/>
        <v>40026.58097</v>
      </c>
      <c r="AX217" s="4">
        <f t="shared" si="5"/>
        <v>-0.00236855937</v>
      </c>
      <c r="AY217" s="4">
        <f t="shared" si="6"/>
        <v>0.02485797474</v>
      </c>
      <c r="AZ217" s="4">
        <f t="shared" si="7"/>
        <v>0.01772251837</v>
      </c>
    </row>
    <row r="218" ht="14.25" customHeight="1">
      <c r="A218" s="2" t="s">
        <v>362</v>
      </c>
      <c r="B218" s="3">
        <v>3724.578</v>
      </c>
      <c r="C218" s="3">
        <v>3839.6586</v>
      </c>
      <c r="D218" s="3">
        <v>3666.8404</v>
      </c>
      <c r="E218" s="3">
        <v>3285.6402</v>
      </c>
      <c r="F218" s="3">
        <v>3396.0491</v>
      </c>
      <c r="G218" s="3">
        <v>3365.6943</v>
      </c>
      <c r="H218" s="3">
        <v>3219.5682</v>
      </c>
      <c r="I218" s="3">
        <v>3180.0017</v>
      </c>
      <c r="J218" s="3">
        <v>3236.9498</v>
      </c>
      <c r="K218" s="3">
        <v>3339.5726</v>
      </c>
      <c r="L218" s="3">
        <v>3438.1927</v>
      </c>
      <c r="M218" s="3">
        <v>3398.4069</v>
      </c>
      <c r="N218" s="3">
        <v>3642.7693</v>
      </c>
      <c r="O218" s="3">
        <v>3563.8338</v>
      </c>
      <c r="P218" s="3">
        <v>3706.2095</v>
      </c>
      <c r="Q218" s="3">
        <v>4052.8657</v>
      </c>
      <c r="R218" s="3">
        <v>4098.4308</v>
      </c>
      <c r="S218" s="3">
        <v>4011.8297</v>
      </c>
      <c r="T218" s="3">
        <v>4126.9103</v>
      </c>
      <c r="U218" s="3">
        <v>4053.2386</v>
      </c>
      <c r="V218" s="3">
        <v>3479.5576</v>
      </c>
      <c r="W218" s="3">
        <v>3213.8986</v>
      </c>
      <c r="X218" s="3">
        <v>3138.8122</v>
      </c>
      <c r="Y218" s="3">
        <v>3339.7919</v>
      </c>
      <c r="Z218" s="3">
        <v>3504.166</v>
      </c>
      <c r="AA218" s="3">
        <v>3669.2749</v>
      </c>
      <c r="AB218" s="3">
        <v>3731.2565</v>
      </c>
      <c r="AC218" s="3">
        <v>3781.3178</v>
      </c>
      <c r="AD218" s="3">
        <v>3935.1752</v>
      </c>
      <c r="AE218" s="3">
        <v>3964.3675</v>
      </c>
      <c r="AF218" s="3">
        <v>4220.453</v>
      </c>
      <c r="AG218" s="3">
        <v>4361.3592</v>
      </c>
      <c r="AH218" s="3">
        <v>4294.2124</v>
      </c>
      <c r="AI218" s="3">
        <v>4349.6142</v>
      </c>
      <c r="AJ218" s="3">
        <v>4231.9018</v>
      </c>
      <c r="AK218" s="3">
        <v>4133.8081</v>
      </c>
      <c r="AL218" s="3">
        <v>4193.3333</v>
      </c>
      <c r="AM218" s="3">
        <v>4151.7271</v>
      </c>
      <c r="AN218" s="3">
        <v>4097.7508</v>
      </c>
      <c r="AO218" s="3">
        <v>4036.0982</v>
      </c>
      <c r="AP218" s="3">
        <v>3788.2923</v>
      </c>
      <c r="AQ218" s="3">
        <v>3765.6688</v>
      </c>
      <c r="AR218" s="3">
        <v>3719.2594</v>
      </c>
      <c r="AS218" s="3">
        <v>3733.4608</v>
      </c>
      <c r="AT218" s="3">
        <v>3708.622</v>
      </c>
      <c r="AU218" s="3">
        <f t="shared" si="2"/>
        <v>3466.931007</v>
      </c>
      <c r="AV218" s="3">
        <f t="shared" si="3"/>
        <v>3717.716257</v>
      </c>
      <c r="AW218" s="3">
        <f t="shared" si="4"/>
        <v>4052.37076</v>
      </c>
      <c r="AX218" s="4">
        <f t="shared" si="5"/>
        <v>-0.0003530734125</v>
      </c>
      <c r="AY218" s="4">
        <f t="shared" si="6"/>
        <v>-0.001575749315</v>
      </c>
      <c r="AZ218" s="4">
        <f t="shared" si="7"/>
        <v>-0.011513448</v>
      </c>
    </row>
    <row r="219" ht="14.25" customHeight="1">
      <c r="A219" s="2" t="s">
        <v>363</v>
      </c>
      <c r="B219" s="3">
        <v>1057.2683</v>
      </c>
      <c r="C219" s="3">
        <v>1117.721</v>
      </c>
      <c r="D219" s="3">
        <v>1147.4404</v>
      </c>
      <c r="E219" s="3">
        <v>985.7989</v>
      </c>
      <c r="F219" s="3">
        <v>985.5058</v>
      </c>
      <c r="G219" s="3">
        <v>1040.219</v>
      </c>
      <c r="H219" s="3">
        <v>981.2271</v>
      </c>
      <c r="I219" s="3">
        <v>1047.3329</v>
      </c>
      <c r="J219" s="3">
        <v>1087.9558</v>
      </c>
      <c r="K219" s="3">
        <v>1156.3375</v>
      </c>
      <c r="L219" s="3">
        <v>1196.1609</v>
      </c>
      <c r="M219" s="3">
        <v>1280.4605</v>
      </c>
      <c r="N219" s="3">
        <v>1221.9166</v>
      </c>
      <c r="O219" s="3">
        <v>1235.1039</v>
      </c>
      <c r="P219" s="3">
        <v>970.5173</v>
      </c>
      <c r="Q219" s="3">
        <v>978.5471</v>
      </c>
      <c r="R219" s="3">
        <v>1023.819</v>
      </c>
      <c r="S219" s="3">
        <v>1004.7081</v>
      </c>
      <c r="T219" s="3">
        <v>1031.5894</v>
      </c>
      <c r="U219" s="3">
        <v>1066.4896</v>
      </c>
      <c r="V219" s="3">
        <v>1101.058</v>
      </c>
      <c r="W219" s="3">
        <v>1136.4664</v>
      </c>
      <c r="X219" s="3">
        <v>1180.8455</v>
      </c>
      <c r="Y219" s="3">
        <v>1227.1342</v>
      </c>
      <c r="Z219" s="3">
        <v>1269.0043</v>
      </c>
      <c r="AA219" s="3">
        <v>1314.9221</v>
      </c>
      <c r="AB219" s="3">
        <v>1360.1337</v>
      </c>
      <c r="AC219" s="3">
        <v>1408.5123</v>
      </c>
      <c r="AD219" s="3">
        <v>1453.9186</v>
      </c>
      <c r="AE219" s="3">
        <v>1516.6668</v>
      </c>
      <c r="AF219" s="3">
        <v>1585.9284</v>
      </c>
      <c r="AG219" s="3">
        <v>1685.077</v>
      </c>
      <c r="AH219" s="3">
        <v>1784.0296</v>
      </c>
      <c r="AI219" s="3">
        <v>1679.8959</v>
      </c>
      <c r="AJ219" s="3">
        <v>1871.0806</v>
      </c>
      <c r="AK219" s="3">
        <v>2224.104</v>
      </c>
      <c r="AL219" s="3">
        <v>2493.9114</v>
      </c>
      <c r="AM219" s="3">
        <v>2617.3806</v>
      </c>
      <c r="AN219" s="3">
        <v>2590.861</v>
      </c>
      <c r="AO219" s="3">
        <v>2563.0747</v>
      </c>
      <c r="AP219" s="3">
        <v>2390.6028</v>
      </c>
      <c r="AQ219" s="3">
        <v>2387.0365</v>
      </c>
      <c r="AR219" s="3">
        <v>2358.1664</v>
      </c>
      <c r="AS219" s="3">
        <v>2383.2335</v>
      </c>
      <c r="AT219" s="3">
        <v>2381.3647</v>
      </c>
      <c r="AU219" s="3">
        <f t="shared" si="2"/>
        <v>1100.73106</v>
      </c>
      <c r="AV219" s="3">
        <f t="shared" si="3"/>
        <v>1221.090571</v>
      </c>
      <c r="AW219" s="3">
        <f t="shared" si="4"/>
        <v>2199.716473</v>
      </c>
      <c r="AX219" s="4">
        <f t="shared" si="5"/>
        <v>-0.006096664951</v>
      </c>
      <c r="AY219" s="4">
        <f t="shared" si="6"/>
        <v>0.03179509845</v>
      </c>
      <c r="AZ219" s="4">
        <f t="shared" si="7"/>
        <v>0.02501214562</v>
      </c>
    </row>
    <row r="220" ht="14.25" customHeight="1">
      <c r="A220" s="2" t="s">
        <v>364</v>
      </c>
      <c r="B220" s="3">
        <v>3546.985</v>
      </c>
      <c r="C220" s="3">
        <v>3651.7441</v>
      </c>
      <c r="D220" s="3">
        <v>3701.6529</v>
      </c>
      <c r="E220" s="3">
        <v>3823.46</v>
      </c>
      <c r="F220" s="3">
        <v>3889.9228</v>
      </c>
      <c r="G220" s="3">
        <v>3891.4052</v>
      </c>
      <c r="H220" s="3">
        <v>3948.9733</v>
      </c>
      <c r="I220" s="3">
        <v>4039.6492</v>
      </c>
      <c r="J220" s="3">
        <v>4227.1779</v>
      </c>
      <c r="K220" s="3">
        <v>4422.3658</v>
      </c>
      <c r="L220" s="3">
        <v>4601.2469</v>
      </c>
      <c r="M220" s="3">
        <v>4714.6536</v>
      </c>
      <c r="N220" s="3">
        <v>4852.0264</v>
      </c>
      <c r="O220" s="3">
        <v>5015.3419</v>
      </c>
      <c r="P220" s="3">
        <v>5212.5064</v>
      </c>
      <c r="Q220" s="3">
        <v>5451.6734</v>
      </c>
      <c r="R220" s="3">
        <v>5681.6987</v>
      </c>
      <c r="S220" s="3">
        <v>5755.3265</v>
      </c>
      <c r="T220" s="3">
        <v>5461.5563</v>
      </c>
      <c r="U220" s="3">
        <v>5641.1786</v>
      </c>
      <c r="V220" s="3">
        <v>5800.0468</v>
      </c>
      <c r="W220" s="3">
        <v>5848.7202</v>
      </c>
      <c r="X220" s="3">
        <v>5979.6691</v>
      </c>
      <c r="Y220" s="3">
        <v>6203.2705</v>
      </c>
      <c r="Z220" s="3">
        <v>6479.9926</v>
      </c>
      <c r="AA220" s="3">
        <v>6746.0906</v>
      </c>
      <c r="AB220" s="3">
        <v>7070.4979</v>
      </c>
      <c r="AC220" s="3">
        <v>7407.2589</v>
      </c>
      <c r="AD220" s="3">
        <v>7574.0334</v>
      </c>
      <c r="AE220" s="3">
        <v>7725.2423</v>
      </c>
      <c r="AF220" s="3">
        <v>8187.2695</v>
      </c>
      <c r="AG220" s="3">
        <v>8455.8382</v>
      </c>
      <c r="AH220" s="3">
        <v>8752.8204</v>
      </c>
      <c r="AI220" s="3">
        <v>9047.8259</v>
      </c>
      <c r="AJ220" s="3">
        <v>9367.5388</v>
      </c>
      <c r="AK220" s="3">
        <v>9733.4545</v>
      </c>
      <c r="AL220" s="3">
        <v>10157.9265</v>
      </c>
      <c r="AM220" s="3">
        <v>10582.1514</v>
      </c>
      <c r="AN220" s="3">
        <v>10980.9278</v>
      </c>
      <c r="AO220" s="3">
        <v>11249.0024</v>
      </c>
      <c r="AP220" s="3">
        <v>10728.913</v>
      </c>
      <c r="AQ220" s="3">
        <v>11041.2137</v>
      </c>
      <c r="AR220" s="3">
        <v>11498.2994</v>
      </c>
      <c r="AS220" s="3">
        <v>11989.7283</v>
      </c>
      <c r="AT220" s="3">
        <v>12406.7881</v>
      </c>
      <c r="AU220" s="3">
        <f t="shared" si="2"/>
        <v>4235.94076</v>
      </c>
      <c r="AV220" s="3">
        <f t="shared" si="3"/>
        <v>6383.898743</v>
      </c>
      <c r="AW220" s="3">
        <f t="shared" si="4"/>
        <v>10278.64653</v>
      </c>
      <c r="AX220" s="4">
        <f t="shared" si="5"/>
        <v>0.02787888888</v>
      </c>
      <c r="AY220" s="4">
        <f t="shared" si="6"/>
        <v>0.02521043977</v>
      </c>
      <c r="AZ220" s="4">
        <f t="shared" si="7"/>
        <v>0.02776316858</v>
      </c>
    </row>
    <row r="221" ht="14.25" customHeight="1">
      <c r="A221" s="2" t="s">
        <v>365</v>
      </c>
      <c r="B221" s="3">
        <v>3518.3664</v>
      </c>
      <c r="C221" s="3">
        <v>3619.0816</v>
      </c>
      <c r="D221" s="3">
        <v>3666.685</v>
      </c>
      <c r="E221" s="3">
        <v>3784.5373</v>
      </c>
      <c r="F221" s="3">
        <v>3849.2099</v>
      </c>
      <c r="G221" s="3">
        <v>3862.7429</v>
      </c>
      <c r="H221" s="3">
        <v>3929.9317</v>
      </c>
      <c r="I221" s="3">
        <v>4010.8575</v>
      </c>
      <c r="J221" s="3">
        <v>4186.0379</v>
      </c>
      <c r="K221" s="3">
        <v>4366.3187</v>
      </c>
      <c r="L221" s="3">
        <v>4534.8347</v>
      </c>
      <c r="M221" s="3">
        <v>4624.6691</v>
      </c>
      <c r="N221" s="3">
        <v>4753.9463</v>
      </c>
      <c r="O221" s="3">
        <v>4894.7844</v>
      </c>
      <c r="P221" s="3">
        <v>5078.2614</v>
      </c>
      <c r="Q221" s="3">
        <v>5314.9183</v>
      </c>
      <c r="R221" s="3">
        <v>5533.8258</v>
      </c>
      <c r="S221" s="3">
        <v>5611.5554</v>
      </c>
      <c r="T221" s="3">
        <v>5406.7928</v>
      </c>
      <c r="U221" s="3">
        <v>5552.1871</v>
      </c>
      <c r="V221" s="3">
        <v>5694.6573</v>
      </c>
      <c r="W221" s="3">
        <v>5756.6097</v>
      </c>
      <c r="X221" s="3">
        <v>5879.6305</v>
      </c>
      <c r="Y221" s="3">
        <v>6101.1902</v>
      </c>
      <c r="Z221" s="3">
        <v>6373.4816</v>
      </c>
      <c r="AA221" s="3">
        <v>6642.1007</v>
      </c>
      <c r="AB221" s="3">
        <v>6949.6186</v>
      </c>
      <c r="AC221" s="3">
        <v>7283.3864</v>
      </c>
      <c r="AD221" s="3">
        <v>7446.53</v>
      </c>
      <c r="AE221" s="3">
        <v>7628.0349</v>
      </c>
      <c r="AF221" s="3">
        <v>8044.7685</v>
      </c>
      <c r="AG221" s="3">
        <v>8302.1669</v>
      </c>
      <c r="AH221" s="3">
        <v>8602.4082</v>
      </c>
      <c r="AI221" s="3">
        <v>8904.2817</v>
      </c>
      <c r="AJ221" s="3">
        <v>9249.8143</v>
      </c>
      <c r="AK221" s="3">
        <v>9650.2948</v>
      </c>
      <c r="AL221" s="3">
        <v>10088.858</v>
      </c>
      <c r="AM221" s="3">
        <v>10520.4847</v>
      </c>
      <c r="AN221" s="3">
        <v>10930.2139</v>
      </c>
      <c r="AO221" s="3">
        <v>11193.1206</v>
      </c>
      <c r="AP221" s="3">
        <v>10701.0376</v>
      </c>
      <c r="AQ221" s="3">
        <v>11014.5399</v>
      </c>
      <c r="AR221" s="3">
        <v>11496.9662</v>
      </c>
      <c r="AS221" s="3">
        <v>11986.6691</v>
      </c>
      <c r="AT221" s="3">
        <v>12435.297</v>
      </c>
      <c r="AU221" s="3">
        <f t="shared" si="2"/>
        <v>4178.68432</v>
      </c>
      <c r="AV221" s="3">
        <f t="shared" si="3"/>
        <v>6275.685786</v>
      </c>
      <c r="AW221" s="3">
        <f t="shared" si="4"/>
        <v>10208.06143</v>
      </c>
      <c r="AX221" s="4">
        <f t="shared" si="5"/>
        <v>0.02655886144</v>
      </c>
      <c r="AY221" s="4">
        <f t="shared" si="6"/>
        <v>0.02614395558</v>
      </c>
      <c r="AZ221" s="4">
        <f t="shared" si="7"/>
        <v>0.02927919177</v>
      </c>
    </row>
    <row r="222" ht="14.25" customHeight="1">
      <c r="A222" s="2" t="s">
        <v>366</v>
      </c>
      <c r="B222" s="3">
        <v>18770.1914</v>
      </c>
      <c r="C222" s="3">
        <v>18960.5159</v>
      </c>
      <c r="D222" s="3">
        <v>18102.6947</v>
      </c>
      <c r="E222" s="3">
        <v>17024.4211</v>
      </c>
      <c r="F222" s="3">
        <v>17143.2102</v>
      </c>
      <c r="G222" s="3">
        <v>16267.118</v>
      </c>
      <c r="H222" s="3">
        <v>15676.4806</v>
      </c>
      <c r="I222" s="3">
        <v>15432.2868</v>
      </c>
      <c r="J222" s="3">
        <v>15501.5682</v>
      </c>
      <c r="K222" s="3">
        <v>15301.1185</v>
      </c>
      <c r="L222" s="3">
        <v>14703.0774</v>
      </c>
      <c r="M222" s="3">
        <v>14504.6345</v>
      </c>
      <c r="N222" s="3">
        <v>14303.9924</v>
      </c>
      <c r="O222" s="3">
        <v>14402.1555</v>
      </c>
      <c r="P222" s="3">
        <v>14607.8556</v>
      </c>
      <c r="Q222" s="3">
        <v>15093.8791</v>
      </c>
      <c r="R222" s="3">
        <v>15684.5623</v>
      </c>
      <c r="S222" s="3">
        <v>15947.5586</v>
      </c>
      <c r="T222" s="3">
        <v>15695.2739</v>
      </c>
      <c r="U222" s="3">
        <v>15753.7979</v>
      </c>
      <c r="V222" s="3">
        <v>16122.4893</v>
      </c>
      <c r="W222" s="3">
        <v>16249.0211</v>
      </c>
      <c r="X222" s="3">
        <v>16483.8136</v>
      </c>
      <c r="Y222" s="3">
        <v>16563.3209</v>
      </c>
      <c r="Z222" s="3">
        <v>16898.8056</v>
      </c>
      <c r="AA222" s="3">
        <v>17370.6082</v>
      </c>
      <c r="AB222" s="3">
        <v>17929.615</v>
      </c>
      <c r="AC222" s="3">
        <v>18477.7819</v>
      </c>
      <c r="AD222" s="3">
        <v>18660.886</v>
      </c>
      <c r="AE222" s="3">
        <v>17992.5739</v>
      </c>
      <c r="AF222" s="3">
        <v>18160.33</v>
      </c>
      <c r="AG222" s="3">
        <v>18352.3313</v>
      </c>
      <c r="AH222" s="3">
        <v>18371.7569</v>
      </c>
      <c r="AI222" s="3">
        <v>18375.8436</v>
      </c>
      <c r="AJ222" s="3">
        <v>18197.4493</v>
      </c>
      <c r="AK222" s="3">
        <v>17929.3401</v>
      </c>
      <c r="AL222" s="3">
        <v>17782.4023</v>
      </c>
      <c r="AM222" s="3">
        <v>17776.9228</v>
      </c>
      <c r="AN222" s="3">
        <v>17601.1125</v>
      </c>
      <c r="AO222" s="3">
        <v>17213.3254</v>
      </c>
      <c r="AP222" s="3">
        <v>15804.0936</v>
      </c>
      <c r="AQ222" s="3">
        <v>16195.9857</v>
      </c>
      <c r="AR222" s="3">
        <v>16215.5762</v>
      </c>
      <c r="AS222" s="3">
        <v>16064.5609</v>
      </c>
      <c r="AT222" s="3">
        <v>15851.0539</v>
      </c>
      <c r="AU222" s="3">
        <f t="shared" si="2"/>
        <v>16046.75472</v>
      </c>
      <c r="AV222" s="3">
        <f t="shared" si="3"/>
        <v>16845.00773</v>
      </c>
      <c r="AW222" s="3">
        <f t="shared" si="4"/>
        <v>17326.13897</v>
      </c>
      <c r="AX222" s="4">
        <f t="shared" si="5"/>
        <v>-0.01774850707</v>
      </c>
      <c r="AY222" s="4">
        <f t="shared" si="6"/>
        <v>0.0126268979</v>
      </c>
      <c r="AZ222" s="4">
        <f t="shared" si="7"/>
        <v>-0.01041118326</v>
      </c>
    </row>
    <row r="223" ht="14.25" customHeight="1">
      <c r="A223" s="2" t="s">
        <v>367</v>
      </c>
      <c r="B223" s="3">
        <v>1495.108</v>
      </c>
      <c r="C223" s="3">
        <v>1559.7185</v>
      </c>
      <c r="D223" s="3">
        <v>1535.0838</v>
      </c>
      <c r="E223" s="3">
        <v>1500.8179</v>
      </c>
      <c r="F223" s="3">
        <v>1435.0541</v>
      </c>
      <c r="G223" s="3">
        <v>1481.9695</v>
      </c>
      <c r="H223" s="3">
        <v>1755.6832</v>
      </c>
      <c r="I223" s="3">
        <v>2118.7875</v>
      </c>
      <c r="J223" s="3">
        <v>1822.3886</v>
      </c>
      <c r="K223" s="3">
        <v>2087.3588</v>
      </c>
      <c r="L223" s="3">
        <v>2319.1692</v>
      </c>
      <c r="M223" s="3">
        <v>2604.9767</v>
      </c>
      <c r="N223" s="3">
        <v>2599.2158</v>
      </c>
      <c r="O223" s="3">
        <v>3185.7785</v>
      </c>
      <c r="P223" s="3">
        <v>2367.5594</v>
      </c>
      <c r="Q223" s="3">
        <v>2249.4098</v>
      </c>
      <c r="R223" s="3">
        <v>2723.5278</v>
      </c>
      <c r="S223" s="3">
        <v>2845.0478</v>
      </c>
      <c r="T223" s="3">
        <v>3369.2734</v>
      </c>
      <c r="U223" s="3">
        <v>3614.2427</v>
      </c>
      <c r="V223" s="3">
        <v>3875.2446</v>
      </c>
      <c r="W223" s="3">
        <v>3720.3099</v>
      </c>
      <c r="X223" s="3">
        <v>3796.1038</v>
      </c>
      <c r="Y223" s="3">
        <v>3842.5912</v>
      </c>
      <c r="Z223" s="3">
        <v>3735.203</v>
      </c>
      <c r="AA223" s="3">
        <v>3714.2713</v>
      </c>
      <c r="AB223" s="3">
        <v>3887.035</v>
      </c>
      <c r="AC223" s="3">
        <v>3782.6181</v>
      </c>
      <c r="AD223" s="3">
        <v>6740.1761</v>
      </c>
      <c r="AE223" s="3">
        <v>6962.4315</v>
      </c>
      <c r="AF223" s="3">
        <v>6483.8938</v>
      </c>
      <c r="AG223" s="3">
        <v>6151.8689</v>
      </c>
      <c r="AH223" s="3">
        <v>2844.5477</v>
      </c>
      <c r="AI223" s="3">
        <v>3542.361</v>
      </c>
      <c r="AJ223" s="3">
        <v>4548.9742</v>
      </c>
      <c r="AK223" s="3">
        <v>4978.4494</v>
      </c>
      <c r="AL223" s="3">
        <v>4868.1561</v>
      </c>
      <c r="AM223" s="3">
        <v>5152.0086</v>
      </c>
      <c r="AN223" s="3">
        <v>5485.75</v>
      </c>
      <c r="AO223" s="3">
        <v>5840.7667</v>
      </c>
      <c r="AP223" s="3">
        <v>5405.3031</v>
      </c>
      <c r="AQ223" s="3">
        <v>5153.2434</v>
      </c>
      <c r="AR223" s="3">
        <v>4734.3213</v>
      </c>
      <c r="AS223" s="3">
        <v>4597.8161</v>
      </c>
      <c r="AT223" s="3">
        <v>3146.3067</v>
      </c>
      <c r="AU223" s="3">
        <f t="shared" si="2"/>
        <v>1991.244633</v>
      </c>
      <c r="AV223" s="3">
        <f t="shared" si="3"/>
        <v>4043.434014</v>
      </c>
      <c r="AW223" s="3">
        <f t="shared" si="4"/>
        <v>4862.251133</v>
      </c>
      <c r="AX223" s="4">
        <f t="shared" si="5"/>
        <v>0.03337789096</v>
      </c>
      <c r="AY223" s="4">
        <f t="shared" si="6"/>
        <v>0.0840503494</v>
      </c>
      <c r="AZ223" s="4">
        <f t="shared" si="7"/>
        <v>-0.04676589937</v>
      </c>
    </row>
    <row r="224" ht="14.25" customHeight="1">
      <c r="A224" s="2" t="s">
        <v>368</v>
      </c>
      <c r="B224" s="3">
        <v>28832.9061</v>
      </c>
      <c r="C224" s="3">
        <v>28409.7923</v>
      </c>
      <c r="D224" s="3">
        <v>28363.5989</v>
      </c>
      <c r="E224" s="3">
        <v>28459.0961</v>
      </c>
      <c r="F224" s="3">
        <v>28543.9953</v>
      </c>
      <c r="G224" s="3">
        <v>28788.4406</v>
      </c>
      <c r="H224" s="3">
        <v>29318.456</v>
      </c>
      <c r="I224" s="3">
        <v>30536.42</v>
      </c>
      <c r="J224" s="3">
        <v>31701.7397</v>
      </c>
      <c r="K224" s="3">
        <v>32851.2775</v>
      </c>
      <c r="L224" s="3">
        <v>33711.9045</v>
      </c>
      <c r="M224" s="3">
        <v>34134.2119</v>
      </c>
      <c r="N224" s="3">
        <v>33939.7616</v>
      </c>
      <c r="O224" s="3">
        <v>33080.7473</v>
      </c>
      <c r="P224" s="3">
        <v>33362.516</v>
      </c>
      <c r="Q224" s="3">
        <v>33766.7377</v>
      </c>
      <c r="R224" s="3">
        <v>34152.9888</v>
      </c>
      <c r="S224" s="3">
        <v>34909.0182</v>
      </c>
      <c r="T224" s="3">
        <v>35935.4118</v>
      </c>
      <c r="U224" s="3">
        <v>37062.0257</v>
      </c>
      <c r="V224" s="3">
        <v>38527.6605</v>
      </c>
      <c r="W224" s="3">
        <v>39588.6128</v>
      </c>
      <c r="X224" s="3">
        <v>40007.0036</v>
      </c>
      <c r="Y224" s="3">
        <v>40360.6544</v>
      </c>
      <c r="Z224" s="3">
        <v>40829.1552</v>
      </c>
      <c r="AA224" s="3">
        <v>41543.2533</v>
      </c>
      <c r="AB224" s="3">
        <v>42491.4291</v>
      </c>
      <c r="AC224" s="3">
        <v>43210.4806</v>
      </c>
      <c r="AD224" s="3">
        <v>42918.5747</v>
      </c>
      <c r="AE224" s="3">
        <v>40957.5984</v>
      </c>
      <c r="AF224" s="3">
        <v>40845.2826</v>
      </c>
      <c r="AG224" s="3">
        <v>40375.5146</v>
      </c>
      <c r="AH224" s="3">
        <v>39153.2883</v>
      </c>
      <c r="AI224" s="3">
        <v>38714.1623</v>
      </c>
      <c r="AJ224" s="3">
        <v>39358.4518</v>
      </c>
      <c r="AK224" s="3">
        <v>40894.5864</v>
      </c>
      <c r="AL224" s="3">
        <v>42083.7515</v>
      </c>
      <c r="AM224" s="3">
        <v>43190.667</v>
      </c>
      <c r="AN224" s="3">
        <v>43925.8459</v>
      </c>
      <c r="AO224" s="3">
        <v>44405.9815</v>
      </c>
      <c r="AP224" s="3">
        <v>39157.7809</v>
      </c>
      <c r="AQ224" s="3">
        <v>41501.0917</v>
      </c>
      <c r="AR224" s="3">
        <v>43683.0134</v>
      </c>
      <c r="AS224" s="3">
        <v>44630.9587</v>
      </c>
      <c r="AT224" s="3">
        <v>45891.3148</v>
      </c>
      <c r="AU224" s="3">
        <f t="shared" si="2"/>
        <v>30935.65759</v>
      </c>
      <c r="AV224" s="3">
        <f t="shared" si="3"/>
        <v>39463.84765</v>
      </c>
      <c r="AW224" s="3">
        <f t="shared" si="4"/>
        <v>41854.11276</v>
      </c>
      <c r="AX224" s="4">
        <f t="shared" si="5"/>
        <v>0.01047705299</v>
      </c>
      <c r="AY224" s="4">
        <f t="shared" si="6"/>
        <v>0.01388560173</v>
      </c>
      <c r="AZ224" s="4">
        <f t="shared" si="7"/>
        <v>0.009188554523</v>
      </c>
    </row>
    <row r="225" ht="14.25" customHeight="1">
      <c r="A225" s="2" t="s">
        <v>369</v>
      </c>
      <c r="B225" s="3">
        <v>4678.796</v>
      </c>
      <c r="C225" s="3">
        <v>4831.3547</v>
      </c>
      <c r="D225" s="3">
        <v>4996.8803</v>
      </c>
      <c r="E225" s="3">
        <v>5176.9707</v>
      </c>
      <c r="F225" s="3">
        <v>5395.8404</v>
      </c>
      <c r="G225" s="3">
        <v>5592.3254</v>
      </c>
      <c r="H225" s="3">
        <v>5704.9577</v>
      </c>
      <c r="I225" s="3">
        <v>5666.4927</v>
      </c>
      <c r="J225" s="3">
        <v>5700.1242</v>
      </c>
      <c r="K225" s="3">
        <v>5686.493</v>
      </c>
      <c r="L225" s="3">
        <v>5946.9078</v>
      </c>
      <c r="M225" s="3">
        <v>6128.7611</v>
      </c>
      <c r="N225" s="3">
        <v>6222.3378</v>
      </c>
      <c r="O225" s="3">
        <v>6464.5306</v>
      </c>
      <c r="P225" s="3">
        <v>6662.2844</v>
      </c>
      <c r="Q225" s="3">
        <v>6848.9679</v>
      </c>
      <c r="R225" s="3">
        <v>6906.3312</v>
      </c>
      <c r="S225" s="3">
        <v>7147.7049</v>
      </c>
      <c r="T225" s="3">
        <v>7278.3867</v>
      </c>
      <c r="U225" s="3">
        <v>7376.3519</v>
      </c>
      <c r="V225" s="3">
        <v>7601.2053</v>
      </c>
      <c r="W225" s="3">
        <v>7311.2588</v>
      </c>
      <c r="X225" s="3">
        <v>7456.7721</v>
      </c>
      <c r="Y225" s="3">
        <v>7772.3648</v>
      </c>
      <c r="Z225" s="3">
        <v>8077.9803</v>
      </c>
      <c r="AA225" s="3">
        <v>8474.9679</v>
      </c>
      <c r="AB225" s="3">
        <v>9080.5199</v>
      </c>
      <c r="AC225" s="3">
        <v>9662.4667</v>
      </c>
      <c r="AD225" s="3">
        <v>10206.7619</v>
      </c>
      <c r="AE225" s="3">
        <v>10545.9533</v>
      </c>
      <c r="AF225" s="3">
        <v>11392.8525</v>
      </c>
      <c r="AG225" s="3">
        <v>12278.4963</v>
      </c>
      <c r="AH225" s="3">
        <v>13195.8248</v>
      </c>
      <c r="AI225" s="3">
        <v>13547.6971</v>
      </c>
      <c r="AJ225" s="3">
        <v>14218.4856</v>
      </c>
      <c r="AK225" s="3">
        <v>14614.8363</v>
      </c>
      <c r="AL225" s="3">
        <v>15155.0398</v>
      </c>
      <c r="AM225" s="3">
        <v>15946.2822</v>
      </c>
      <c r="AN225" s="3">
        <v>16117.2539</v>
      </c>
      <c r="AO225" s="3">
        <v>15897.9304</v>
      </c>
      <c r="AP225" s="3">
        <v>14981.4514</v>
      </c>
      <c r="AQ225" s="3">
        <v>15313.4451</v>
      </c>
      <c r="AR225" s="3">
        <v>13697.9301</v>
      </c>
      <c r="AS225" s="3">
        <v>13834.6633</v>
      </c>
      <c r="AT225" s="3">
        <v>14986.5315</v>
      </c>
      <c r="AU225" s="3">
        <f t="shared" si="2"/>
        <v>5657.003787</v>
      </c>
      <c r="AV225" s="3">
        <f t="shared" si="3"/>
        <v>8207.073264</v>
      </c>
      <c r="AW225" s="3">
        <f t="shared" si="4"/>
        <v>14345.24802</v>
      </c>
      <c r="AX225" s="4">
        <f t="shared" si="5"/>
        <v>0.0255657394</v>
      </c>
      <c r="AY225" s="4">
        <f t="shared" si="6"/>
        <v>0.03131195215</v>
      </c>
      <c r="AZ225" s="4">
        <f t="shared" si="7"/>
        <v>0.01433770093</v>
      </c>
    </row>
    <row r="226" ht="14.25" customHeight="1">
      <c r="A226" s="2" t="s">
        <v>370</v>
      </c>
      <c r="B226" s="3">
        <v>5673.0974</v>
      </c>
      <c r="C226" s="3">
        <v>5672.4667</v>
      </c>
      <c r="D226" s="3">
        <v>5497.7773</v>
      </c>
      <c r="E226" s="3">
        <v>5314.2588</v>
      </c>
      <c r="F226" s="3">
        <v>5344.9503</v>
      </c>
      <c r="G226" s="3">
        <v>5223.0251</v>
      </c>
      <c r="H226" s="3">
        <v>5285.8796</v>
      </c>
      <c r="I226" s="3">
        <v>5449.6379</v>
      </c>
      <c r="J226" s="3">
        <v>5417.0544</v>
      </c>
      <c r="K226" s="3">
        <v>5458.2567</v>
      </c>
      <c r="L226" s="3">
        <v>5431.5593</v>
      </c>
      <c r="M226" s="3">
        <v>5377.744</v>
      </c>
      <c r="N226" s="3">
        <v>5262.1252</v>
      </c>
      <c r="O226" s="3">
        <v>5240.0526</v>
      </c>
      <c r="P226" s="3">
        <v>5086.1745</v>
      </c>
      <c r="Q226" s="3">
        <v>5091.6401</v>
      </c>
      <c r="R226" s="3">
        <v>5272.2156</v>
      </c>
      <c r="S226" s="3">
        <v>5330.8659</v>
      </c>
      <c r="T226" s="3">
        <v>5398.1349</v>
      </c>
      <c r="U226" s="3">
        <v>5401.9188</v>
      </c>
      <c r="V226" s="3">
        <v>5472.7616</v>
      </c>
      <c r="W226" s="3">
        <v>5498.6182</v>
      </c>
      <c r="X226" s="3">
        <v>5586.9089</v>
      </c>
      <c r="Y226" s="3">
        <v>5676.6711</v>
      </c>
      <c r="Z226" s="3">
        <v>5813.3114</v>
      </c>
      <c r="AA226" s="3">
        <v>5995.3584</v>
      </c>
      <c r="AB226" s="3">
        <v>6189.1775</v>
      </c>
      <c r="AC226" s="3">
        <v>6416.4209</v>
      </c>
      <c r="AD226" s="3">
        <v>6402.7569</v>
      </c>
      <c r="AE226" s="3">
        <v>6383.6272</v>
      </c>
      <c r="AF226" s="3">
        <v>6511.859</v>
      </c>
      <c r="AG226" s="3">
        <v>6645.3461</v>
      </c>
      <c r="AH226" s="3">
        <v>6919.4677</v>
      </c>
      <c r="AI226" s="3">
        <v>7030.0412</v>
      </c>
      <c r="AJ226" s="3">
        <v>7179.0843</v>
      </c>
      <c r="AK226" s="3">
        <v>7210.4065</v>
      </c>
      <c r="AL226" s="3">
        <v>7141.4557</v>
      </c>
      <c r="AM226" s="3">
        <v>7193.7995</v>
      </c>
      <c r="AN226" s="3">
        <v>7224.9114</v>
      </c>
      <c r="AO226" s="3">
        <v>7196.9527</v>
      </c>
      <c r="AP226" s="3">
        <v>6843.7899</v>
      </c>
      <c r="AQ226" s="3">
        <v>6952.4716</v>
      </c>
      <c r="AR226" s="3">
        <v>6983.7937</v>
      </c>
      <c r="AS226" s="3">
        <v>6946.5855</v>
      </c>
      <c r="AT226" s="3">
        <v>6923.4618</v>
      </c>
      <c r="AU226" s="3">
        <f t="shared" si="2"/>
        <v>5382.270653</v>
      </c>
      <c r="AV226" s="3">
        <f t="shared" si="3"/>
        <v>5774.196236</v>
      </c>
      <c r="AW226" s="3">
        <f t="shared" si="4"/>
        <v>6993.561773</v>
      </c>
      <c r="AX226" s="4">
        <f t="shared" si="5"/>
        <v>-0.007770316004</v>
      </c>
      <c r="AY226" s="4">
        <f t="shared" si="6"/>
        <v>0.0162837631</v>
      </c>
      <c r="AZ226" s="4">
        <f t="shared" si="7"/>
        <v>0.002932801527</v>
      </c>
    </row>
    <row r="227" ht="14.25" customHeight="1">
      <c r="A227" s="2" t="s">
        <v>371</v>
      </c>
      <c r="B227" s="3">
        <v>5799.3848</v>
      </c>
      <c r="C227" s="3">
        <v>5750.4213</v>
      </c>
      <c r="D227" s="3">
        <v>5530.3576</v>
      </c>
      <c r="E227" s="3">
        <v>5253.1019</v>
      </c>
      <c r="F227" s="3">
        <v>5274.3194</v>
      </c>
      <c r="G227" s="3">
        <v>5219.4395</v>
      </c>
      <c r="H227" s="3">
        <v>5172.7202</v>
      </c>
      <c r="I227" s="3">
        <v>5170.476</v>
      </c>
      <c r="J227" s="3">
        <v>5232.9044</v>
      </c>
      <c r="K227" s="3">
        <v>5228.6201</v>
      </c>
      <c r="L227" s="3">
        <v>5237.3928</v>
      </c>
      <c r="M227" s="3">
        <v>5146.0623</v>
      </c>
      <c r="N227" s="3">
        <v>5040.6548</v>
      </c>
      <c r="O227" s="3">
        <v>4908.0453</v>
      </c>
      <c r="P227" s="3">
        <v>4809.7103</v>
      </c>
      <c r="Q227" s="3">
        <v>4843.1687</v>
      </c>
      <c r="R227" s="3">
        <v>4969.1137</v>
      </c>
      <c r="S227" s="3">
        <v>5001.28</v>
      </c>
      <c r="T227" s="3">
        <v>5018.0091</v>
      </c>
      <c r="U227" s="3">
        <v>4996.5196</v>
      </c>
      <c r="V227" s="3">
        <v>5035.7584</v>
      </c>
      <c r="W227" s="3">
        <v>5100.9751</v>
      </c>
      <c r="X227" s="3">
        <v>5274.5234</v>
      </c>
      <c r="Y227" s="3">
        <v>5369.5262</v>
      </c>
      <c r="Z227" s="3">
        <v>5560.0077</v>
      </c>
      <c r="AA227" s="3">
        <v>5740.8326</v>
      </c>
      <c r="AB227" s="3">
        <v>5920.9094</v>
      </c>
      <c r="AC227" s="3">
        <v>6126.7601</v>
      </c>
      <c r="AD227" s="3">
        <v>6277.3908</v>
      </c>
      <c r="AE227" s="3">
        <v>6311.6652</v>
      </c>
      <c r="AF227" s="3">
        <v>6502.0108</v>
      </c>
      <c r="AG227" s="3">
        <v>6629.7919</v>
      </c>
      <c r="AH227" s="3">
        <v>6757.4369</v>
      </c>
      <c r="AI227" s="3">
        <v>6905.5515</v>
      </c>
      <c r="AJ227" s="3">
        <v>7067.879</v>
      </c>
      <c r="AK227" s="3">
        <v>7090.0486</v>
      </c>
      <c r="AL227" s="3">
        <v>6992.7337</v>
      </c>
      <c r="AM227" s="3">
        <v>6981.6489</v>
      </c>
      <c r="AN227" s="3">
        <v>6992.5977</v>
      </c>
      <c r="AO227" s="3">
        <v>7000.6223</v>
      </c>
      <c r="AP227" s="3">
        <v>6676.9872</v>
      </c>
      <c r="AQ227" s="3">
        <v>6768.1817</v>
      </c>
      <c r="AR227" s="3">
        <v>6804.0883</v>
      </c>
      <c r="AS227" s="3">
        <v>6835.9825</v>
      </c>
      <c r="AT227" s="3">
        <v>6869.7129</v>
      </c>
      <c r="AU227" s="3">
        <f t="shared" si="2"/>
        <v>5251.574047</v>
      </c>
      <c r="AV227" s="3">
        <f t="shared" si="3"/>
        <v>5478.805093</v>
      </c>
      <c r="AW227" s="3">
        <f t="shared" si="4"/>
        <v>6858.351593</v>
      </c>
      <c r="AX227" s="4">
        <f t="shared" si="5"/>
        <v>-0.0132764366</v>
      </c>
      <c r="AY227" s="4">
        <f t="shared" si="6"/>
        <v>0.01909650273</v>
      </c>
      <c r="AZ227" s="4">
        <f t="shared" si="7"/>
        <v>0.002542433581</v>
      </c>
    </row>
    <row r="228" ht="14.25" customHeight="1">
      <c r="A228" s="2" t="s">
        <v>372</v>
      </c>
      <c r="B228" s="3">
        <v>933.7728</v>
      </c>
      <c r="C228" s="3">
        <v>950.414</v>
      </c>
      <c r="D228" s="3">
        <v>916.3433</v>
      </c>
      <c r="E228" s="3">
        <v>880.8412</v>
      </c>
      <c r="F228" s="3">
        <v>833.4585</v>
      </c>
      <c r="G228" s="3">
        <v>854.381</v>
      </c>
      <c r="H228" s="3">
        <v>1004.0686</v>
      </c>
      <c r="I228" s="3">
        <v>1187.3488</v>
      </c>
      <c r="J228" s="3">
        <v>984.3584</v>
      </c>
      <c r="K228" s="3">
        <v>1084.6574</v>
      </c>
      <c r="L228" s="3">
        <v>1183.3033</v>
      </c>
      <c r="M228" s="3">
        <v>1328.0829</v>
      </c>
      <c r="N228" s="3">
        <v>1314.9674</v>
      </c>
      <c r="O228" s="3">
        <v>1586.0948</v>
      </c>
      <c r="P228" s="3">
        <v>1176.5549</v>
      </c>
      <c r="Q228" s="3">
        <v>1125.1039</v>
      </c>
      <c r="R228" s="3">
        <v>1367.2741</v>
      </c>
      <c r="S228" s="3">
        <v>1439.5963</v>
      </c>
      <c r="T228" s="3">
        <v>1706.0426</v>
      </c>
      <c r="U228" s="3">
        <v>1846.2399</v>
      </c>
      <c r="V228" s="3">
        <v>2027.3055</v>
      </c>
      <c r="W228" s="3">
        <v>1992.7629</v>
      </c>
      <c r="X228" s="3">
        <v>2081.7999</v>
      </c>
      <c r="Y228" s="3">
        <v>2165.7169</v>
      </c>
      <c r="Z228" s="3">
        <v>2169.44</v>
      </c>
      <c r="AA228" s="3">
        <v>2224.1352</v>
      </c>
      <c r="AB228" s="3">
        <v>2398.7286</v>
      </c>
      <c r="AC228" s="3">
        <v>2400.4618</v>
      </c>
      <c r="AD228" s="3">
        <v>1880.2163</v>
      </c>
      <c r="AE228" s="3">
        <v>1625.4565</v>
      </c>
      <c r="AF228" s="3">
        <v>1351.6441</v>
      </c>
      <c r="AG228" s="3">
        <v>1360.7649</v>
      </c>
      <c r="AH228" s="3">
        <v>2145.2271</v>
      </c>
      <c r="AI228" s="3">
        <v>2175.6768</v>
      </c>
      <c r="AJ228" s="3">
        <v>2250.9904</v>
      </c>
      <c r="AK228" s="3">
        <v>2270.4784</v>
      </c>
      <c r="AL228" s="3">
        <v>2265.6221</v>
      </c>
      <c r="AM228" s="3">
        <v>2254.8632</v>
      </c>
      <c r="AN228" s="3">
        <v>2230.589</v>
      </c>
      <c r="AO228" s="3">
        <v>2189.3002</v>
      </c>
      <c r="AP228" s="3">
        <v>2080.3593</v>
      </c>
      <c r="AQ228" s="3">
        <v>1955.8094</v>
      </c>
      <c r="AR228" s="3">
        <v>1850.0717</v>
      </c>
      <c r="AS228" s="3">
        <v>1643.1511</v>
      </c>
      <c r="AT228" s="3">
        <v>1242.8268</v>
      </c>
      <c r="AU228" s="3">
        <f t="shared" si="2"/>
        <v>1081.243153</v>
      </c>
      <c r="AV228" s="3">
        <f t="shared" si="3"/>
        <v>1951.798321</v>
      </c>
      <c r="AW228" s="3">
        <f t="shared" si="4"/>
        <v>1951.1583</v>
      </c>
      <c r="AX228" s="4">
        <f t="shared" si="5"/>
        <v>0.01664506199</v>
      </c>
      <c r="AY228" s="4">
        <f t="shared" si="6"/>
        <v>0.02662787377</v>
      </c>
      <c r="AZ228" s="4">
        <f t="shared" si="7"/>
        <v>-0.006454685981</v>
      </c>
    </row>
    <row r="229" ht="14.25" customHeight="1">
      <c r="A229" s="2" t="s">
        <v>373</v>
      </c>
      <c r="B229" s="3">
        <v>27190.4189</v>
      </c>
      <c r="C229" s="3">
        <v>28635.2552</v>
      </c>
      <c r="D229" s="3">
        <v>26940.4387</v>
      </c>
      <c r="E229" s="3">
        <v>25318.4257</v>
      </c>
      <c r="F229" s="3">
        <v>24259.1768</v>
      </c>
      <c r="G229" s="3">
        <v>26904.5176</v>
      </c>
      <c r="H229" s="3">
        <v>25826.5317</v>
      </c>
      <c r="I229" s="3">
        <v>23427.178</v>
      </c>
      <c r="J229" s="3">
        <v>24918.8055</v>
      </c>
      <c r="K229" s="3">
        <v>25434.437</v>
      </c>
      <c r="L229" s="3">
        <v>23975.7954</v>
      </c>
      <c r="M229" s="3">
        <v>24314.2729</v>
      </c>
      <c r="N229" s="3">
        <v>24073.7693</v>
      </c>
      <c r="O229" s="3">
        <v>22193.9435</v>
      </c>
      <c r="P229" s="3">
        <v>22623.3187</v>
      </c>
      <c r="Q229" s="3">
        <v>22018.6951</v>
      </c>
      <c r="R229" s="3">
        <v>21502.876</v>
      </c>
      <c r="S229" s="3">
        <v>22024.0477</v>
      </c>
      <c r="T229" s="3">
        <v>21858.8959</v>
      </c>
      <c r="U229" s="3">
        <v>20896.6027</v>
      </c>
      <c r="V229" s="3">
        <v>20677.4868</v>
      </c>
      <c r="W229" s="3">
        <v>20887.3537</v>
      </c>
      <c r="X229" s="3">
        <v>20788.208</v>
      </c>
      <c r="Y229" s="3">
        <v>21373.7875</v>
      </c>
      <c r="Z229" s="3">
        <v>22525.5781</v>
      </c>
      <c r="AA229" s="3">
        <v>23035.7659</v>
      </c>
      <c r="AB229" s="3">
        <v>23983.5712</v>
      </c>
      <c r="AC229" s="3">
        <v>24821.6052</v>
      </c>
      <c r="AD229" s="3">
        <v>25659.7587</v>
      </c>
      <c r="AE229" s="3">
        <v>26308.0452</v>
      </c>
      <c r="AF229" s="3">
        <v>27455.0292</v>
      </c>
      <c r="AG229" s="3">
        <v>28857.8636</v>
      </c>
      <c r="AH229" s="3">
        <v>29465.1323</v>
      </c>
      <c r="AI229" s="3">
        <v>30121.9283</v>
      </c>
      <c r="AJ229" s="3">
        <v>30030.6437</v>
      </c>
      <c r="AK229" s="3">
        <v>28884.695</v>
      </c>
      <c r="AL229" s="3">
        <v>27047.9859</v>
      </c>
      <c r="AM229" s="3">
        <v>26986.2004</v>
      </c>
      <c r="AN229" s="3">
        <v>27873.9609</v>
      </c>
      <c r="AO229" s="3">
        <v>27704.1903</v>
      </c>
      <c r="AP229" s="3">
        <v>22904.9141</v>
      </c>
      <c r="AQ229" s="3">
        <v>21865.1132</v>
      </c>
      <c r="AR229" s="3">
        <v>22058.0917</v>
      </c>
      <c r="AS229" s="3">
        <v>22215.7294</v>
      </c>
      <c r="AT229" s="3">
        <v>21835.3524</v>
      </c>
      <c r="AU229" s="3">
        <f t="shared" si="2"/>
        <v>25069.08566</v>
      </c>
      <c r="AV229" s="3">
        <f t="shared" si="3"/>
        <v>22595.97019</v>
      </c>
      <c r="AW229" s="3">
        <f t="shared" si="4"/>
        <v>26353.78869</v>
      </c>
      <c r="AX229" s="4">
        <f t="shared" si="5"/>
        <v>-0.01304865339</v>
      </c>
      <c r="AY229" s="4">
        <f t="shared" si="6"/>
        <v>0.01279422055</v>
      </c>
      <c r="AZ229" s="4">
        <f t="shared" si="7"/>
        <v>-0.01972096099</v>
      </c>
    </row>
    <row r="230" ht="14.25" customHeight="1">
      <c r="A230" s="2" t="s">
        <v>374</v>
      </c>
      <c r="B230" s="3">
        <v>8197.3697</v>
      </c>
      <c r="C230" s="3">
        <v>8519.9199</v>
      </c>
      <c r="D230" s="3">
        <v>8391.73</v>
      </c>
      <c r="E230" s="3">
        <v>8103.9138</v>
      </c>
      <c r="F230" s="3">
        <v>8067.5908</v>
      </c>
      <c r="G230" s="3">
        <v>7947.779</v>
      </c>
      <c r="H230" s="3">
        <v>9076.4288</v>
      </c>
      <c r="I230" s="3">
        <v>9596.6256</v>
      </c>
      <c r="J230" s="3">
        <v>9750.0469</v>
      </c>
      <c r="K230" s="3">
        <v>10048.4682</v>
      </c>
      <c r="L230" s="3">
        <v>10496.311</v>
      </c>
      <c r="M230" s="3">
        <v>10146.4754</v>
      </c>
      <c r="N230" s="3">
        <v>9978.5357</v>
      </c>
      <c r="O230" s="3">
        <v>9948.1909</v>
      </c>
      <c r="P230" s="3">
        <v>10372.6831</v>
      </c>
      <c r="Q230" s="3">
        <v>11046.3121</v>
      </c>
      <c r="R230" s="3">
        <v>11166.113</v>
      </c>
      <c r="S230" s="3">
        <v>11208.879</v>
      </c>
      <c r="T230" s="3">
        <v>11196.3713</v>
      </c>
      <c r="U230" s="3">
        <v>11227.4729</v>
      </c>
      <c r="V230" s="3">
        <v>10846.3303</v>
      </c>
      <c r="W230" s="3">
        <v>10713.611</v>
      </c>
      <c r="X230" s="3">
        <v>10951.8831</v>
      </c>
      <c r="Y230" s="3">
        <v>11163.7347</v>
      </c>
      <c r="Z230" s="3">
        <v>11378.3213</v>
      </c>
      <c r="AA230" s="3">
        <v>11897.6641</v>
      </c>
      <c r="AB230" s="3">
        <v>12475.2857</v>
      </c>
      <c r="AC230" s="3">
        <v>12854.85</v>
      </c>
      <c r="AD230" s="3">
        <v>12659.8194</v>
      </c>
      <c r="AE230" s="3">
        <v>12600.6432</v>
      </c>
      <c r="AF230" s="3">
        <v>12818.3973</v>
      </c>
      <c r="AG230" s="3">
        <v>12862.5578</v>
      </c>
      <c r="AH230" s="3">
        <v>13328.4755</v>
      </c>
      <c r="AI230" s="3">
        <v>13611.1569</v>
      </c>
      <c r="AJ230" s="3">
        <v>13497.053</v>
      </c>
      <c r="AK230" s="3">
        <v>13548.6727</v>
      </c>
      <c r="AL230" s="3">
        <v>13513.5605</v>
      </c>
      <c r="AM230" s="3">
        <v>13557.2129</v>
      </c>
      <c r="AN230" s="3">
        <v>13606.1949</v>
      </c>
      <c r="AO230" s="3">
        <v>13704.602</v>
      </c>
      <c r="AP230" s="3">
        <v>13187.0754</v>
      </c>
      <c r="AQ230" s="3">
        <v>13345.0695</v>
      </c>
      <c r="AR230" s="3">
        <v>13104.5704</v>
      </c>
      <c r="AS230" s="3">
        <v>13608.4435</v>
      </c>
      <c r="AT230" s="3">
        <v>13875.7956</v>
      </c>
      <c r="AU230" s="3">
        <f t="shared" si="2"/>
        <v>9242.804587</v>
      </c>
      <c r="AV230" s="3">
        <f t="shared" si="3"/>
        <v>11595.78421</v>
      </c>
      <c r="AW230" s="3">
        <f t="shared" si="4"/>
        <v>13411.25586</v>
      </c>
      <c r="AX230" s="4">
        <f t="shared" si="5"/>
        <v>0.01695370954</v>
      </c>
      <c r="AY230" s="4">
        <f t="shared" si="6"/>
        <v>0.009448012942</v>
      </c>
      <c r="AZ230" s="4">
        <f t="shared" si="7"/>
        <v>0.00543079385</v>
      </c>
    </row>
    <row r="231" ht="14.25" customHeight="1">
      <c r="A231" s="2" t="s">
        <v>375</v>
      </c>
      <c r="B231" s="3">
        <v>34568.8188</v>
      </c>
      <c r="C231" s="3">
        <v>34616.6147</v>
      </c>
      <c r="D231" s="3">
        <v>34936.3085</v>
      </c>
      <c r="E231" s="3">
        <v>35462.8865</v>
      </c>
      <c r="F231" s="3">
        <v>36765.6516</v>
      </c>
      <c r="G231" s="3">
        <v>37325.1078</v>
      </c>
      <c r="H231" s="3">
        <v>38090.5139</v>
      </c>
      <c r="I231" s="3">
        <v>39106.7109</v>
      </c>
      <c r="J231" s="3">
        <v>39847.1927</v>
      </c>
      <c r="K231" s="3">
        <v>40626.7739</v>
      </c>
      <c r="L231" s="3">
        <v>40653.0796</v>
      </c>
      <c r="M231" s="3">
        <v>39946.6419</v>
      </c>
      <c r="N231" s="3">
        <v>39270.2154</v>
      </c>
      <c r="O231" s="3">
        <v>38252.4052</v>
      </c>
      <c r="P231" s="3">
        <v>39480.8769</v>
      </c>
      <c r="Q231" s="3">
        <v>40794.6387</v>
      </c>
      <c r="R231" s="3">
        <v>41320.7934</v>
      </c>
      <c r="S231" s="3">
        <v>42508.5607</v>
      </c>
      <c r="T231" s="3">
        <v>44266.6851</v>
      </c>
      <c r="U231" s="3">
        <v>46054.4613</v>
      </c>
      <c r="V231" s="3">
        <v>48099.3054</v>
      </c>
      <c r="W231" s="3">
        <v>48605.5112</v>
      </c>
      <c r="X231" s="3">
        <v>49478.2326</v>
      </c>
      <c r="Y231" s="3">
        <v>50421.1185</v>
      </c>
      <c r="Z231" s="3">
        <v>52389.9922</v>
      </c>
      <c r="AA231" s="3">
        <v>53632.695</v>
      </c>
      <c r="AB231" s="3">
        <v>55765.4405</v>
      </c>
      <c r="AC231" s="3">
        <v>57204.9332</v>
      </c>
      <c r="AD231" s="3">
        <v>56426.2385</v>
      </c>
      <c r="AE231" s="3">
        <v>53414.1592</v>
      </c>
      <c r="AF231" s="3">
        <v>55966.9342</v>
      </c>
      <c r="AG231" s="3">
        <v>57145.901</v>
      </c>
      <c r="AH231" s="3">
        <v>56239.0157</v>
      </c>
      <c r="AI231" s="3">
        <v>56334.6875</v>
      </c>
      <c r="AJ231" s="3">
        <v>57219.2999</v>
      </c>
      <c r="AK231" s="3">
        <v>59171.6188</v>
      </c>
      <c r="AL231" s="3">
        <v>59741.2171</v>
      </c>
      <c r="AM231" s="3">
        <v>60605.5771</v>
      </c>
      <c r="AN231" s="3">
        <v>61208.5568</v>
      </c>
      <c r="AO231" s="3">
        <v>61857.5276</v>
      </c>
      <c r="AP231" s="3">
        <v>60080.8998</v>
      </c>
      <c r="AQ231" s="3">
        <v>63381.0565</v>
      </c>
      <c r="AR231" s="3">
        <v>64670.8603</v>
      </c>
      <c r="AS231" s="3">
        <v>63937.5179</v>
      </c>
      <c r="AT231" s="3">
        <v>64074.3972</v>
      </c>
      <c r="AU231" s="3">
        <f t="shared" si="2"/>
        <v>37929.98655</v>
      </c>
      <c r="AV231" s="3">
        <f t="shared" si="3"/>
        <v>49970.58049</v>
      </c>
      <c r="AW231" s="3">
        <f t="shared" si="4"/>
        <v>60109.00449</v>
      </c>
      <c r="AX231" s="4">
        <f t="shared" si="5"/>
        <v>0.009535485831</v>
      </c>
      <c r="AY231" s="4">
        <f t="shared" si="6"/>
        <v>0.01943831058</v>
      </c>
      <c r="AZ231" s="4">
        <f t="shared" si="7"/>
        <v>0.00820758479</v>
      </c>
    </row>
    <row r="232" ht="14.25" customHeight="1">
      <c r="A232" s="2" t="s">
        <v>376</v>
      </c>
      <c r="B232" s="3">
        <v>58477.4549</v>
      </c>
      <c r="C232" s="3">
        <v>58756.1976</v>
      </c>
      <c r="D232" s="3">
        <v>57277.1122</v>
      </c>
      <c r="E232" s="3">
        <v>56977.3389</v>
      </c>
      <c r="F232" s="3">
        <v>58045.9451</v>
      </c>
      <c r="G232" s="3">
        <v>59479.1517</v>
      </c>
      <c r="H232" s="3">
        <v>59864.7828</v>
      </c>
      <c r="I232" s="3">
        <v>60085.5698</v>
      </c>
      <c r="J232" s="3">
        <v>61314.925</v>
      </c>
      <c r="K232" s="3">
        <v>63219.9675</v>
      </c>
      <c r="L232" s="3">
        <v>64739.1013</v>
      </c>
      <c r="M232" s="3">
        <v>63228.9906</v>
      </c>
      <c r="N232" s="3">
        <v>62428.3688</v>
      </c>
      <c r="O232" s="3">
        <v>61817.231</v>
      </c>
      <c r="P232" s="3">
        <v>62113.0481</v>
      </c>
      <c r="Q232" s="3">
        <v>62014.9051</v>
      </c>
      <c r="R232" s="3">
        <v>62141.5054</v>
      </c>
      <c r="S232" s="3">
        <v>63443.4614</v>
      </c>
      <c r="T232" s="3">
        <v>65156.4519</v>
      </c>
      <c r="U232" s="3">
        <v>65899.3956</v>
      </c>
      <c r="V232" s="3">
        <v>68054.307</v>
      </c>
      <c r="W232" s="3">
        <v>68431.748</v>
      </c>
      <c r="X232" s="3">
        <v>67618.7716</v>
      </c>
      <c r="Y232" s="3">
        <v>66930.8685</v>
      </c>
      <c r="Z232" s="3">
        <v>68115.2473</v>
      </c>
      <c r="AA232" s="3">
        <v>69338.3558</v>
      </c>
      <c r="AB232" s="3">
        <v>71485.4936</v>
      </c>
      <c r="AC232" s="3">
        <v>73402.4743</v>
      </c>
      <c r="AD232" s="3">
        <v>74280.1389</v>
      </c>
      <c r="AE232" s="3">
        <v>71409.9776</v>
      </c>
      <c r="AF232" s="3">
        <v>72645.996</v>
      </c>
      <c r="AG232" s="3">
        <v>72793.9045</v>
      </c>
      <c r="AH232" s="3">
        <v>72817.4339</v>
      </c>
      <c r="AI232" s="3">
        <v>73049.3261</v>
      </c>
      <c r="AJ232" s="3">
        <v>73691.4893</v>
      </c>
      <c r="AK232" s="3">
        <v>73941.983</v>
      </c>
      <c r="AL232" s="3">
        <v>74670.0039</v>
      </c>
      <c r="AM232" s="3">
        <v>74824.0203</v>
      </c>
      <c r="AN232" s="3">
        <v>76379.3157</v>
      </c>
      <c r="AO232" s="3">
        <v>76582.6813</v>
      </c>
      <c r="AP232" s="3">
        <v>74224.8901</v>
      </c>
      <c r="AQ232" s="3">
        <v>77551.9646</v>
      </c>
      <c r="AR232" s="3">
        <v>78721.8371</v>
      </c>
      <c r="AS232" s="3">
        <v>79466.5854</v>
      </c>
      <c r="AT232" s="3">
        <v>80002.7625</v>
      </c>
      <c r="AU232" s="3">
        <f t="shared" si="2"/>
        <v>60521.67902</v>
      </c>
      <c r="AV232" s="3">
        <f t="shared" si="3"/>
        <v>68264.87121</v>
      </c>
      <c r="AW232" s="3">
        <f t="shared" si="4"/>
        <v>75424.27958</v>
      </c>
      <c r="AX232" s="4">
        <f t="shared" si="5"/>
        <v>0.004317492743</v>
      </c>
      <c r="AY232" s="4">
        <f t="shared" si="6"/>
        <v>0.01012685018</v>
      </c>
      <c r="AZ232" s="4">
        <f t="shared" si="7"/>
        <v>0.006767722734</v>
      </c>
    </row>
    <row r="233" ht="14.25" customHeight="1">
      <c r="A233" s="2" t="s">
        <v>377</v>
      </c>
      <c r="B233" s="3">
        <v>13085.1598</v>
      </c>
      <c r="C233" s="3">
        <v>13855.0181</v>
      </c>
      <c r="D233" s="3">
        <v>13673.2695</v>
      </c>
      <c r="E233" s="3">
        <v>13379.7343</v>
      </c>
      <c r="F233" s="3">
        <v>12358.3225</v>
      </c>
      <c r="G233" s="3">
        <v>12616.039</v>
      </c>
      <c r="H233" s="3">
        <v>11533.4412</v>
      </c>
      <c r="I233" s="3">
        <v>11299.9447</v>
      </c>
      <c r="J233" s="3">
        <v>12301.44</v>
      </c>
      <c r="K233" s="3">
        <v>9809.3619</v>
      </c>
      <c r="L233" s="3">
        <v>9856.815</v>
      </c>
      <c r="M233" s="3">
        <v>10218.4266</v>
      </c>
      <c r="N233" s="3">
        <v>11139.9394</v>
      </c>
      <c r="O233" s="3">
        <v>11258.1791</v>
      </c>
      <c r="P233" s="3">
        <v>11604.5277</v>
      </c>
      <c r="Q233" s="3">
        <v>11943.8735</v>
      </c>
      <c r="R233" s="3">
        <v>12639.0256</v>
      </c>
      <c r="S233" s="3">
        <v>12797.1595</v>
      </c>
      <c r="T233" s="3">
        <v>13173.1909</v>
      </c>
      <c r="U233" s="3">
        <v>12248.7389</v>
      </c>
      <c r="V233" s="3">
        <v>11897.6953</v>
      </c>
      <c r="W233" s="3">
        <v>11918.6294</v>
      </c>
      <c r="X233" s="3">
        <v>12417.9227</v>
      </c>
      <c r="Y233" s="3">
        <v>12065.8659</v>
      </c>
      <c r="Z233" s="3">
        <v>12433.0003</v>
      </c>
      <c r="AA233" s="3">
        <v>12704.8096</v>
      </c>
      <c r="AB233" s="3">
        <v>12503.2011</v>
      </c>
      <c r="AC233" s="3">
        <v>12049.7119</v>
      </c>
      <c r="AD233" s="3">
        <v>11975.2621</v>
      </c>
      <c r="AE233" s="3">
        <v>12428.5921</v>
      </c>
      <c r="AF233" s="3">
        <v>12692.729</v>
      </c>
      <c r="AG233" s="3">
        <v>12775.6517</v>
      </c>
      <c r="AH233" s="3">
        <v>9516.0743</v>
      </c>
      <c r="AI233" s="3">
        <v>7563.723</v>
      </c>
      <c r="AJ233" s="3">
        <v>7517.759</v>
      </c>
      <c r="AK233" s="3">
        <v>7697.5871</v>
      </c>
      <c r="AL233" s="3">
        <v>7425.9872</v>
      </c>
      <c r="AM233" s="3">
        <v>7416.4662</v>
      </c>
      <c r="AN233" s="3">
        <v>7351.3045</v>
      </c>
      <c r="AO233" s="3">
        <v>7005.228</v>
      </c>
      <c r="AP233" s="3">
        <v>6753.4803</v>
      </c>
      <c r="AQ233" s="3">
        <v>6410.62</v>
      </c>
      <c r="AR233" s="3">
        <v>6095.0797</v>
      </c>
      <c r="AS233" s="3">
        <v>5452.7547</v>
      </c>
      <c r="AT233" s="3">
        <v>4894.0274</v>
      </c>
      <c r="AU233" s="3">
        <f t="shared" si="2"/>
        <v>11865.97459</v>
      </c>
      <c r="AV233" s="3">
        <f t="shared" si="3"/>
        <v>12375.20038</v>
      </c>
      <c r="AW233" s="3">
        <f t="shared" si="4"/>
        <v>7771.231473</v>
      </c>
      <c r="AX233" s="4">
        <f t="shared" si="5"/>
        <v>-0.008540705419</v>
      </c>
      <c r="AY233" s="4">
        <f t="shared" si="6"/>
        <v>0.002845552616</v>
      </c>
      <c r="AZ233" s="4">
        <f t="shared" si="7"/>
        <v>-0.0662415955</v>
      </c>
    </row>
    <row r="234" ht="14.25" customHeight="1">
      <c r="A234" s="2" t="s">
        <v>378</v>
      </c>
      <c r="B234" s="3">
        <v>12732.8899</v>
      </c>
      <c r="C234" s="3">
        <v>13187.9252</v>
      </c>
      <c r="D234" s="3">
        <v>13415.3975</v>
      </c>
      <c r="E234" s="3">
        <v>14205.6798</v>
      </c>
      <c r="F234" s="3">
        <v>15199.5331</v>
      </c>
      <c r="G234" s="3">
        <v>15508.9488</v>
      </c>
      <c r="H234" s="3">
        <v>16860.9073</v>
      </c>
      <c r="I234" s="3">
        <v>18576.65</v>
      </c>
      <c r="J234" s="3">
        <v>19630.8788</v>
      </c>
      <c r="K234" s="3">
        <v>20877.189</v>
      </c>
      <c r="L234" s="3">
        <v>21567.4218</v>
      </c>
      <c r="M234" s="3">
        <v>22910.7329</v>
      </c>
      <c r="N234" s="3">
        <v>24361.612</v>
      </c>
      <c r="O234" s="3">
        <v>25577.6313</v>
      </c>
      <c r="P234" s="3">
        <v>27051.8573</v>
      </c>
      <c r="Q234" s="3">
        <v>28353.4483</v>
      </c>
      <c r="R234" s="3">
        <v>29583.512</v>
      </c>
      <c r="S234" s="3">
        <v>30815.1026</v>
      </c>
      <c r="T234" s="3">
        <v>31548.2649</v>
      </c>
      <c r="U234" s="3">
        <v>32938.7837</v>
      </c>
      <c r="V234" s="3">
        <v>34327.6396</v>
      </c>
      <c r="W234" s="3">
        <v>33310.6107</v>
      </c>
      <c r="X234" s="3">
        <v>34544.8268</v>
      </c>
      <c r="Y234" s="3">
        <v>35453.1336</v>
      </c>
      <c r="Z234" s="3">
        <v>37385.9124</v>
      </c>
      <c r="AA234" s="3">
        <v>38888.3129</v>
      </c>
      <c r="AB234" s="3">
        <v>40642.2482</v>
      </c>
      <c r="AC234" s="3">
        <v>42935.0873</v>
      </c>
      <c r="AD234" s="3">
        <v>42774.3701</v>
      </c>
      <c r="AE234" s="3">
        <v>41591.0405</v>
      </c>
      <c r="AF234" s="3">
        <v>45353.6811</v>
      </c>
      <c r="AG234" s="3">
        <v>46532.0319</v>
      </c>
      <c r="AH234" s="3">
        <v>47097.0793</v>
      </c>
      <c r="AI234" s="3">
        <v>47811.5207</v>
      </c>
      <c r="AJ234" s="3">
        <v>49624.4809</v>
      </c>
      <c r="AK234" s="3">
        <v>49939.7926</v>
      </c>
      <c r="AL234" s="3">
        <v>50619.8057</v>
      </c>
      <c r="AM234" s="3">
        <v>51901.9905</v>
      </c>
      <c r="AN234" s="3">
        <v>52999.184</v>
      </c>
      <c r="AO234" s="3">
        <v>54394.7723</v>
      </c>
      <c r="AP234" s="3">
        <v>56027.2161</v>
      </c>
      <c r="AQ234" s="3">
        <v>59637.4694</v>
      </c>
      <c r="AR234" s="3">
        <v>61206.3378</v>
      </c>
      <c r="AS234" s="3">
        <v>61878.1219</v>
      </c>
      <c r="AT234" s="3">
        <v>64575.6389</v>
      </c>
      <c r="AU234" s="3">
        <f t="shared" si="2"/>
        <v>18777.68365</v>
      </c>
      <c r="AV234" s="3">
        <f t="shared" si="3"/>
        <v>36195.63181</v>
      </c>
      <c r="AW234" s="3">
        <f t="shared" si="4"/>
        <v>53306.60821</v>
      </c>
      <c r="AX234" s="4">
        <f t="shared" si="5"/>
        <v>0.05530120977</v>
      </c>
      <c r="AY234" s="4">
        <f t="shared" si="6"/>
        <v>0.0277447776</v>
      </c>
      <c r="AZ234" s="4">
        <f t="shared" si="7"/>
        <v>0.02368296944</v>
      </c>
    </row>
    <row r="235" ht="14.25" customHeight="1">
      <c r="A235" s="2" t="s">
        <v>379</v>
      </c>
      <c r="B235" s="3">
        <v>9237.8723</v>
      </c>
      <c r="C235" s="3">
        <v>8967.5805</v>
      </c>
      <c r="D235" s="3">
        <v>8703.4205</v>
      </c>
      <c r="E235" s="3">
        <v>8443.9509</v>
      </c>
      <c r="F235" s="3">
        <v>8190.744</v>
      </c>
      <c r="G235" s="3">
        <v>7924.9331</v>
      </c>
      <c r="H235" s="3">
        <v>7915.2639</v>
      </c>
      <c r="I235" s="3">
        <v>7545.8695</v>
      </c>
      <c r="J235" s="3">
        <v>8295.1659</v>
      </c>
      <c r="K235" s="3">
        <v>7555.0146</v>
      </c>
      <c r="L235" s="3">
        <v>7360.0325</v>
      </c>
      <c r="M235" s="3">
        <v>6680.176</v>
      </c>
      <c r="N235" s="3">
        <v>4664.2162</v>
      </c>
      <c r="O235" s="3">
        <v>3865.0279</v>
      </c>
      <c r="P235" s="3">
        <v>2998.9413</v>
      </c>
      <c r="Q235" s="3">
        <v>2575.148</v>
      </c>
      <c r="R235" s="3">
        <v>2096.877</v>
      </c>
      <c r="S235" s="3">
        <v>2099.0781</v>
      </c>
      <c r="T235" s="3">
        <v>2189.4025</v>
      </c>
      <c r="U235" s="3">
        <v>2244.6924</v>
      </c>
      <c r="V235" s="3">
        <v>2380.7685</v>
      </c>
      <c r="W235" s="3">
        <v>2534.3749</v>
      </c>
      <c r="X235" s="3">
        <v>2730.0122</v>
      </c>
      <c r="Y235" s="3">
        <v>2947.3199</v>
      </c>
      <c r="Z235" s="3">
        <v>3155.5087</v>
      </c>
      <c r="AA235" s="3">
        <v>3265.5645</v>
      </c>
      <c r="AB235" s="3">
        <v>3372.0304</v>
      </c>
      <c r="AC235" s="3">
        <v>3519.2693</v>
      </c>
      <c r="AD235" s="3">
        <v>3670.4388</v>
      </c>
      <c r="AE235" s="3">
        <v>3704.7395</v>
      </c>
      <c r="AF235" s="3">
        <v>3829.417</v>
      </c>
      <c r="AG235" s="3">
        <v>3807.2224</v>
      </c>
      <c r="AH235" s="3">
        <v>3970.8124</v>
      </c>
      <c r="AI235" s="3">
        <v>4133.1185</v>
      </c>
      <c r="AJ235" s="3">
        <v>4273.7803</v>
      </c>
      <c r="AK235" s="3">
        <v>4391.7234</v>
      </c>
      <c r="AL235" s="3">
        <v>4560.3707</v>
      </c>
      <c r="AM235" s="3">
        <v>4767.2232</v>
      </c>
      <c r="AN235" s="3">
        <v>4973.5778</v>
      </c>
      <c r="AO235" s="3">
        <v>5183.6271</v>
      </c>
      <c r="AP235" s="3">
        <v>5260.5351</v>
      </c>
      <c r="AQ235" s="3">
        <v>5656.7359</v>
      </c>
      <c r="AR235" s="3">
        <v>5969.5563</v>
      </c>
      <c r="AS235" s="3">
        <v>6284.4207</v>
      </c>
      <c r="AT235" s="3">
        <v>6679.914</v>
      </c>
      <c r="AU235" s="3">
        <f t="shared" si="2"/>
        <v>7223.21394</v>
      </c>
      <c r="AV235" s="3">
        <f t="shared" si="3"/>
        <v>2850.719764</v>
      </c>
      <c r="AW235" s="3">
        <f t="shared" si="4"/>
        <v>4916.135653</v>
      </c>
      <c r="AX235" s="4">
        <f t="shared" si="5"/>
        <v>-0.07721672393</v>
      </c>
      <c r="AY235" s="4">
        <f t="shared" si="6"/>
        <v>0.02631939097</v>
      </c>
      <c r="AZ235" s="4">
        <f t="shared" si="7"/>
        <v>0.04097473107</v>
      </c>
    </row>
    <row r="236" ht="14.25" customHeight="1">
      <c r="A236" s="2" t="s">
        <v>380</v>
      </c>
      <c r="B236" s="3">
        <v>2699.7835</v>
      </c>
      <c r="C236" s="3">
        <v>2622.5522</v>
      </c>
      <c r="D236" s="3">
        <v>2571.8313</v>
      </c>
      <c r="E236" s="3">
        <v>2437.089</v>
      </c>
      <c r="F236" s="3">
        <v>2445.6911</v>
      </c>
      <c r="G236" s="3">
        <v>2477.3767</v>
      </c>
      <c r="H236" s="3">
        <v>2440.9281</v>
      </c>
      <c r="I236" s="3">
        <v>2475.2492</v>
      </c>
      <c r="J236" s="3">
        <v>2495.3768</v>
      </c>
      <c r="K236" s="3">
        <v>2527.8139</v>
      </c>
      <c r="L236" s="3">
        <v>2570.6059</v>
      </c>
      <c r="M236" s="3">
        <v>2645.1172</v>
      </c>
      <c r="N236" s="3">
        <v>2665.6314</v>
      </c>
      <c r="O236" s="3">
        <v>2668.5912</v>
      </c>
      <c r="P236" s="3">
        <v>2607.7648</v>
      </c>
      <c r="Q236" s="3">
        <v>2593.6166</v>
      </c>
      <c r="R236" s="3">
        <v>2658.8718</v>
      </c>
      <c r="S236" s="3">
        <v>2697.805</v>
      </c>
      <c r="T236" s="3">
        <v>2719.6969</v>
      </c>
      <c r="U236" s="3">
        <v>2769.6653</v>
      </c>
      <c r="V236" s="3">
        <v>2816.8283</v>
      </c>
      <c r="W236" s="3">
        <v>2902.6533</v>
      </c>
      <c r="X236" s="3">
        <v>3030.7383</v>
      </c>
      <c r="Y236" s="3">
        <v>3154.3754</v>
      </c>
      <c r="Z236" s="3">
        <v>3312.0058</v>
      </c>
      <c r="AA236" s="3">
        <v>3462.842</v>
      </c>
      <c r="AB236" s="3">
        <v>3529.6785</v>
      </c>
      <c r="AC236" s="3">
        <v>3726.5357</v>
      </c>
      <c r="AD236" s="3">
        <v>3813.4346</v>
      </c>
      <c r="AE236" s="3">
        <v>3930.2162</v>
      </c>
      <c r="AF236" s="3">
        <v>4082.2872</v>
      </c>
      <c r="AG236" s="3">
        <v>4282.4624</v>
      </c>
      <c r="AH236" s="3">
        <v>4371.8286</v>
      </c>
      <c r="AI236" s="3">
        <v>4519.6933</v>
      </c>
      <c r="AJ236" s="3">
        <v>4659.5449</v>
      </c>
      <c r="AK236" s="3">
        <v>4750.6727</v>
      </c>
      <c r="AL236" s="3">
        <v>4878.9063</v>
      </c>
      <c r="AM236" s="3">
        <v>5002.9841</v>
      </c>
      <c r="AN236" s="3">
        <v>5161.5168</v>
      </c>
      <c r="AO236" s="3">
        <v>5344.5217</v>
      </c>
      <c r="AP236" s="3">
        <v>5396.5934</v>
      </c>
      <c r="AQ236" s="3">
        <v>5485.8549</v>
      </c>
      <c r="AR236" s="3">
        <v>5521.5952</v>
      </c>
      <c r="AS236" s="3">
        <v>5635.0202</v>
      </c>
      <c r="AT236" s="3">
        <v>5838.3235</v>
      </c>
      <c r="AU236" s="3">
        <f t="shared" si="2"/>
        <v>2556.760153</v>
      </c>
      <c r="AV236" s="3">
        <f t="shared" si="3"/>
        <v>3180.381936</v>
      </c>
      <c r="AW236" s="3">
        <f t="shared" si="4"/>
        <v>4995.45368</v>
      </c>
      <c r="AX236" s="4">
        <f t="shared" si="5"/>
        <v>-0.002473943934</v>
      </c>
      <c r="AY236" s="4">
        <f t="shared" si="6"/>
        <v>0.03013375664</v>
      </c>
      <c r="AZ236" s="4">
        <f t="shared" si="7"/>
        <v>0.0223836598</v>
      </c>
    </row>
    <row r="237" ht="14.25" customHeight="1">
      <c r="A237" s="2" t="s">
        <v>381</v>
      </c>
      <c r="B237" s="3">
        <v>7514.7009</v>
      </c>
      <c r="C237" s="3">
        <v>7683.7361</v>
      </c>
      <c r="D237" s="3">
        <v>7812.9316</v>
      </c>
      <c r="E237" s="3">
        <v>7952.0563</v>
      </c>
      <c r="F237" s="3">
        <v>8101.013</v>
      </c>
      <c r="G237" s="3">
        <v>8167.2073</v>
      </c>
      <c r="H237" s="3">
        <v>8309.0782</v>
      </c>
      <c r="I237" s="3">
        <v>8779.6278</v>
      </c>
      <c r="J237" s="3">
        <v>9602.0178</v>
      </c>
      <c r="K237" s="3">
        <v>10416.5578</v>
      </c>
      <c r="L237" s="3">
        <v>11190.4096</v>
      </c>
      <c r="M237" s="3">
        <v>11725.2364</v>
      </c>
      <c r="N237" s="3">
        <v>12399.2073</v>
      </c>
      <c r="O237" s="3">
        <v>13069.5706</v>
      </c>
      <c r="P237" s="3">
        <v>13720.9176</v>
      </c>
      <c r="Q237" s="3">
        <v>14449.1199</v>
      </c>
      <c r="R237" s="3">
        <v>14898.5677</v>
      </c>
      <c r="S237" s="3">
        <v>14164.5102</v>
      </c>
      <c r="T237" s="3">
        <v>12804.0549</v>
      </c>
      <c r="U237" s="3">
        <v>13113.4519</v>
      </c>
      <c r="V237" s="3">
        <v>13425.9642</v>
      </c>
      <c r="W237" s="3">
        <v>13617.5327</v>
      </c>
      <c r="X237" s="3">
        <v>14174.8992</v>
      </c>
      <c r="Y237" s="3">
        <v>14908.7559</v>
      </c>
      <c r="Z237" s="3">
        <v>15565.2845</v>
      </c>
      <c r="AA237" s="3">
        <v>15946.5949</v>
      </c>
      <c r="AB237" s="3">
        <v>16476.0588</v>
      </c>
      <c r="AC237" s="3">
        <v>17113.5192</v>
      </c>
      <c r="AD237" s="3">
        <v>17161.6687</v>
      </c>
      <c r="AE237" s="3">
        <v>16809.2455</v>
      </c>
      <c r="AF237" s="3">
        <v>17836.0995</v>
      </c>
      <c r="AG237" s="3">
        <v>17758.726</v>
      </c>
      <c r="AH237" s="3">
        <v>18805.8075</v>
      </c>
      <c r="AI237" s="3">
        <v>19075.6239</v>
      </c>
      <c r="AJ237" s="3">
        <v>19038.7701</v>
      </c>
      <c r="AK237" s="3">
        <v>19413.61</v>
      </c>
      <c r="AL237" s="3">
        <v>19842.6619</v>
      </c>
      <c r="AM237" s="3">
        <v>20426.7783</v>
      </c>
      <c r="AN237" s="3">
        <v>21073.4359</v>
      </c>
      <c r="AO237" s="3">
        <v>21339.4633</v>
      </c>
      <c r="AP237" s="3">
        <v>19892.0939</v>
      </c>
      <c r="AQ237" s="3">
        <v>20041.3162</v>
      </c>
      <c r="AR237" s="3">
        <v>20435.0493</v>
      </c>
      <c r="AS237" s="3">
        <v>20709.5485</v>
      </c>
      <c r="AT237" s="3">
        <v>21131.0224</v>
      </c>
      <c r="AU237" s="3">
        <f t="shared" si="2"/>
        <v>9762.95122</v>
      </c>
      <c r="AV237" s="3">
        <f t="shared" si="3"/>
        <v>15012.86488</v>
      </c>
      <c r="AW237" s="3">
        <f t="shared" si="4"/>
        <v>19788.00045</v>
      </c>
      <c r="AX237" s="4">
        <f t="shared" si="5"/>
        <v>0.04394238965</v>
      </c>
      <c r="AY237" s="4">
        <f t="shared" si="6"/>
        <v>0.01086543011</v>
      </c>
      <c r="AZ237" s="4">
        <f t="shared" si="7"/>
        <v>0.0124963793</v>
      </c>
    </row>
    <row r="238" ht="14.25" customHeight="1">
      <c r="A238" s="2" t="s">
        <v>382</v>
      </c>
      <c r="B238" s="3">
        <v>3043.7987</v>
      </c>
      <c r="C238" s="3">
        <v>3257.6625</v>
      </c>
      <c r="D238" s="3">
        <v>3328.9505</v>
      </c>
      <c r="E238" s="3">
        <v>3612.5762</v>
      </c>
      <c r="F238" s="3">
        <v>3848.0226</v>
      </c>
      <c r="G238" s="3">
        <v>3918.8745</v>
      </c>
      <c r="H238" s="3">
        <v>4118.1319</v>
      </c>
      <c r="I238" s="3">
        <v>4283.5984</v>
      </c>
      <c r="J238" s="3">
        <v>4488.306</v>
      </c>
      <c r="K238" s="3">
        <v>4830.3573</v>
      </c>
      <c r="L238" s="3">
        <v>5189.413</v>
      </c>
      <c r="M238" s="3">
        <v>5610.1645</v>
      </c>
      <c r="N238" s="3">
        <v>6029.6079</v>
      </c>
      <c r="O238" s="3">
        <v>6470.4158</v>
      </c>
      <c r="P238" s="3">
        <v>6753.8235</v>
      </c>
      <c r="Q238" s="3">
        <v>7025.2409</v>
      </c>
      <c r="R238" s="3">
        <v>7401.0831</v>
      </c>
      <c r="S238" s="3">
        <v>7329.3592</v>
      </c>
      <c r="T238" s="3">
        <v>6820.9694</v>
      </c>
      <c r="U238" s="3">
        <v>4858.48</v>
      </c>
      <c r="V238" s="3">
        <v>6188.5342</v>
      </c>
      <c r="W238" s="3">
        <v>6616.9158</v>
      </c>
      <c r="X238" s="3">
        <v>5705.433</v>
      </c>
      <c r="Y238" s="3">
        <v>5344.8512</v>
      </c>
      <c r="Z238" s="3">
        <v>5282.0655</v>
      </c>
      <c r="AA238" s="3">
        <v>5324.3587</v>
      </c>
      <c r="AB238" s="3">
        <v>4960.2888</v>
      </c>
      <c r="AC238" s="3">
        <v>5314.1124</v>
      </c>
      <c r="AD238" s="3">
        <v>5748.1622</v>
      </c>
      <c r="AE238" s="3">
        <v>6141.8809</v>
      </c>
      <c r="AF238" s="3">
        <v>6548.68</v>
      </c>
      <c r="AG238" s="3">
        <v>6738.3451</v>
      </c>
      <c r="AH238" s="3">
        <v>6863.2625</v>
      </c>
      <c r="AI238" s="3">
        <v>6873.9448</v>
      </c>
      <c r="AJ238" s="3">
        <v>6978.1516</v>
      </c>
      <c r="AK238" s="3">
        <v>6962.0192</v>
      </c>
      <c r="AL238" s="3">
        <v>6977.0616</v>
      </c>
      <c r="AM238" s="3">
        <v>6553.0401</v>
      </c>
      <c r="AN238" s="3">
        <v>6304.7313</v>
      </c>
      <c r="AO238" s="3">
        <v>7543.223</v>
      </c>
      <c r="AP238" s="3">
        <v>9648.5062</v>
      </c>
      <c r="AQ238" s="3">
        <v>9783.4519</v>
      </c>
      <c r="AR238" s="3">
        <v>7377.7565</v>
      </c>
      <c r="AS238" s="3">
        <v>6156.9233</v>
      </c>
      <c r="AT238" s="3">
        <v>5690.8267</v>
      </c>
      <c r="AU238" s="3">
        <f t="shared" si="2"/>
        <v>4585.58022</v>
      </c>
      <c r="AV238" s="3">
        <f t="shared" si="3"/>
        <v>5931.178171</v>
      </c>
      <c r="AW238" s="3">
        <f t="shared" si="4"/>
        <v>7133.328253</v>
      </c>
      <c r="AX238" s="4">
        <f t="shared" si="5"/>
        <v>0.05858038244</v>
      </c>
      <c r="AY238" s="4">
        <f t="shared" si="6"/>
        <v>-0.00955254434</v>
      </c>
      <c r="AZ238" s="4">
        <f t="shared" si="7"/>
        <v>-0.01199595595</v>
      </c>
    </row>
    <row r="239" ht="14.25" customHeight="1">
      <c r="A239" s="2" t="s">
        <v>383</v>
      </c>
      <c r="B239" s="3">
        <v>3667.5433</v>
      </c>
      <c r="C239" s="3">
        <v>3339.6905</v>
      </c>
      <c r="D239" s="3">
        <v>3110.7719</v>
      </c>
      <c r="E239" s="3">
        <v>2851.2515</v>
      </c>
      <c r="F239" s="3">
        <v>2919.1142</v>
      </c>
      <c r="G239" s="3">
        <v>2928.1767</v>
      </c>
      <c r="H239" s="3">
        <v>2929.7201</v>
      </c>
      <c r="I239" s="3">
        <v>2768.1458</v>
      </c>
      <c r="J239" s="3">
        <v>2951.1548</v>
      </c>
      <c r="K239" s="3">
        <v>2974.4924</v>
      </c>
      <c r="L239" s="3">
        <v>3049.1551</v>
      </c>
      <c r="M239" s="3">
        <v>2958.6407</v>
      </c>
      <c r="N239" s="3">
        <v>2771.4942</v>
      </c>
      <c r="O239" s="3">
        <v>2323.8033</v>
      </c>
      <c r="P239" s="3">
        <v>2626.5062</v>
      </c>
      <c r="Q239" s="3">
        <v>2671.4184</v>
      </c>
      <c r="R239" s="3">
        <v>2754.522</v>
      </c>
      <c r="S239" s="3">
        <v>2752.7975</v>
      </c>
      <c r="T239" s="3">
        <v>2596.2248</v>
      </c>
      <c r="U239" s="3">
        <v>2571.9601</v>
      </c>
      <c r="V239" s="3">
        <v>2463.9318</v>
      </c>
      <c r="W239" s="3">
        <v>2408.8536</v>
      </c>
      <c r="X239" s="3">
        <v>2429.1829</v>
      </c>
      <c r="Y239" s="3">
        <v>2518.4397</v>
      </c>
      <c r="Z239" s="3">
        <v>2421.8047</v>
      </c>
      <c r="AA239" s="3">
        <v>2517.1066</v>
      </c>
      <c r="AB239" s="3">
        <v>2809.2846</v>
      </c>
      <c r="AC239" s="3">
        <v>3014.4657</v>
      </c>
      <c r="AD239" s="3">
        <v>3023.7976</v>
      </c>
      <c r="AE239" s="3">
        <v>3093.5007</v>
      </c>
      <c r="AF239" s="3">
        <v>3183.8552</v>
      </c>
      <c r="AG239" s="3">
        <v>3277.9215</v>
      </c>
      <c r="AH239" s="3">
        <v>3391.8861</v>
      </c>
      <c r="AI239" s="3">
        <v>3490.9334</v>
      </c>
      <c r="AJ239" s="3">
        <v>3581.9666</v>
      </c>
      <c r="AK239" s="3">
        <v>3664.9628</v>
      </c>
      <c r="AL239" s="3">
        <v>3775.4342</v>
      </c>
      <c r="AM239" s="3">
        <v>3820.0306</v>
      </c>
      <c r="AN239" s="3">
        <v>3894.029</v>
      </c>
      <c r="AO239" s="3">
        <v>3981.2628</v>
      </c>
      <c r="AP239" s="3">
        <v>3954.6715</v>
      </c>
      <c r="AQ239" s="3">
        <v>4092.9848</v>
      </c>
      <c r="AR239" s="3">
        <v>4188.8911</v>
      </c>
      <c r="AS239" s="3">
        <v>4354.8675</v>
      </c>
      <c r="AT239" s="3">
        <v>4463.6493</v>
      </c>
      <c r="AU239" s="3">
        <f t="shared" si="2"/>
        <v>2944.644047</v>
      </c>
      <c r="AV239" s="3">
        <f t="shared" si="3"/>
        <v>2669.705164</v>
      </c>
      <c r="AW239" s="3">
        <f t="shared" si="4"/>
        <v>3807.823093</v>
      </c>
      <c r="AX239" s="4">
        <f t="shared" si="5"/>
        <v>-0.02356557076</v>
      </c>
      <c r="AY239" s="4">
        <f t="shared" si="6"/>
        <v>0.01053321603</v>
      </c>
      <c r="AZ239" s="4">
        <f t="shared" si="7"/>
        <v>0.02229906947</v>
      </c>
    </row>
    <row r="240" ht="14.25" customHeight="1">
      <c r="A240" s="2" t="s">
        <v>384</v>
      </c>
      <c r="B240" s="3">
        <v>5860.4966</v>
      </c>
      <c r="C240" s="3">
        <v>6671.8711</v>
      </c>
      <c r="D240" s="3">
        <v>7287.6938</v>
      </c>
      <c r="E240" s="3">
        <v>7516.42</v>
      </c>
      <c r="F240" s="3">
        <v>7805.9969</v>
      </c>
      <c r="G240" s="3">
        <v>8125.1606</v>
      </c>
      <c r="H240" s="3">
        <v>8299.1397</v>
      </c>
      <c r="I240" s="3">
        <v>8203.344</v>
      </c>
      <c r="J240" s="3">
        <v>7960.8262</v>
      </c>
      <c r="K240" s="3">
        <v>7731.1682</v>
      </c>
      <c r="L240" s="3">
        <v>7787.3596</v>
      </c>
      <c r="M240" s="3">
        <v>7923.9244</v>
      </c>
      <c r="N240" s="3">
        <v>8010.1219</v>
      </c>
      <c r="O240" s="3">
        <v>8309.1106</v>
      </c>
      <c r="P240" s="3">
        <v>8617.2783</v>
      </c>
      <c r="Q240" s="3">
        <v>8738.7468</v>
      </c>
      <c r="R240" s="3">
        <v>8715.6366</v>
      </c>
      <c r="S240" s="3">
        <v>8718.0594</v>
      </c>
      <c r="T240" s="3">
        <v>8781.0069</v>
      </c>
      <c r="U240" s="3">
        <v>8909.0451</v>
      </c>
      <c r="V240" s="3">
        <v>9011.1308</v>
      </c>
      <c r="W240" s="3">
        <v>9171.5513</v>
      </c>
      <c r="X240" s="3">
        <v>9268.1857</v>
      </c>
      <c r="Y240" s="3">
        <v>9096.6294</v>
      </c>
      <c r="Z240" s="3">
        <v>8924.514</v>
      </c>
      <c r="AA240" s="3">
        <v>8745.5494</v>
      </c>
      <c r="AB240" s="3">
        <v>8505.4545</v>
      </c>
      <c r="AC240" s="3">
        <v>8549.9976</v>
      </c>
      <c r="AD240" s="3">
        <v>8456.1589</v>
      </c>
      <c r="AE240" s="3">
        <v>8232.7443</v>
      </c>
      <c r="AF240" s="3">
        <v>8521.2962</v>
      </c>
      <c r="AG240" s="3">
        <v>8883.7915</v>
      </c>
      <c r="AH240" s="3">
        <v>8916.2204</v>
      </c>
      <c r="AI240" s="3">
        <v>8927.5892</v>
      </c>
      <c r="AJ240" s="3">
        <v>9061.1254</v>
      </c>
      <c r="AK240" s="3">
        <v>9420.8717</v>
      </c>
      <c r="AL240" s="3">
        <v>9915.3657</v>
      </c>
      <c r="AM240" s="3">
        <v>10110.9641</v>
      </c>
      <c r="AN240" s="3">
        <v>10098.5237</v>
      </c>
      <c r="AO240" s="3">
        <v>10155.8799</v>
      </c>
      <c r="AP240" s="3">
        <v>10235.7873</v>
      </c>
      <c r="AQ240" s="3">
        <v>10150.8945</v>
      </c>
      <c r="AR240" s="3">
        <v>10148.5648</v>
      </c>
      <c r="AS240" s="3">
        <v>10457.012</v>
      </c>
      <c r="AT240" s="3">
        <v>10845.7859</v>
      </c>
      <c r="AU240" s="3">
        <f t="shared" si="2"/>
        <v>7740.660793</v>
      </c>
      <c r="AV240" s="3">
        <f t="shared" si="3"/>
        <v>8791.833136</v>
      </c>
      <c r="AW240" s="3">
        <f t="shared" si="4"/>
        <v>9723.311487</v>
      </c>
      <c r="AX240" s="4">
        <f t="shared" si="5"/>
        <v>0.02792089183</v>
      </c>
      <c r="AY240" s="4">
        <f t="shared" si="6"/>
        <v>-0.004251464169</v>
      </c>
      <c r="AZ240" s="4">
        <f t="shared" si="7"/>
        <v>0.01435550547</v>
      </c>
    </row>
    <row r="241" ht="14.25" customHeight="1">
      <c r="A241" s="2" t="s">
        <v>385</v>
      </c>
      <c r="B241" s="3">
        <v>28955.0743</v>
      </c>
      <c r="C241" s="3">
        <v>29574.4679</v>
      </c>
      <c r="D241" s="3">
        <v>30077.6668</v>
      </c>
      <c r="E241" s="3">
        <v>26426.4314</v>
      </c>
      <c r="F241" s="3">
        <v>24458.9515</v>
      </c>
      <c r="G241" s="3">
        <v>23006.3852</v>
      </c>
      <c r="H241" s="3">
        <v>21916.8034</v>
      </c>
      <c r="I241" s="3">
        <v>20615.5187</v>
      </c>
      <c r="J241" s="3">
        <v>19550.8711</v>
      </c>
      <c r="K241" s="3">
        <v>19123.8463</v>
      </c>
      <c r="L241" s="3">
        <v>19129.7893</v>
      </c>
      <c r="M241" s="3">
        <v>19388.1605</v>
      </c>
      <c r="N241" s="3">
        <v>18791.2629</v>
      </c>
      <c r="O241" s="3">
        <v>18229.4904</v>
      </c>
      <c r="P241" s="3">
        <v>18593.2368</v>
      </c>
      <c r="Q241" s="3">
        <v>19043.9577</v>
      </c>
      <c r="R241" s="3">
        <v>20089.7665</v>
      </c>
      <c r="S241" s="3">
        <v>21326.2298</v>
      </c>
      <c r="T241" s="3">
        <v>22721.7274</v>
      </c>
      <c r="U241" s="3">
        <v>24126.1396</v>
      </c>
      <c r="V241" s="3">
        <v>25336.1829</v>
      </c>
      <c r="W241" s="3">
        <v>25919.2132</v>
      </c>
      <c r="X241" s="3">
        <v>27435.7247</v>
      </c>
      <c r="Y241" s="3">
        <v>30764.9867</v>
      </c>
      <c r="Z241" s="3">
        <v>32547.7933</v>
      </c>
      <c r="AA241" s="3">
        <v>33886.146</v>
      </c>
      <c r="AB241" s="3">
        <v>37745.865</v>
      </c>
      <c r="AC241" s="3">
        <v>38754.263</v>
      </c>
      <c r="AD241" s="3">
        <v>39408.5722</v>
      </c>
      <c r="AE241" s="3">
        <v>37201.5789</v>
      </c>
      <c r="AF241" s="3">
        <v>37876.0983</v>
      </c>
      <c r="AG241" s="3">
        <v>37253.3331</v>
      </c>
      <c r="AH241" s="3">
        <v>37278.0959</v>
      </c>
      <c r="AI241" s="3">
        <v>38042.9804</v>
      </c>
      <c r="AJ241" s="3">
        <v>39049.9498</v>
      </c>
      <c r="AK241" s="3">
        <v>38547.0556</v>
      </c>
      <c r="AL241" s="3">
        <v>35394.5047</v>
      </c>
      <c r="AM241" s="3">
        <v>33345.6314</v>
      </c>
      <c r="AN241" s="3">
        <v>32350.5291</v>
      </c>
      <c r="AO241" s="3">
        <v>32090.1579</v>
      </c>
      <c r="AP241" s="3">
        <v>29313.5252</v>
      </c>
      <c r="AQ241" s="3">
        <v>28678.0167</v>
      </c>
      <c r="AR241" s="3">
        <v>28738.6665</v>
      </c>
      <c r="AS241" s="3">
        <v>28955.4552</v>
      </c>
      <c r="AT241" s="3">
        <v>28653.1968</v>
      </c>
      <c r="AU241" s="3">
        <f t="shared" si="2"/>
        <v>22522.53043</v>
      </c>
      <c r="AV241" s="3">
        <f t="shared" si="3"/>
        <v>29804.58494</v>
      </c>
      <c r="AW241" s="3">
        <f t="shared" si="4"/>
        <v>33704.47977</v>
      </c>
      <c r="AX241" s="4">
        <f t="shared" si="5"/>
        <v>-0.03114383224</v>
      </c>
      <c r="AY241" s="4">
        <f t="shared" si="6"/>
        <v>0.04899091285</v>
      </c>
      <c r="AZ241" s="4">
        <f t="shared" si="7"/>
        <v>-0.01857365798</v>
      </c>
    </row>
    <row r="242" ht="14.25" customHeight="1">
      <c r="A242" s="2" t="s">
        <v>386</v>
      </c>
      <c r="B242" s="3">
        <v>8777.0742</v>
      </c>
      <c r="C242" s="3">
        <v>8971.3117</v>
      </c>
      <c r="D242" s="3">
        <v>8642.8724</v>
      </c>
      <c r="E242" s="3">
        <v>8754.0117</v>
      </c>
      <c r="F242" s="3">
        <v>8931.9224</v>
      </c>
      <c r="G242" s="3">
        <v>9090.3581</v>
      </c>
      <c r="H242" s="3">
        <v>8589.4992</v>
      </c>
      <c r="I242" s="3">
        <v>8699.9795</v>
      </c>
      <c r="J242" s="3">
        <v>8548.9385</v>
      </c>
      <c r="K242" s="3">
        <v>8562.5563</v>
      </c>
      <c r="L242" s="3">
        <v>8886.7492</v>
      </c>
      <c r="M242" s="3">
        <v>8961.5009</v>
      </c>
      <c r="N242" s="3">
        <v>9378.7491</v>
      </c>
      <c r="O242" s="3">
        <v>9298.2866</v>
      </c>
      <c r="P242" s="3">
        <v>9310.2938</v>
      </c>
      <c r="Q242" s="3">
        <v>9248.5741</v>
      </c>
      <c r="R242" s="3">
        <v>9634.9991</v>
      </c>
      <c r="S242" s="3">
        <v>9887.0026</v>
      </c>
      <c r="T242" s="3">
        <v>10105.4008</v>
      </c>
      <c r="U242" s="3">
        <v>10433.6205</v>
      </c>
      <c r="V242" s="3">
        <v>10600.4758</v>
      </c>
      <c r="W242" s="3">
        <v>10718.7901</v>
      </c>
      <c r="X242" s="3">
        <v>10588.7615</v>
      </c>
      <c r="Y242" s="3">
        <v>10812.2847</v>
      </c>
      <c r="Z242" s="3">
        <v>11205.2257</v>
      </c>
      <c r="AA242" s="3">
        <v>11322.3686</v>
      </c>
      <c r="AB242" s="3">
        <v>11650.9543</v>
      </c>
      <c r="AC242" s="3">
        <v>12167.2614</v>
      </c>
      <c r="AD242" s="3">
        <v>12438.0078</v>
      </c>
      <c r="AE242" s="3">
        <v>12584.3631</v>
      </c>
      <c r="AF242" s="3">
        <v>12812.3524</v>
      </c>
      <c r="AG242" s="3">
        <v>12516.2738</v>
      </c>
      <c r="AH242" s="3">
        <v>12984.3327</v>
      </c>
      <c r="AI242" s="3">
        <v>13311.3809</v>
      </c>
      <c r="AJ242" s="3">
        <v>13656.7326</v>
      </c>
      <c r="AK242" s="3">
        <v>13788.6648</v>
      </c>
      <c r="AL242" s="3">
        <v>14444.1522</v>
      </c>
      <c r="AM242" s="3">
        <v>14596.2183</v>
      </c>
      <c r="AN242" s="3">
        <v>14812.7129</v>
      </c>
      <c r="AO242" s="3">
        <v>14808.6861</v>
      </c>
      <c r="AP242" s="3">
        <v>13565.8737</v>
      </c>
      <c r="AQ242" s="3">
        <v>13778.6344</v>
      </c>
      <c r="AR242" s="3">
        <v>14124.4987</v>
      </c>
      <c r="AS242" s="3">
        <v>14153.7844</v>
      </c>
      <c r="AT242" s="3">
        <v>14322.2504</v>
      </c>
      <c r="AU242" s="3">
        <f t="shared" si="2"/>
        <v>8893.606907</v>
      </c>
      <c r="AV242" s="3">
        <f t="shared" si="3"/>
        <v>11010.67971</v>
      </c>
      <c r="AW242" s="3">
        <f t="shared" si="4"/>
        <v>13845.10322</v>
      </c>
      <c r="AX242" s="4">
        <f t="shared" si="5"/>
        <v>0.004221566582</v>
      </c>
      <c r="AY242" s="4">
        <f t="shared" si="6"/>
        <v>0.02224273529</v>
      </c>
      <c r="AZ242" s="4">
        <f t="shared" si="7"/>
        <v>0.009673964505</v>
      </c>
    </row>
    <row r="243" ht="14.25" customHeight="1">
      <c r="A243" s="2" t="s">
        <v>387</v>
      </c>
      <c r="B243" s="3">
        <v>13863.5298</v>
      </c>
      <c r="C243" s="3">
        <v>14201.599</v>
      </c>
      <c r="D243" s="3">
        <v>14320.323</v>
      </c>
      <c r="E243" s="3">
        <v>14571.2448</v>
      </c>
      <c r="F243" s="3">
        <v>15070.7631</v>
      </c>
      <c r="G243" s="3">
        <v>15233.6461</v>
      </c>
      <c r="H243" s="3">
        <v>15823.2546</v>
      </c>
      <c r="I243" s="3">
        <v>16831.0714</v>
      </c>
      <c r="J243" s="3">
        <v>16700.8928</v>
      </c>
      <c r="K243" s="3">
        <v>16269.1247</v>
      </c>
      <c r="L243" s="3">
        <v>17274.2726</v>
      </c>
      <c r="M243" s="3">
        <v>16953.8606</v>
      </c>
      <c r="N243" s="3">
        <v>17482.7163</v>
      </c>
      <c r="O243" s="3">
        <v>18377.7754</v>
      </c>
      <c r="P243" s="3">
        <v>16912.3115</v>
      </c>
      <c r="Q243" s="3">
        <v>17658.1172</v>
      </c>
      <c r="R243" s="3">
        <v>18414.4645</v>
      </c>
      <c r="S243" s="3">
        <v>19302.741</v>
      </c>
      <c r="T243" s="3">
        <v>19398.9425</v>
      </c>
      <c r="U243" s="3">
        <v>18293.4474</v>
      </c>
      <c r="V243" s="3">
        <v>19076.2267</v>
      </c>
      <c r="W243" s="3">
        <v>17541.6272</v>
      </c>
      <c r="X243" s="3">
        <v>18231.3036</v>
      </c>
      <c r="Y243" s="3">
        <v>18846.8447</v>
      </c>
      <c r="Z243" s="3">
        <v>20250.5354</v>
      </c>
      <c r="AA243" s="3">
        <v>21626.1131</v>
      </c>
      <c r="AB243" s="3">
        <v>22688.84</v>
      </c>
      <c r="AC243" s="3">
        <v>23405.9152</v>
      </c>
      <c r="AD243" s="3">
        <v>23160.2454</v>
      </c>
      <c r="AE243" s="3">
        <v>21614.3309</v>
      </c>
      <c r="AF243" s="3">
        <v>22984.5653</v>
      </c>
      <c r="AG243" s="3">
        <v>25090.9228</v>
      </c>
      <c r="AH243" s="3">
        <v>25794.2933</v>
      </c>
      <c r="AI243" s="3">
        <v>27375.1409</v>
      </c>
      <c r="AJ243" s="3">
        <v>27944.5145</v>
      </c>
      <c r="AK243" s="3">
        <v>28717.1925</v>
      </c>
      <c r="AL243" s="3">
        <v>28894.4999</v>
      </c>
      <c r="AM243" s="3">
        <v>30341.1358</v>
      </c>
      <c r="AN243" s="3">
        <v>30571.2911</v>
      </c>
      <c r="AO243" s="3">
        <v>30317.1687</v>
      </c>
      <c r="AP243" s="3">
        <v>30459.8061</v>
      </c>
      <c r="AQ243" s="3">
        <v>33519.1832</v>
      </c>
      <c r="AR243" s="3">
        <v>35007.7549</v>
      </c>
      <c r="AS243" s="3">
        <v>36485.7904</v>
      </c>
      <c r="AT243" s="3">
        <v>37341.4968</v>
      </c>
      <c r="AU243" s="3">
        <f t="shared" si="2"/>
        <v>15992.42571</v>
      </c>
      <c r="AV243" s="3">
        <f t="shared" si="3"/>
        <v>20132.25554</v>
      </c>
      <c r="AW243" s="3">
        <f t="shared" si="4"/>
        <v>30056.31708</v>
      </c>
      <c r="AX243" s="4">
        <f t="shared" si="5"/>
        <v>0.01429986521</v>
      </c>
      <c r="AY243" s="4">
        <f t="shared" si="6"/>
        <v>0.01454483194</v>
      </c>
      <c r="AZ243" s="4">
        <f t="shared" si="7"/>
        <v>0.02880705764</v>
      </c>
    </row>
    <row r="244" ht="14.25" customHeight="1">
      <c r="A244" s="2" t="s">
        <v>388</v>
      </c>
      <c r="B244" s="3">
        <v>14100.4941</v>
      </c>
      <c r="C244" s="3">
        <v>13985.0532</v>
      </c>
      <c r="D244" s="3">
        <v>13551.7404</v>
      </c>
      <c r="E244" s="3">
        <v>13537.0003</v>
      </c>
      <c r="F244" s="3">
        <v>13168.5441</v>
      </c>
      <c r="G244" s="3">
        <v>12675.0073</v>
      </c>
      <c r="H244" s="3">
        <v>12649.2238</v>
      </c>
      <c r="I244" s="3">
        <v>12406.55</v>
      </c>
      <c r="J244" s="3">
        <v>13367.4655</v>
      </c>
      <c r="K244" s="3">
        <v>12437.7616</v>
      </c>
      <c r="L244" s="3">
        <v>16372.6254</v>
      </c>
      <c r="M244" s="3">
        <v>15201.1367</v>
      </c>
      <c r="N244" s="3">
        <v>12607.0156</v>
      </c>
      <c r="O244" s="3">
        <v>12475.0564</v>
      </c>
      <c r="P244" s="3">
        <v>10059.1271</v>
      </c>
      <c r="Q244" s="3">
        <v>9125.3988</v>
      </c>
      <c r="R244" s="3">
        <v>9510.9349</v>
      </c>
      <c r="S244" s="3">
        <v>8221.9932</v>
      </c>
      <c r="T244" s="3">
        <v>8585.8168</v>
      </c>
      <c r="U244" s="3">
        <v>9729.8374</v>
      </c>
      <c r="V244" s="3">
        <v>9961.9826</v>
      </c>
      <c r="W244" s="3">
        <v>10085.051</v>
      </c>
      <c r="X244" s="3">
        <v>9801.0112</v>
      </c>
      <c r="Y244" s="3">
        <v>9802.6021</v>
      </c>
      <c r="Z244" s="3">
        <v>9960.6256</v>
      </c>
      <c r="AA244" s="3">
        <v>10890.6103</v>
      </c>
      <c r="AB244" s="3">
        <v>11690.3672</v>
      </c>
      <c r="AC244" s="3">
        <v>12563.1228</v>
      </c>
      <c r="AD244" s="3">
        <v>13960.0652</v>
      </c>
      <c r="AE244" s="3">
        <v>14355.2876</v>
      </c>
      <c r="AF244" s="3">
        <v>16161.5843</v>
      </c>
      <c r="AG244" s="3">
        <v>17684.2155</v>
      </c>
      <c r="AH244" s="3">
        <v>18210.508</v>
      </c>
      <c r="AI244" s="3">
        <v>17620.9031</v>
      </c>
      <c r="AJ244" s="3">
        <v>17771.5799</v>
      </c>
      <c r="AK244" s="3">
        <v>17786.1797</v>
      </c>
      <c r="AL244" s="3">
        <v>17129.051</v>
      </c>
      <c r="AM244" s="3">
        <v>17847.9946</v>
      </c>
      <c r="AN244" s="3">
        <v>18451.7781</v>
      </c>
      <c r="AO244" s="3">
        <v>19137.919</v>
      </c>
      <c r="AP244" s="3">
        <v>19822.3754</v>
      </c>
      <c r="AQ244" s="3">
        <v>20801.3067</v>
      </c>
      <c r="AR244" s="3">
        <v>21689.8319</v>
      </c>
      <c r="AS244" s="3">
        <v>22506.4346</v>
      </c>
      <c r="AT244" s="3">
        <v>22647.8462</v>
      </c>
      <c r="AU244" s="3">
        <f t="shared" si="2"/>
        <v>13239.58677</v>
      </c>
      <c r="AV244" s="3">
        <f t="shared" si="3"/>
        <v>10651.37914</v>
      </c>
      <c r="AW244" s="3">
        <f t="shared" si="4"/>
        <v>19017.9672</v>
      </c>
      <c r="AX244" s="4">
        <f t="shared" si="5"/>
        <v>-0.02383488531</v>
      </c>
      <c r="AY244" s="4">
        <f t="shared" si="6"/>
        <v>0.03289051398</v>
      </c>
      <c r="AZ244" s="4">
        <f t="shared" si="7"/>
        <v>0.0178279319</v>
      </c>
    </row>
    <row r="245" ht="14.25" customHeight="1">
      <c r="A245" s="2" t="s">
        <v>389</v>
      </c>
      <c r="B245" s="3">
        <v>16206.1589</v>
      </c>
      <c r="C245" s="3">
        <v>16720.5186</v>
      </c>
      <c r="D245" s="3">
        <v>17135.8933</v>
      </c>
      <c r="E245" s="3">
        <v>17574.5794</v>
      </c>
      <c r="F245" s="3">
        <v>18073.5325</v>
      </c>
      <c r="G245" s="3">
        <v>18596.5018</v>
      </c>
      <c r="H245" s="3">
        <v>19254.0526</v>
      </c>
      <c r="I245" s="3">
        <v>19939.7985</v>
      </c>
      <c r="J245" s="3">
        <v>20800.0521</v>
      </c>
      <c r="K245" s="3">
        <v>21805.1078</v>
      </c>
      <c r="L245" s="3">
        <v>22685.5008</v>
      </c>
      <c r="M245" s="3">
        <v>23585.0262</v>
      </c>
      <c r="N245" s="3">
        <v>24387.1273</v>
      </c>
      <c r="O245" s="3">
        <v>25679.1692</v>
      </c>
      <c r="P245" s="3">
        <v>27304.4172</v>
      </c>
      <c r="Q245" s="3">
        <v>27609.6798</v>
      </c>
      <c r="R245" s="3">
        <v>28553.4112</v>
      </c>
      <c r="S245" s="3">
        <v>29082.9258</v>
      </c>
      <c r="T245" s="3">
        <v>30642.7208</v>
      </c>
      <c r="U245" s="3">
        <v>31706.5331</v>
      </c>
      <c r="V245" s="3">
        <v>31731.8081</v>
      </c>
      <c r="W245" s="3">
        <v>32416.698</v>
      </c>
      <c r="X245" s="3">
        <v>31038.9127</v>
      </c>
      <c r="Y245" s="3">
        <v>31916.5365</v>
      </c>
      <c r="Z245" s="3">
        <v>33444.1085</v>
      </c>
      <c r="AA245" s="3">
        <v>36008.506</v>
      </c>
      <c r="AB245" s="3">
        <v>40038.5973</v>
      </c>
      <c r="AC245" s="3">
        <v>39978.0785</v>
      </c>
      <c r="AD245" s="3">
        <v>40989.7802</v>
      </c>
      <c r="AE245" s="3">
        <v>31414.059</v>
      </c>
      <c r="AF245" s="3">
        <v>30240.8898</v>
      </c>
      <c r="AG245" s="3">
        <v>30258.0586</v>
      </c>
      <c r="AH245" s="3">
        <v>28059.2411</v>
      </c>
      <c r="AI245" s="3">
        <v>26818.4539</v>
      </c>
      <c r="AJ245" s="3">
        <v>27761.128</v>
      </c>
      <c r="AK245" s="3">
        <v>29347.2552</v>
      </c>
      <c r="AL245" s="3">
        <v>29747.8274</v>
      </c>
      <c r="AM245" s="3">
        <v>27534.6103</v>
      </c>
      <c r="AN245" s="3">
        <v>27704.9894</v>
      </c>
      <c r="AO245" s="3">
        <v>27885.4886</v>
      </c>
      <c r="AP245" s="3">
        <v>19792.2272</v>
      </c>
      <c r="AQ245" s="3">
        <v>20966.5544</v>
      </c>
      <c r="AR245" s="3">
        <v>21908.3221</v>
      </c>
      <c r="AS245" s="3">
        <v>22001.8695</v>
      </c>
      <c r="AT245" s="3">
        <v>22082.125</v>
      </c>
      <c r="AU245" s="3">
        <f t="shared" si="2"/>
        <v>20649.82908</v>
      </c>
      <c r="AV245" s="3">
        <f t="shared" si="3"/>
        <v>33497.33398</v>
      </c>
      <c r="AW245" s="3">
        <f t="shared" si="4"/>
        <v>26140.6027</v>
      </c>
      <c r="AX245" s="4">
        <f t="shared" si="5"/>
        <v>0.03796412703</v>
      </c>
      <c r="AY245" s="4">
        <f t="shared" si="6"/>
        <v>0.009263291364</v>
      </c>
      <c r="AZ245" s="4">
        <f t="shared" si="7"/>
        <v>-0.02224835015</v>
      </c>
    </row>
    <row r="246" ht="14.25" customHeight="1">
      <c r="A246" s="2" t="s">
        <v>390</v>
      </c>
      <c r="B246" s="3">
        <v>2397.6871</v>
      </c>
      <c r="C246" s="3">
        <v>2365.8228</v>
      </c>
      <c r="D246" s="3">
        <v>1903.9456</v>
      </c>
      <c r="E246" s="3">
        <v>1987.3849</v>
      </c>
      <c r="F246" s="3">
        <v>2051.5996</v>
      </c>
      <c r="G246" s="3">
        <v>1950.3498</v>
      </c>
      <c r="H246" s="3">
        <v>2332.7653</v>
      </c>
      <c r="I246" s="3">
        <v>2564.5216</v>
      </c>
      <c r="J246" s="3">
        <v>3004.39</v>
      </c>
      <c r="K246" s="3">
        <v>2897.0414</v>
      </c>
      <c r="L246" s="3">
        <v>3295.4995</v>
      </c>
      <c r="M246" s="3">
        <v>3376.2871</v>
      </c>
      <c r="N246" s="3">
        <v>3452.2134</v>
      </c>
      <c r="O246" s="3">
        <v>3590.4539</v>
      </c>
      <c r="P246" s="3">
        <v>3955.8103</v>
      </c>
      <c r="Q246" s="3">
        <v>3755.9625</v>
      </c>
      <c r="R246" s="3">
        <v>3534.0617</v>
      </c>
      <c r="S246" s="3">
        <v>3729.5784</v>
      </c>
      <c r="T246" s="3">
        <v>4455.3855</v>
      </c>
      <c r="U246" s="3">
        <v>4417.2898</v>
      </c>
      <c r="V246" s="3">
        <v>4990.1838</v>
      </c>
      <c r="W246" s="3">
        <v>5053.9566</v>
      </c>
      <c r="X246" s="3">
        <v>5435.223</v>
      </c>
      <c r="Y246" s="3">
        <v>5225.8734</v>
      </c>
      <c r="Z246" s="3">
        <v>5059.6135</v>
      </c>
      <c r="AA246" s="3">
        <v>4771.9511</v>
      </c>
      <c r="AB246" s="3">
        <v>4825.7359</v>
      </c>
      <c r="AC246" s="3">
        <v>5038.2675</v>
      </c>
      <c r="AD246" s="3">
        <v>5296.0985</v>
      </c>
      <c r="AE246" s="3">
        <v>4981.3007</v>
      </c>
      <c r="AF246" s="3">
        <v>4724.9723</v>
      </c>
      <c r="AG246" s="3">
        <v>4979.4887</v>
      </c>
      <c r="AH246" s="3">
        <v>4704.6428</v>
      </c>
      <c r="AI246" s="3">
        <v>4930.698</v>
      </c>
      <c r="AJ246" s="3">
        <v>5009.8946</v>
      </c>
      <c r="AK246" s="3">
        <v>5503.15</v>
      </c>
      <c r="AL246" s="3">
        <v>5870.6277</v>
      </c>
      <c r="AM246" s="3">
        <v>6073.5249</v>
      </c>
      <c r="AN246" s="3">
        <v>6211.0142</v>
      </c>
      <c r="AO246" s="3">
        <v>7175.3393</v>
      </c>
      <c r="AP246" s="3">
        <v>6982.9604</v>
      </c>
      <c r="AQ246" s="3">
        <v>7213.0815</v>
      </c>
      <c r="AR246" s="3">
        <v>7379.5182</v>
      </c>
      <c r="AS246" s="3">
        <v>7913.521</v>
      </c>
      <c r="AT246" s="3">
        <v>8344.2411</v>
      </c>
      <c r="AU246" s="3">
        <f t="shared" si="2"/>
        <v>2741.718153</v>
      </c>
      <c r="AV246" s="3">
        <f t="shared" si="3"/>
        <v>4772.465671</v>
      </c>
      <c r="AW246" s="3">
        <f t="shared" si="4"/>
        <v>6201.111647</v>
      </c>
      <c r="AX246" s="4">
        <f t="shared" si="5"/>
        <v>0.03641010642</v>
      </c>
      <c r="AY246" s="4">
        <f t="shared" si="6"/>
        <v>0.02037234479</v>
      </c>
      <c r="AZ246" s="4">
        <f t="shared" si="7"/>
        <v>0.03756290209</v>
      </c>
    </row>
    <row r="247" ht="14.25" customHeight="1">
      <c r="A247" s="2" t="s">
        <v>391</v>
      </c>
      <c r="B247" s="3">
        <v>39270.2797</v>
      </c>
      <c r="C247" s="3">
        <v>39533.9345</v>
      </c>
      <c r="D247" s="3">
        <v>38148.4719</v>
      </c>
      <c r="E247" s="3">
        <v>39235.8013</v>
      </c>
      <c r="F247" s="3">
        <v>41409.508</v>
      </c>
      <c r="G247" s="3">
        <v>42510.9824</v>
      </c>
      <c r="H247" s="3">
        <v>43418.8471</v>
      </c>
      <c r="I247" s="3">
        <v>44399.1369</v>
      </c>
      <c r="J247" s="3">
        <v>45752.5012</v>
      </c>
      <c r="K247" s="3">
        <v>46928.3049</v>
      </c>
      <c r="L247" s="3">
        <v>47223.99</v>
      </c>
      <c r="M247" s="3">
        <v>46557.4745</v>
      </c>
      <c r="N247" s="3">
        <v>47639.1595</v>
      </c>
      <c r="O247" s="3">
        <v>48443.6568</v>
      </c>
      <c r="P247" s="3">
        <v>49905.0808</v>
      </c>
      <c r="Q247" s="3">
        <v>50752.5572</v>
      </c>
      <c r="R247" s="3">
        <v>52165.1537</v>
      </c>
      <c r="S247" s="3">
        <v>53944.1604</v>
      </c>
      <c r="T247" s="3">
        <v>55773.2866</v>
      </c>
      <c r="U247" s="3">
        <v>57822.5445</v>
      </c>
      <c r="V247" s="3">
        <v>59512.0568</v>
      </c>
      <c r="W247" s="3">
        <v>59374.755</v>
      </c>
      <c r="X247" s="3">
        <v>59650.9907</v>
      </c>
      <c r="Y247" s="3">
        <v>60583.7451</v>
      </c>
      <c r="Z247" s="3">
        <v>62167.5098</v>
      </c>
      <c r="AA247" s="3">
        <v>63557.9368</v>
      </c>
      <c r="AB247" s="3">
        <v>64540.0627</v>
      </c>
      <c r="AC247" s="3">
        <v>65042.4145</v>
      </c>
      <c r="AD247" s="3">
        <v>64324.3514</v>
      </c>
      <c r="AE247" s="3">
        <v>61869.2406</v>
      </c>
      <c r="AF247" s="3">
        <v>62715.9689</v>
      </c>
      <c r="AG247" s="3">
        <v>62849.4624</v>
      </c>
      <c r="AH247" s="3">
        <v>63469.0545</v>
      </c>
      <c r="AI247" s="3">
        <v>64026.7622</v>
      </c>
      <c r="AJ247" s="3">
        <v>64880.2909</v>
      </c>
      <c r="AK247" s="3">
        <v>66048.8861</v>
      </c>
      <c r="AL247" s="3">
        <v>66516.7594</v>
      </c>
      <c r="AM247" s="3">
        <v>67418.5036</v>
      </c>
      <c r="AN247" s="3">
        <v>68693.5944</v>
      </c>
      <c r="AO247" s="3">
        <v>69660.1472</v>
      </c>
      <c r="AP247" s="3">
        <v>67586.1356</v>
      </c>
      <c r="AQ247" s="3">
        <v>71123.3394</v>
      </c>
      <c r="AR247" s="3">
        <v>71986.4568</v>
      </c>
      <c r="AS247" s="3">
        <v>73385.4524</v>
      </c>
      <c r="AT247" s="3">
        <v>74754.3219</v>
      </c>
      <c r="AU247" s="3">
        <f t="shared" si="2"/>
        <v>44025.14197</v>
      </c>
      <c r="AV247" s="3">
        <f t="shared" si="3"/>
        <v>60023.44347</v>
      </c>
      <c r="AW247" s="3">
        <f t="shared" si="4"/>
        <v>67674.34238</v>
      </c>
      <c r="AX247" s="4">
        <f t="shared" si="5"/>
        <v>0.01726555791</v>
      </c>
      <c r="AY247" s="4">
        <f t="shared" si="6"/>
        <v>0.01424776916</v>
      </c>
      <c r="AZ247" s="4">
        <f t="shared" si="7"/>
        <v>0.01246741013</v>
      </c>
    </row>
    <row r="248" ht="14.25" customHeight="1">
      <c r="A248" s="2" t="s">
        <v>392</v>
      </c>
      <c r="B248" s="3">
        <v>1636.9578</v>
      </c>
      <c r="C248" s="3">
        <v>1673.731</v>
      </c>
      <c r="D248" s="3">
        <v>1768.6636</v>
      </c>
      <c r="E248" s="3">
        <v>1840.0514</v>
      </c>
      <c r="F248" s="3">
        <v>1712.1267</v>
      </c>
      <c r="G248" s="3">
        <v>1661.1514</v>
      </c>
      <c r="H248" s="3">
        <v>1641.874</v>
      </c>
      <c r="I248" s="3">
        <v>1696.2227</v>
      </c>
      <c r="J248" s="3">
        <v>1771.8762</v>
      </c>
      <c r="K248" s="3">
        <v>1834.0227</v>
      </c>
      <c r="L248" s="3">
        <v>1885.4798</v>
      </c>
      <c r="M248" s="3">
        <v>1924.5408</v>
      </c>
      <c r="N248" s="3">
        <v>1944.6341</v>
      </c>
      <c r="O248" s="3">
        <v>2010.5108</v>
      </c>
      <c r="P248" s="3">
        <v>2158.0996</v>
      </c>
      <c r="Q248" s="3">
        <v>2314.8675</v>
      </c>
      <c r="R248" s="3">
        <v>2410.7589</v>
      </c>
      <c r="S248" s="3">
        <v>2485.8105</v>
      </c>
      <c r="T248" s="3">
        <v>2652.7325</v>
      </c>
      <c r="U248" s="3">
        <v>2744.7772</v>
      </c>
      <c r="V248" s="3">
        <v>2795.6182</v>
      </c>
      <c r="W248" s="3">
        <v>2963.4162</v>
      </c>
      <c r="X248" s="3">
        <v>3085.6856</v>
      </c>
      <c r="Y248" s="3">
        <v>3181.9659</v>
      </c>
      <c r="Z248" s="3">
        <v>3279.1012</v>
      </c>
      <c r="AA248" s="3">
        <v>3514.9259</v>
      </c>
      <c r="AB248" s="3">
        <v>3662.3106</v>
      </c>
      <c r="AC248" s="3">
        <v>3844.0945</v>
      </c>
      <c r="AD248" s="3">
        <v>4096.7377</v>
      </c>
      <c r="AE248" s="3">
        <v>4244.0158</v>
      </c>
      <c r="AF248" s="3">
        <v>4928.7855</v>
      </c>
      <c r="AG248" s="3">
        <v>4987.046</v>
      </c>
      <c r="AH248" s="3">
        <v>5002.6868</v>
      </c>
      <c r="AI248" s="3">
        <v>4812.6024</v>
      </c>
      <c r="AJ248" s="3">
        <v>5014.5718</v>
      </c>
      <c r="AK248" s="3">
        <v>5104.0169</v>
      </c>
      <c r="AL248" s="3">
        <v>4916.1132</v>
      </c>
      <c r="AM248" s="3">
        <v>5007.5633</v>
      </c>
      <c r="AN248" s="3">
        <v>5035.5552</v>
      </c>
      <c r="AO248" s="3">
        <v>5182.2159</v>
      </c>
      <c r="AP248" s="3">
        <v>4872.8116</v>
      </c>
      <c r="AQ248" s="3">
        <v>4946.1068</v>
      </c>
      <c r="AR248" s="3">
        <v>4995.8856</v>
      </c>
      <c r="AS248" s="3">
        <v>5073.5856</v>
      </c>
      <c r="AT248" s="3">
        <v>5192.6435</v>
      </c>
      <c r="AU248" s="3">
        <f t="shared" si="2"/>
        <v>1810.66284</v>
      </c>
      <c r="AV248" s="3">
        <f t="shared" si="3"/>
        <v>3211.567907</v>
      </c>
      <c r="AW248" s="3">
        <f t="shared" si="4"/>
        <v>5004.812673</v>
      </c>
      <c r="AX248" s="4">
        <f t="shared" si="5"/>
        <v>0.01993819849</v>
      </c>
      <c r="AY248" s="4">
        <f t="shared" si="6"/>
        <v>0.04424795265</v>
      </c>
      <c r="AZ248" s="4">
        <f t="shared" si="7"/>
        <v>0.00288982193</v>
      </c>
    </row>
    <row r="249" ht="14.25" customHeight="1">
      <c r="A249" s="2" t="s">
        <v>393</v>
      </c>
      <c r="B249" s="3">
        <v>24013.2332</v>
      </c>
      <c r="C249" s="3">
        <v>23981.7644</v>
      </c>
      <c r="D249" s="3">
        <v>23490.3291</v>
      </c>
      <c r="E249" s="3">
        <v>24275.5954</v>
      </c>
      <c r="F249" s="3">
        <v>24335.1594</v>
      </c>
      <c r="G249" s="3">
        <v>24000.9439</v>
      </c>
      <c r="H249" s="3">
        <v>24382.0675</v>
      </c>
      <c r="I249" s="3">
        <v>24823.6683</v>
      </c>
      <c r="J249" s="3">
        <v>25401.9239</v>
      </c>
      <c r="K249" s="3">
        <v>26315.5817</v>
      </c>
      <c r="L249" s="3">
        <v>24520.9589</v>
      </c>
      <c r="M249" s="3">
        <v>22291.3024</v>
      </c>
      <c r="N249" s="3">
        <v>19989.8175</v>
      </c>
      <c r="O249" s="3">
        <v>17120.0178</v>
      </c>
      <c r="P249" s="3">
        <v>13228.5227</v>
      </c>
      <c r="Q249" s="3">
        <v>11664.4578</v>
      </c>
      <c r="R249" s="3">
        <v>10535.9548</v>
      </c>
      <c r="S249" s="3">
        <v>10260.6633</v>
      </c>
      <c r="T249" s="3">
        <v>10088.464</v>
      </c>
      <c r="U249" s="3">
        <v>10089.806</v>
      </c>
      <c r="V249" s="3">
        <v>10700.3692</v>
      </c>
      <c r="W249" s="3">
        <v>11705.389</v>
      </c>
      <c r="X249" s="3">
        <v>12330.1613</v>
      </c>
      <c r="Y249" s="3">
        <v>13509.6046</v>
      </c>
      <c r="Z249" s="3">
        <v>15093.3522</v>
      </c>
      <c r="AA249" s="3">
        <v>15576.0147</v>
      </c>
      <c r="AB249" s="3">
        <v>16735.8437</v>
      </c>
      <c r="AC249" s="3">
        <v>18049.7238</v>
      </c>
      <c r="AD249" s="3">
        <v>18428.679</v>
      </c>
      <c r="AE249" s="3">
        <v>15624.8364</v>
      </c>
      <c r="AF249" s="3">
        <v>15654.7209</v>
      </c>
      <c r="AG249" s="3">
        <v>16505.1491</v>
      </c>
      <c r="AH249" s="3">
        <v>16547.7888</v>
      </c>
      <c r="AI249" s="3">
        <v>16565.1293</v>
      </c>
      <c r="AJ249" s="3">
        <v>15527.7895</v>
      </c>
      <c r="AK249" s="3">
        <v>14061.6352</v>
      </c>
      <c r="AL249" s="3">
        <v>14448.9966</v>
      </c>
      <c r="AM249" s="3">
        <v>14912.6101</v>
      </c>
      <c r="AN249" s="3">
        <v>15476.7684</v>
      </c>
      <c r="AO249" s="3">
        <v>16041.0199</v>
      </c>
      <c r="AP249" s="3">
        <v>15529.7155</v>
      </c>
      <c r="AQ249" s="3">
        <v>16339.9891</v>
      </c>
      <c r="AR249" s="3">
        <v>12549.0015</v>
      </c>
      <c r="AS249" s="3">
        <v>14231.983</v>
      </c>
      <c r="AT249" s="3">
        <v>15554.9962</v>
      </c>
      <c r="AU249" s="3">
        <f t="shared" si="2"/>
        <v>22811.39241</v>
      </c>
      <c r="AV249" s="3">
        <f t="shared" si="3"/>
        <v>13480.633</v>
      </c>
      <c r="AW249" s="3">
        <f t="shared" si="4"/>
        <v>15329.81954</v>
      </c>
      <c r="AX249" s="4">
        <f t="shared" si="5"/>
        <v>-0.0416937153</v>
      </c>
      <c r="AY249" s="4">
        <f t="shared" si="6"/>
        <v>0.02109916967</v>
      </c>
      <c r="AZ249" s="4">
        <f t="shared" si="7"/>
        <v>-0.00422608151</v>
      </c>
    </row>
    <row r="250" ht="14.25" customHeight="1">
      <c r="A250" s="2" t="s">
        <v>394</v>
      </c>
      <c r="B250" s="3">
        <v>204231.2841</v>
      </c>
      <c r="C250" s="3">
        <v>194821.0297</v>
      </c>
      <c r="D250" s="3">
        <v>171069.0641</v>
      </c>
      <c r="E250" s="3">
        <v>155139.9953</v>
      </c>
      <c r="F250" s="3">
        <v>154319.9792</v>
      </c>
      <c r="G250" s="3">
        <v>143578.7966</v>
      </c>
      <c r="H250" s="3">
        <v>110852.2392</v>
      </c>
      <c r="I250" s="3">
        <v>111746.5751</v>
      </c>
      <c r="J250" s="3">
        <v>102758.0083</v>
      </c>
      <c r="K250" s="3">
        <v>109302.5354</v>
      </c>
      <c r="L250" s="3">
        <v>120165.1631</v>
      </c>
      <c r="M250" s="3">
        <v>113037.409</v>
      </c>
      <c r="N250" s="3">
        <v>109056.6816</v>
      </c>
      <c r="O250" s="3">
        <v>103327.4059</v>
      </c>
      <c r="P250" s="3">
        <v>105318.9317</v>
      </c>
      <c r="Q250" s="3">
        <v>107312.1717</v>
      </c>
      <c r="R250" s="3">
        <v>106210.3332</v>
      </c>
      <c r="S250" s="3">
        <v>106741.5249</v>
      </c>
      <c r="T250" s="3">
        <v>99907.2727</v>
      </c>
      <c r="U250" s="3">
        <v>95811.8698</v>
      </c>
      <c r="V250" s="3">
        <v>98705.9828</v>
      </c>
      <c r="W250" s="3">
        <v>91947.9971</v>
      </c>
      <c r="X250" s="3">
        <v>86778.8798</v>
      </c>
      <c r="Y250" s="3">
        <v>87354.9597</v>
      </c>
      <c r="Z250" s="3">
        <v>88998.3331</v>
      </c>
      <c r="AA250" s="3">
        <v>87188.1615</v>
      </c>
      <c r="AB250" s="3">
        <v>88207.0803</v>
      </c>
      <c r="AC250" s="3">
        <v>80692.6774</v>
      </c>
      <c r="AD250" s="3">
        <v>75054.8632</v>
      </c>
      <c r="AE250" s="3">
        <v>67630.3238</v>
      </c>
      <c r="AF250" s="3">
        <v>67253.3209</v>
      </c>
      <c r="AG250" s="3">
        <v>68797.5626</v>
      </c>
      <c r="AH250" s="3">
        <v>67246.2318</v>
      </c>
      <c r="AI250" s="3">
        <v>67635.815</v>
      </c>
      <c r="AJ250" s="3">
        <v>66987.8268</v>
      </c>
      <c r="AK250" s="3">
        <v>67903.6625</v>
      </c>
      <c r="AL250" s="3">
        <v>68834.4901</v>
      </c>
      <c r="AM250" s="3">
        <v>67777.8593</v>
      </c>
      <c r="AN250" s="3">
        <v>67792.9383</v>
      </c>
      <c r="AO250" s="3">
        <v>68261.3446</v>
      </c>
      <c r="AP250" s="3">
        <v>64347.7026</v>
      </c>
      <c r="AQ250" s="3">
        <v>64770.0876</v>
      </c>
      <c r="AR250" s="3">
        <v>66735.3197</v>
      </c>
      <c r="AS250" s="3">
        <v>66335.8582</v>
      </c>
      <c r="AT250" s="3">
        <v>66074.2282</v>
      </c>
      <c r="AU250" s="3">
        <f t="shared" si="2"/>
        <v>133915.0066</v>
      </c>
      <c r="AV250" s="3">
        <f t="shared" si="3"/>
        <v>90087.87566</v>
      </c>
      <c r="AW250" s="3">
        <f t="shared" si="4"/>
        <v>67116.94988</v>
      </c>
      <c r="AX250" s="4">
        <f t="shared" si="5"/>
        <v>-0.04620286701</v>
      </c>
      <c r="AY250" s="4">
        <f t="shared" si="6"/>
        <v>-0.0324397134</v>
      </c>
      <c r="AZ250" s="4">
        <f t="shared" si="7"/>
        <v>-0.002880809427</v>
      </c>
    </row>
    <row r="251" ht="14.25" customHeight="1">
      <c r="A251" s="2" t="s">
        <v>395</v>
      </c>
      <c r="B251" s="3">
        <v>29048.428</v>
      </c>
      <c r="C251" s="3">
        <v>28672.7857</v>
      </c>
      <c r="D251" s="3">
        <v>29096.3426</v>
      </c>
      <c r="E251" s="3">
        <v>30120.5533</v>
      </c>
      <c r="F251" s="3">
        <v>30542.3393</v>
      </c>
      <c r="G251" s="3">
        <v>31534.0823</v>
      </c>
      <c r="H251" s="3">
        <v>32289.1057</v>
      </c>
      <c r="I251" s="3">
        <v>33803.2847</v>
      </c>
      <c r="J251" s="3">
        <v>35569.6302</v>
      </c>
      <c r="K251" s="3">
        <v>36323.9648</v>
      </c>
      <c r="L251" s="3">
        <v>36376.4052</v>
      </c>
      <c r="M251" s="3">
        <v>35781.753</v>
      </c>
      <c r="N251" s="3">
        <v>35740.0368</v>
      </c>
      <c r="O251" s="3">
        <v>36478.7279</v>
      </c>
      <c r="P251" s="3">
        <v>37755.7938</v>
      </c>
      <c r="Q251" s="3">
        <v>37910.1633</v>
      </c>
      <c r="R251" s="3">
        <v>38796.2385</v>
      </c>
      <c r="S251" s="3">
        <v>40618.4679</v>
      </c>
      <c r="T251" s="3">
        <v>41870.8386</v>
      </c>
      <c r="U251" s="3">
        <v>42943.4558</v>
      </c>
      <c r="V251" s="3">
        <v>44519.8156</v>
      </c>
      <c r="W251" s="3">
        <v>45376.1778</v>
      </c>
      <c r="X251" s="3">
        <v>45908.7477</v>
      </c>
      <c r="Y251" s="3">
        <v>47062.8296</v>
      </c>
      <c r="Z251" s="3">
        <v>47843.2369</v>
      </c>
      <c r="AA251" s="3">
        <v>48683.2668</v>
      </c>
      <c r="AB251" s="3">
        <v>49357.3176</v>
      </c>
      <c r="AC251" s="3">
        <v>50188.6894</v>
      </c>
      <c r="AD251" s="3">
        <v>49685.6357</v>
      </c>
      <c r="AE251" s="3">
        <v>47032.8215</v>
      </c>
      <c r="AF251" s="3">
        <v>47647.1512</v>
      </c>
      <c r="AG251" s="3">
        <v>47740.4223</v>
      </c>
      <c r="AH251" s="3">
        <v>48056.1468</v>
      </c>
      <c r="AI251" s="3">
        <v>48543.3602</v>
      </c>
      <c r="AJ251" s="3">
        <v>49688.9808</v>
      </c>
      <c r="AK251" s="3">
        <v>50363.0315</v>
      </c>
      <c r="AL251" s="3">
        <v>50907.8015</v>
      </c>
      <c r="AM251" s="3">
        <v>51867.2735</v>
      </c>
      <c r="AN251" s="3">
        <v>52246.8513</v>
      </c>
      <c r="AO251" s="3">
        <v>52777.06</v>
      </c>
      <c r="AP251" s="3">
        <v>47107.5958</v>
      </c>
      <c r="AQ251" s="3">
        <v>50900.9144</v>
      </c>
      <c r="AR251" s="3">
        <v>52638.6292</v>
      </c>
      <c r="AS251" s="3">
        <v>52357.4385</v>
      </c>
      <c r="AT251" s="3">
        <v>52521.6468</v>
      </c>
      <c r="AU251" s="3">
        <f t="shared" si="2"/>
        <v>33275.54889</v>
      </c>
      <c r="AV251" s="3">
        <f t="shared" si="3"/>
        <v>45706.25281</v>
      </c>
      <c r="AW251" s="3">
        <f t="shared" si="4"/>
        <v>50357.62025</v>
      </c>
      <c r="AX251" s="4">
        <f t="shared" si="5"/>
        <v>0.01890320065</v>
      </c>
      <c r="AY251" s="4">
        <f t="shared" si="6"/>
        <v>0.01552110972</v>
      </c>
      <c r="AZ251" s="4">
        <f t="shared" si="7"/>
        <v>0.006840931424</v>
      </c>
    </row>
    <row r="252" ht="14.25" customHeight="1">
      <c r="A252" s="2" t="s">
        <v>396</v>
      </c>
      <c r="B252" s="3">
        <v>15995.2579</v>
      </c>
      <c r="C252" s="3">
        <v>16179.2592</v>
      </c>
      <c r="D252" s="3">
        <v>14576.7614</v>
      </c>
      <c r="E252" s="3">
        <v>13620.3683</v>
      </c>
      <c r="F252" s="3">
        <v>13376.2541</v>
      </c>
      <c r="G252" s="3">
        <v>13457.7207</v>
      </c>
      <c r="H252" s="3">
        <v>14570.848</v>
      </c>
      <c r="I252" s="3">
        <v>15620.4384</v>
      </c>
      <c r="J252" s="3">
        <v>15521.3925</v>
      </c>
      <c r="K252" s="3">
        <v>15601.9558</v>
      </c>
      <c r="L252" s="3">
        <v>15611.8746</v>
      </c>
      <c r="M252" s="3">
        <v>16006.0879</v>
      </c>
      <c r="N252" s="3">
        <v>17338.8424</v>
      </c>
      <c r="O252" s="3">
        <v>17648.9309</v>
      </c>
      <c r="P252" s="3">
        <v>18776.9352</v>
      </c>
      <c r="Q252" s="3">
        <v>18334.018</v>
      </c>
      <c r="R252" s="3">
        <v>19167.426</v>
      </c>
      <c r="S252" s="3">
        <v>19937.6632</v>
      </c>
      <c r="T252" s="3">
        <v>20679.8259</v>
      </c>
      <c r="U252" s="3">
        <v>20126.7524</v>
      </c>
      <c r="V252" s="3">
        <v>19625.8328</v>
      </c>
      <c r="W252" s="3">
        <v>18810.2378</v>
      </c>
      <c r="X252" s="3">
        <v>17310.947</v>
      </c>
      <c r="Y252" s="3">
        <v>17404.6921</v>
      </c>
      <c r="Z252" s="3">
        <v>18222.6468</v>
      </c>
      <c r="AA252" s="3">
        <v>19511.4894</v>
      </c>
      <c r="AB252" s="3">
        <v>20229.4248</v>
      </c>
      <c r="AC252" s="3">
        <v>21445.4892</v>
      </c>
      <c r="AD252" s="3">
        <v>22831.0984</v>
      </c>
      <c r="AE252" s="3">
        <v>23688.7831</v>
      </c>
      <c r="AF252" s="3">
        <v>25336.3117</v>
      </c>
      <c r="AG252" s="3">
        <v>26814.0903</v>
      </c>
      <c r="AH252" s="3">
        <v>27964.7099</v>
      </c>
      <c r="AI252" s="3">
        <v>29436.3182</v>
      </c>
      <c r="AJ252" s="3">
        <v>30603.8941</v>
      </c>
      <c r="AK252" s="3">
        <v>30982.1012</v>
      </c>
      <c r="AL252" s="3">
        <v>31853.043</v>
      </c>
      <c r="AM252" s="3">
        <v>32118.7939</v>
      </c>
      <c r="AN252" s="3">
        <v>31966.6881</v>
      </c>
      <c r="AO252" s="3">
        <v>32061.6196</v>
      </c>
      <c r="AP252" s="3">
        <v>29576.8696</v>
      </c>
      <c r="AQ252" s="3">
        <v>30893.9606</v>
      </c>
      <c r="AR252" s="3">
        <v>32220.106</v>
      </c>
      <c r="AS252" s="3">
        <v>32222.8524</v>
      </c>
      <c r="AT252" s="3">
        <v>33047.0839</v>
      </c>
      <c r="AU252" s="3">
        <f t="shared" si="2"/>
        <v>15593.52849</v>
      </c>
      <c r="AV252" s="3">
        <f t="shared" si="3"/>
        <v>19928.02206</v>
      </c>
      <c r="AW252" s="3">
        <f t="shared" si="4"/>
        <v>30473.2295</v>
      </c>
      <c r="AX252" s="4">
        <f t="shared" si="5"/>
        <v>0.01151847318</v>
      </c>
      <c r="AY252" s="4">
        <f t="shared" si="6"/>
        <v>0.01847162893</v>
      </c>
      <c r="AZ252" s="4">
        <f t="shared" si="7"/>
        <v>0.01504098129</v>
      </c>
    </row>
    <row r="253" ht="14.25" customHeight="1">
      <c r="A253" s="2" t="s">
        <v>397</v>
      </c>
      <c r="B253" s="3">
        <v>6557.0299</v>
      </c>
      <c r="C253" s="3">
        <v>6329.9721</v>
      </c>
      <c r="D253" s="3">
        <v>6111.0227</v>
      </c>
      <c r="E253" s="3">
        <v>5903.1382</v>
      </c>
      <c r="F253" s="3">
        <v>5704.9714</v>
      </c>
      <c r="G253" s="3">
        <v>5518.5347</v>
      </c>
      <c r="H253" s="3">
        <v>5345.7026</v>
      </c>
      <c r="I253" s="3">
        <v>5182.3848</v>
      </c>
      <c r="J253" s="3">
        <v>5487.85</v>
      </c>
      <c r="K253" s="3">
        <v>5499.9206</v>
      </c>
      <c r="L253" s="3">
        <v>5446.2358</v>
      </c>
      <c r="M253" s="3">
        <v>5285.9488</v>
      </c>
      <c r="N253" s="3">
        <v>4570.7333</v>
      </c>
      <c r="O253" s="3">
        <v>4351.9748</v>
      </c>
      <c r="P253" s="3">
        <v>4022.9804</v>
      </c>
      <c r="Q253" s="3">
        <v>3889.7848</v>
      </c>
      <c r="R253" s="3">
        <v>3862.08</v>
      </c>
      <c r="S253" s="3">
        <v>3967.7922</v>
      </c>
      <c r="T253" s="3">
        <v>4046.893</v>
      </c>
      <c r="U253" s="3">
        <v>4129.6601</v>
      </c>
      <c r="V253" s="3">
        <v>4198.7205</v>
      </c>
      <c r="W253" s="3">
        <v>4286.6324</v>
      </c>
      <c r="X253" s="3">
        <v>4359.3893</v>
      </c>
      <c r="Y253" s="3">
        <v>4430.4063</v>
      </c>
      <c r="Z253" s="3">
        <v>4635.7196</v>
      </c>
      <c r="AA253" s="3">
        <v>4822.5724</v>
      </c>
      <c r="AB253" s="3">
        <v>5099.9415</v>
      </c>
      <c r="AC253" s="3">
        <v>5494.421</v>
      </c>
      <c r="AD253" s="3">
        <v>5898.8589</v>
      </c>
      <c r="AE253" s="3">
        <v>6286.9863</v>
      </c>
      <c r="AF253" s="3">
        <v>6723.9051</v>
      </c>
      <c r="AG253" s="3">
        <v>7034.2177</v>
      </c>
      <c r="AH253" s="3">
        <v>7334.0805</v>
      </c>
      <c r="AI253" s="3">
        <v>7672.195</v>
      </c>
      <c r="AJ253" s="3">
        <v>8006.1021</v>
      </c>
      <c r="AK253" s="3">
        <v>8390.9878</v>
      </c>
      <c r="AL253" s="3">
        <v>8696.8005</v>
      </c>
      <c r="AM253" s="3">
        <v>8940.3824</v>
      </c>
      <c r="AN253" s="3">
        <v>9278.2041</v>
      </c>
      <c r="AO253" s="3">
        <v>9660.3164</v>
      </c>
      <c r="AP253" s="3">
        <v>9702.9918</v>
      </c>
      <c r="AQ253" s="3">
        <v>10362.8714</v>
      </c>
      <c r="AR253" s="3">
        <v>10802.9058</v>
      </c>
      <c r="AS253" s="3">
        <v>11217.1226</v>
      </c>
      <c r="AT253" s="3">
        <v>11795.2249</v>
      </c>
      <c r="AU253" s="3">
        <f t="shared" si="2"/>
        <v>5421.226673</v>
      </c>
      <c r="AV253" s="3">
        <f t="shared" si="3"/>
        <v>4680.00525</v>
      </c>
      <c r="AW253" s="3">
        <f t="shared" si="4"/>
        <v>9041.22054</v>
      </c>
      <c r="AX253" s="4">
        <f t="shared" si="5"/>
        <v>-0.03429213587</v>
      </c>
      <c r="AY253" s="4">
        <f t="shared" si="6"/>
        <v>0.03488970604</v>
      </c>
      <c r="AZ253" s="4">
        <f t="shared" si="7"/>
        <v>0.03761210594</v>
      </c>
    </row>
    <row r="254" ht="14.25" customHeight="1">
      <c r="A254" s="2" t="s">
        <v>398</v>
      </c>
      <c r="B254" s="3">
        <v>3726.2676</v>
      </c>
      <c r="C254" s="3">
        <v>3782.4388</v>
      </c>
      <c r="D254" s="3">
        <v>4076.5112</v>
      </c>
      <c r="E254" s="3">
        <v>5234.6407</v>
      </c>
      <c r="F254" s="3">
        <v>5444.522</v>
      </c>
      <c r="G254" s="3">
        <v>5356.2754</v>
      </c>
      <c r="H254" s="3">
        <v>5107.5572</v>
      </c>
      <c r="I254" s="3">
        <v>4998.5612</v>
      </c>
      <c r="J254" s="3">
        <v>4899.7851</v>
      </c>
      <c r="K254" s="3">
        <v>4936.7707</v>
      </c>
      <c r="L254" s="3">
        <v>5038.7849</v>
      </c>
      <c r="M254" s="3">
        <v>5502.9503</v>
      </c>
      <c r="N254" s="3">
        <v>5313.8763</v>
      </c>
      <c r="O254" s="3">
        <v>5398.3706</v>
      </c>
      <c r="P254" s="3">
        <v>5380.7881</v>
      </c>
      <c r="Q254" s="3">
        <v>5475.9521</v>
      </c>
      <c r="R254" s="3">
        <v>5464.909</v>
      </c>
      <c r="S254" s="3">
        <v>5477.1673</v>
      </c>
      <c r="T254" s="3">
        <v>5528.5142</v>
      </c>
      <c r="U254" s="3">
        <v>5473.8573</v>
      </c>
      <c r="V254" s="3">
        <v>5583.396</v>
      </c>
      <c r="W254" s="3">
        <v>5282.5222</v>
      </c>
      <c r="X254" s="3">
        <v>5014.914</v>
      </c>
      <c r="Y254" s="3">
        <v>4968.9505</v>
      </c>
      <c r="Z254" s="3">
        <v>4988.2109</v>
      </c>
      <c r="AA254" s="3">
        <v>5071.2807</v>
      </c>
      <c r="AB254" s="3">
        <v>5311.007</v>
      </c>
      <c r="AC254" s="3">
        <v>5395.3337</v>
      </c>
      <c r="AD254" s="3">
        <v>5387.5733</v>
      </c>
      <c r="AE254" s="3">
        <v>5365.1948</v>
      </c>
      <c r="AF254" s="3">
        <v>5269.0317</v>
      </c>
      <c r="AG254" s="3">
        <v>5286.812</v>
      </c>
      <c r="AH254" s="3">
        <v>5196.5819</v>
      </c>
      <c r="AI254" s="3">
        <v>5080.7486</v>
      </c>
      <c r="AJ254" s="3">
        <v>5076.9927</v>
      </c>
      <c r="AK254" s="3">
        <v>5145.46</v>
      </c>
      <c r="AL254" s="3">
        <v>5200.2676</v>
      </c>
      <c r="AM254" s="3">
        <v>5305.5622</v>
      </c>
      <c r="AN254" s="3">
        <v>5338.5688</v>
      </c>
      <c r="AO254" s="3">
        <v>5392.1466</v>
      </c>
      <c r="AP254" s="3">
        <v>5007.8691</v>
      </c>
      <c r="AQ254" s="3">
        <v>4821.4789</v>
      </c>
      <c r="AR254" s="3">
        <v>4779.9855</v>
      </c>
      <c r="AS254" s="3">
        <v>4795.9539</v>
      </c>
      <c r="AT254" s="3">
        <v>4718.9922</v>
      </c>
      <c r="AU254" s="3">
        <f t="shared" si="2"/>
        <v>4946.540007</v>
      </c>
      <c r="AV254" s="3">
        <f t="shared" si="3"/>
        <v>5308.05935</v>
      </c>
      <c r="AW254" s="3">
        <f t="shared" si="4"/>
        <v>5094.430113</v>
      </c>
      <c r="AX254" s="4">
        <f t="shared" si="5"/>
        <v>0.02659226864</v>
      </c>
      <c r="AY254" s="4">
        <f t="shared" si="6"/>
        <v>-0.001458469348</v>
      </c>
      <c r="AZ254" s="4">
        <f t="shared" si="7"/>
        <v>-0.00808288197</v>
      </c>
    </row>
    <row r="255" ht="14.25" customHeight="1">
      <c r="A255" s="2" t="s">
        <v>399</v>
      </c>
      <c r="B255" s="3">
        <v>14036.6285</v>
      </c>
      <c r="C255" s="3">
        <v>13477.6908</v>
      </c>
      <c r="D255" s="3">
        <v>13106.1285</v>
      </c>
      <c r="E255" s="3">
        <v>11935.2288</v>
      </c>
      <c r="F255" s="3">
        <v>11371.2558</v>
      </c>
      <c r="G255" s="3">
        <v>10993.9904</v>
      </c>
      <c r="H255" s="3">
        <v>11341.0032</v>
      </c>
      <c r="I255" s="3">
        <v>11364.8629</v>
      </c>
      <c r="J255" s="3">
        <v>11646.3414</v>
      </c>
      <c r="K255" s="3">
        <v>10304.0877</v>
      </c>
      <c r="L255" s="3">
        <v>10614.6024</v>
      </c>
      <c r="M255" s="3">
        <v>11301.8714</v>
      </c>
      <c r="N255" s="3">
        <v>11629.3794</v>
      </c>
      <c r="O255" s="3">
        <v>11312.0862</v>
      </c>
      <c r="P255" s="3">
        <v>10722.2312</v>
      </c>
      <c r="Q255" s="3">
        <v>10821.4951</v>
      </c>
      <c r="R255" s="3">
        <v>10488.7166</v>
      </c>
      <c r="S255" s="3">
        <v>10841.7962</v>
      </c>
      <c r="T255" s="3">
        <v>10570.4447</v>
      </c>
      <c r="U255" s="3">
        <v>9660.0608</v>
      </c>
      <c r="V255" s="3">
        <v>9743.0493</v>
      </c>
      <c r="W255" s="3">
        <v>9816.6099</v>
      </c>
      <c r="X255" s="3">
        <v>8718.6124</v>
      </c>
      <c r="Y255" s="3">
        <v>7834.0635</v>
      </c>
      <c r="Z255" s="3">
        <v>9030.9988</v>
      </c>
      <c r="AA255" s="3">
        <v>9711.458</v>
      </c>
      <c r="AB255" s="3">
        <v>10409.5469</v>
      </c>
      <c r="AC255" s="3">
        <v>11052.3635</v>
      </c>
      <c r="AD255" s="3">
        <v>11362.3107</v>
      </c>
      <c r="AE255" s="3">
        <v>10779.5541</v>
      </c>
      <c r="AF255" s="3">
        <v>10384.0976</v>
      </c>
      <c r="AG255" s="3">
        <v>10588.9399</v>
      </c>
      <c r="AH255" s="3">
        <v>10965.9294</v>
      </c>
      <c r="AI255" s="3">
        <v>10892.2245</v>
      </c>
      <c r="AJ255" s="3">
        <v>10283.6831</v>
      </c>
      <c r="AK255" s="3">
        <v>9500.8562</v>
      </c>
      <c r="AL255" s="3">
        <v>7790.1033</v>
      </c>
      <c r="AM255" s="3">
        <v>6582.348</v>
      </c>
      <c r="AN255" s="3">
        <v>5434.9004</v>
      </c>
      <c r="AO255" s="3">
        <v>4055.7378</v>
      </c>
      <c r="AP255" s="3">
        <v>2893.0714</v>
      </c>
      <c r="AQ255" s="3">
        <v>2915.7459</v>
      </c>
      <c r="AR255" s="3">
        <v>3131.5774</v>
      </c>
      <c r="AS255" s="3">
        <v>3225.2636</v>
      </c>
      <c r="AT255" s="3">
        <v>3354.1122</v>
      </c>
      <c r="AU255" s="3">
        <f t="shared" si="2"/>
        <v>11677.15924</v>
      </c>
      <c r="AV255" s="3">
        <f t="shared" si="3"/>
        <v>10001.39896</v>
      </c>
      <c r="AW255" s="3">
        <f t="shared" si="4"/>
        <v>6799.906047</v>
      </c>
      <c r="AX255" s="4">
        <f t="shared" si="5"/>
        <v>-0.01905545957</v>
      </c>
      <c r="AY255" s="4">
        <f t="shared" si="6"/>
        <v>-0.0002773359768</v>
      </c>
      <c r="AZ255" s="4">
        <f t="shared" si="7"/>
        <v>-0.0788348326</v>
      </c>
    </row>
    <row r="256" ht="14.25" customHeight="1">
      <c r="A256" s="2" t="s">
        <v>400</v>
      </c>
      <c r="B256" s="3">
        <v>2194.3668</v>
      </c>
      <c r="C256" s="3">
        <v>2257.8988</v>
      </c>
      <c r="D256" s="3">
        <v>2377.5438</v>
      </c>
      <c r="E256" s="3">
        <v>2472.3851</v>
      </c>
      <c r="F256" s="3">
        <v>2603.3032</v>
      </c>
      <c r="G256" s="3">
        <v>2675.5804</v>
      </c>
      <c r="H256" s="3">
        <v>2697.5024</v>
      </c>
      <c r="I256" s="3">
        <v>2701.6225</v>
      </c>
      <c r="J256" s="3">
        <v>2769.8485</v>
      </c>
      <c r="K256" s="3">
        <v>2826.3258</v>
      </c>
      <c r="L256" s="3">
        <v>2894.0767</v>
      </c>
      <c r="M256" s="3">
        <v>2985.4729</v>
      </c>
      <c r="N256" s="3">
        <v>3155.4943</v>
      </c>
      <c r="O256" s="3">
        <v>3314.398</v>
      </c>
      <c r="P256" s="3">
        <v>3506.0801</v>
      </c>
      <c r="Q256" s="3">
        <v>3734.0425</v>
      </c>
      <c r="R256" s="3">
        <v>3969.2985</v>
      </c>
      <c r="S256" s="3">
        <v>4169.3878</v>
      </c>
      <c r="T256" s="3">
        <v>4276.9197</v>
      </c>
      <c r="U256" s="3">
        <v>4349.6624</v>
      </c>
      <c r="V256" s="3">
        <v>4521.1143</v>
      </c>
      <c r="W256" s="3">
        <v>4712.3587</v>
      </c>
      <c r="X256" s="3">
        <v>4921.934</v>
      </c>
      <c r="Y256" s="3">
        <v>5154.2908</v>
      </c>
      <c r="Z256" s="3">
        <v>5409.7019</v>
      </c>
      <c r="AA256" s="3">
        <v>5682.6055</v>
      </c>
      <c r="AB256" s="3">
        <v>6203.9729</v>
      </c>
      <c r="AC256" s="3">
        <v>6762.6112</v>
      </c>
      <c r="AD256" s="3">
        <v>7284.6674</v>
      </c>
      <c r="AE256" s="3">
        <v>7857.8797</v>
      </c>
      <c r="AF256" s="3">
        <v>8578.1887</v>
      </c>
      <c r="AG256" s="3">
        <v>8921.9213</v>
      </c>
      <c r="AH256" s="3">
        <v>9206.2568</v>
      </c>
      <c r="AI256" s="3">
        <v>9511.7243</v>
      </c>
      <c r="AJ256" s="3">
        <v>9925.0473</v>
      </c>
      <c r="AK256" s="3">
        <v>10432.2131</v>
      </c>
      <c r="AL256" s="3">
        <v>10953.9804</v>
      </c>
      <c r="AM256" s="3">
        <v>11557.1813</v>
      </c>
      <c r="AN256" s="3">
        <v>12286.2627</v>
      </c>
      <c r="AO256" s="3">
        <v>13058.8573</v>
      </c>
      <c r="AP256" s="3">
        <v>13283.4887</v>
      </c>
      <c r="AQ256" s="3">
        <v>13478.577</v>
      </c>
      <c r="AR256" s="3">
        <v>14426.2339</v>
      </c>
      <c r="AS256" s="3">
        <v>15011.9365</v>
      </c>
      <c r="AT256" s="3">
        <v>15917.4443</v>
      </c>
      <c r="AU256" s="3">
        <f t="shared" si="2"/>
        <v>2762.12662</v>
      </c>
      <c r="AV256" s="3">
        <f t="shared" si="3"/>
        <v>5376.886057</v>
      </c>
      <c r="AW256" s="3">
        <f t="shared" si="4"/>
        <v>11769.95424</v>
      </c>
      <c r="AX256" s="4">
        <f t="shared" si="5"/>
        <v>0.03403827617</v>
      </c>
      <c r="AY256" s="4">
        <f t="shared" si="6"/>
        <v>0.05458220085</v>
      </c>
      <c r="AZ256" s="4">
        <f t="shared" si="7"/>
        <v>0.04221713904</v>
      </c>
    </row>
    <row r="257" ht="14.25" customHeight="1">
      <c r="A257" s="2" t="s">
        <v>401</v>
      </c>
      <c r="B257" s="3">
        <v>15920.301</v>
      </c>
      <c r="C257" s="3">
        <v>15876.6027</v>
      </c>
      <c r="D257" s="3">
        <v>15541.8642</v>
      </c>
      <c r="E257" s="3">
        <v>15580.2511</v>
      </c>
      <c r="F257" s="3">
        <v>15896.1583</v>
      </c>
      <c r="G257" s="3">
        <v>16059.9665</v>
      </c>
      <c r="H257" s="3">
        <v>16240.4332</v>
      </c>
      <c r="I257" s="3">
        <v>16429.9534</v>
      </c>
      <c r="J257" s="3">
        <v>16740.0664</v>
      </c>
      <c r="K257" s="3">
        <v>16880.577</v>
      </c>
      <c r="L257" s="3">
        <v>16931.8802</v>
      </c>
      <c r="M257" s="3">
        <v>16723.7701</v>
      </c>
      <c r="N257" s="3">
        <v>16723.408</v>
      </c>
      <c r="O257" s="3">
        <v>16709.7673</v>
      </c>
      <c r="P257" s="3">
        <v>16917.1532</v>
      </c>
      <c r="Q257" s="3">
        <v>17134.5582</v>
      </c>
      <c r="R257" s="3">
        <v>17359.4474</v>
      </c>
      <c r="S257" s="3">
        <v>17691.5303</v>
      </c>
      <c r="T257" s="3">
        <v>17811.8817</v>
      </c>
      <c r="U257" s="3">
        <v>18129.9618</v>
      </c>
      <c r="V257" s="3">
        <v>18585.4138</v>
      </c>
      <c r="W257" s="3">
        <v>18570.3246</v>
      </c>
      <c r="X257" s="3">
        <v>18643.7185</v>
      </c>
      <c r="Y257" s="3">
        <v>18854.4842</v>
      </c>
      <c r="Z257" s="3">
        <v>19340.7183</v>
      </c>
      <c r="AA257" s="3">
        <v>19696.2195</v>
      </c>
      <c r="AB257" s="3">
        <v>20168.3301</v>
      </c>
      <c r="AC257" s="3">
        <v>20622.4543</v>
      </c>
      <c r="AD257" s="3">
        <v>20600.1223</v>
      </c>
      <c r="AE257" s="3">
        <v>19896.2418</v>
      </c>
      <c r="AF257" s="3">
        <v>20345.2961</v>
      </c>
      <c r="AG257" s="3">
        <v>20620.1607</v>
      </c>
      <c r="AH257" s="3">
        <v>20754.3941</v>
      </c>
      <c r="AI257" s="3">
        <v>20926.773</v>
      </c>
      <c r="AJ257" s="3">
        <v>21188.6006</v>
      </c>
      <c r="AK257" s="3">
        <v>21497.3858</v>
      </c>
      <c r="AL257" s="3">
        <v>21752.9363</v>
      </c>
      <c r="AM257" s="3">
        <v>22175.675</v>
      </c>
      <c r="AN257" s="3">
        <v>22568.5975</v>
      </c>
      <c r="AO257" s="3">
        <v>22822.3373</v>
      </c>
      <c r="AP257" s="3">
        <v>21873.4084</v>
      </c>
      <c r="AQ257" s="3">
        <v>22899.3525</v>
      </c>
      <c r="AR257" s="3">
        <v>23283.9457</v>
      </c>
      <c r="AS257" s="3">
        <v>23637.9984</v>
      </c>
      <c r="AT257" s="3">
        <v>23977.3241</v>
      </c>
      <c r="AU257" s="3">
        <f t="shared" si="2"/>
        <v>16344.81017</v>
      </c>
      <c r="AV257" s="3">
        <f t="shared" si="3"/>
        <v>18997.91776</v>
      </c>
      <c r="AW257" s="3">
        <f t="shared" si="4"/>
        <v>22021.61237</v>
      </c>
      <c r="AX257" s="4">
        <f t="shared" si="5"/>
        <v>0.004347494636</v>
      </c>
      <c r="AY257" s="4">
        <f t="shared" si="6"/>
        <v>0.01073098902</v>
      </c>
      <c r="AZ257" s="4">
        <f t="shared" si="7"/>
        <v>0.01083248555</v>
      </c>
    </row>
    <row r="258" ht="14.25" customHeight="1">
      <c r="A258" s="2" t="s">
        <v>402</v>
      </c>
      <c r="B258" s="3">
        <v>14206.5511</v>
      </c>
      <c r="C258" s="3">
        <v>14163.164</v>
      </c>
      <c r="D258" s="3">
        <v>13929.0913</v>
      </c>
      <c r="E258" s="3">
        <v>13938.0</v>
      </c>
      <c r="F258" s="3">
        <v>14164.7961</v>
      </c>
      <c r="G258" s="3">
        <v>14277.8881</v>
      </c>
      <c r="H258" s="3">
        <v>14411.7217</v>
      </c>
      <c r="I258" s="3">
        <v>14574.4573</v>
      </c>
      <c r="J258" s="3">
        <v>14825.1231</v>
      </c>
      <c r="K258" s="3">
        <v>14954.1283</v>
      </c>
      <c r="L258" s="3">
        <v>15015.3326</v>
      </c>
      <c r="M258" s="3">
        <v>14783.2321</v>
      </c>
      <c r="N258" s="3">
        <v>14712.0991</v>
      </c>
      <c r="O258" s="3">
        <v>14674.2204</v>
      </c>
      <c r="P258" s="3">
        <v>14793.0928</v>
      </c>
      <c r="Q258" s="3">
        <v>15075.9249</v>
      </c>
      <c r="R258" s="3">
        <v>15297.6207</v>
      </c>
      <c r="S258" s="3">
        <v>15598.4061</v>
      </c>
      <c r="T258" s="3">
        <v>15625.132</v>
      </c>
      <c r="U258" s="3">
        <v>15866.6852</v>
      </c>
      <c r="V258" s="3">
        <v>16293.5516</v>
      </c>
      <c r="W258" s="3">
        <v>16361.3524</v>
      </c>
      <c r="X258" s="3">
        <v>16523.68</v>
      </c>
      <c r="Y258" s="3">
        <v>16806.9881</v>
      </c>
      <c r="Z258" s="3">
        <v>17359.3915</v>
      </c>
      <c r="AA258" s="3">
        <v>17788.434</v>
      </c>
      <c r="AB258" s="3">
        <v>18371.5075</v>
      </c>
      <c r="AC258" s="3">
        <v>18949.8887</v>
      </c>
      <c r="AD258" s="3">
        <v>19066.3809</v>
      </c>
      <c r="AE258" s="3">
        <v>18558.2488</v>
      </c>
      <c r="AF258" s="3">
        <v>19114.1883</v>
      </c>
      <c r="AG258" s="3">
        <v>19486.7869</v>
      </c>
      <c r="AH258" s="3">
        <v>19757.9222</v>
      </c>
      <c r="AI258" s="3">
        <v>20071.1525</v>
      </c>
      <c r="AJ258" s="3">
        <v>20417.3651</v>
      </c>
      <c r="AK258" s="3">
        <v>20771.8743</v>
      </c>
      <c r="AL258" s="3">
        <v>21087.7568</v>
      </c>
      <c r="AM258" s="3">
        <v>21586.0283</v>
      </c>
      <c r="AN258" s="3">
        <v>22057.5058</v>
      </c>
      <c r="AO258" s="3">
        <v>22378.4887</v>
      </c>
      <c r="AP258" s="3">
        <v>21507.4147</v>
      </c>
      <c r="AQ258" s="3">
        <v>22536.0559</v>
      </c>
      <c r="AR258" s="3">
        <v>22997.1967</v>
      </c>
      <c r="AS258" s="3">
        <v>23465.41</v>
      </c>
      <c r="AT258" s="3">
        <v>23922.1305</v>
      </c>
      <c r="AU258" s="3">
        <f t="shared" si="2"/>
        <v>14494.85987</v>
      </c>
      <c r="AV258" s="3">
        <f t="shared" si="3"/>
        <v>17033.37625</v>
      </c>
      <c r="AW258" s="3">
        <f t="shared" si="4"/>
        <v>21410.48511</v>
      </c>
      <c r="AX258" s="4">
        <f t="shared" si="5"/>
        <v>0.00289397705</v>
      </c>
      <c r="AY258" s="4">
        <f t="shared" si="6"/>
        <v>0.0149546668</v>
      </c>
      <c r="AZ258" s="4">
        <f t="shared" si="7"/>
        <v>0.01475547079</v>
      </c>
    </row>
    <row r="259" ht="14.25" customHeight="1">
      <c r="A259" s="2" t="s">
        <v>403</v>
      </c>
      <c r="B259" s="3">
        <v>4202.1759</v>
      </c>
      <c r="C259" s="3">
        <v>4354.768</v>
      </c>
      <c r="D259" s="3">
        <v>4319.6626</v>
      </c>
      <c r="E259" s="3">
        <v>4449.4521</v>
      </c>
      <c r="F259" s="3">
        <v>4494.9021</v>
      </c>
      <c r="G259" s="3">
        <v>4328.2096</v>
      </c>
      <c r="H259" s="3">
        <v>4290.3783</v>
      </c>
      <c r="I259" s="3">
        <v>4324.7191</v>
      </c>
      <c r="J259" s="3">
        <v>4362.6046</v>
      </c>
      <c r="K259" s="3">
        <v>4368.0785</v>
      </c>
      <c r="L259" s="3">
        <v>5037.7013</v>
      </c>
      <c r="M259" s="3">
        <v>4881.1129</v>
      </c>
      <c r="N259" s="3">
        <v>4942.9227</v>
      </c>
      <c r="O259" s="3">
        <v>4963.2074</v>
      </c>
      <c r="P259" s="3">
        <v>4889.7421</v>
      </c>
      <c r="Q259" s="3">
        <v>5491.8579</v>
      </c>
      <c r="R259" s="3">
        <v>6381.1231</v>
      </c>
      <c r="S259" s="3">
        <v>6478.8728</v>
      </c>
      <c r="T259" s="3">
        <v>6543.8983</v>
      </c>
      <c r="U259" s="3">
        <v>6587.8623</v>
      </c>
      <c r="V259" s="3">
        <v>6824.1043</v>
      </c>
      <c r="W259" s="3">
        <v>6954.8641</v>
      </c>
      <c r="X259" s="3">
        <v>7030.6598</v>
      </c>
      <c r="Y259" s="3">
        <v>7153.7078</v>
      </c>
      <c r="Z259" s="3">
        <v>7196.791</v>
      </c>
      <c r="AA259" s="3">
        <v>7246.5078</v>
      </c>
      <c r="AB259" s="3">
        <v>7238.9285</v>
      </c>
      <c r="AC259" s="3">
        <v>7147.6827</v>
      </c>
      <c r="AD259" s="3">
        <v>7096.7527</v>
      </c>
      <c r="AE259" s="3">
        <v>6871.3405</v>
      </c>
      <c r="AF259" s="3">
        <v>6835.6296</v>
      </c>
      <c r="AG259" s="3">
        <v>5538.7926</v>
      </c>
      <c r="AH259" s="3">
        <v>5239.6545</v>
      </c>
      <c r="AI259" s="3">
        <v>5286.6165</v>
      </c>
      <c r="AJ259" s="3">
        <v>4503.7449</v>
      </c>
      <c r="AK259" s="3">
        <v>2768.4161</v>
      </c>
      <c r="AL259" s="3">
        <v>2267.0554</v>
      </c>
      <c r="AM259" s="3">
        <v>1957.143</v>
      </c>
      <c r="AN259" s="3">
        <v>1876.6404</v>
      </c>
      <c r="AO259" s="3">
        <v>1832.2064</v>
      </c>
      <c r="AP259" s="3">
        <v>1818.7481</v>
      </c>
      <c r="AQ259" s="3">
        <v>1716.9369</v>
      </c>
      <c r="AR259" s="3">
        <v>1702.4493</v>
      </c>
      <c r="AS259" s="3">
        <v>1626.1497</v>
      </c>
      <c r="AT259" s="3">
        <v>1549.4758</v>
      </c>
      <c r="AU259" s="3">
        <f t="shared" si="2"/>
        <v>4547.309147</v>
      </c>
      <c r="AV259" s="3">
        <f t="shared" si="3"/>
        <v>6910.935407</v>
      </c>
      <c r="AW259" s="3">
        <f t="shared" si="4"/>
        <v>3101.310613</v>
      </c>
      <c r="AX259" s="4">
        <f t="shared" si="5"/>
        <v>0.01088287079</v>
      </c>
      <c r="AY259" s="4">
        <f t="shared" si="6"/>
        <v>0.0161354062</v>
      </c>
      <c r="AZ259" s="4">
        <f t="shared" si="7"/>
        <v>-0.08697314939</v>
      </c>
    </row>
    <row r="260" ht="14.25" customHeight="1">
      <c r="A260" s="2" t="s">
        <v>404</v>
      </c>
      <c r="B260" s="3">
        <v>5779.5547</v>
      </c>
      <c r="C260" s="3">
        <v>5562.3094</v>
      </c>
      <c r="D260" s="3">
        <v>5507.1365</v>
      </c>
      <c r="E260" s="3">
        <v>5475.7867</v>
      </c>
      <c r="F260" s="3">
        <v>5274.112</v>
      </c>
      <c r="G260" s="3">
        <v>5110.1986</v>
      </c>
      <c r="H260" s="3">
        <v>5087.5273</v>
      </c>
      <c r="I260" s="3">
        <v>5076.3911</v>
      </c>
      <c r="J260" s="3">
        <v>5031.7559</v>
      </c>
      <c r="K260" s="3">
        <v>4946.0494</v>
      </c>
      <c r="L260" s="3">
        <v>4854.9471</v>
      </c>
      <c r="M260" s="3">
        <v>4641.6556</v>
      </c>
      <c r="N260" s="3">
        <v>4451.7428</v>
      </c>
      <c r="O260" s="3">
        <v>4641.4471</v>
      </c>
      <c r="P260" s="3">
        <v>4142.053</v>
      </c>
      <c r="Q260" s="3">
        <v>4158.2041</v>
      </c>
      <c r="R260" s="3">
        <v>4303.3819</v>
      </c>
      <c r="S260" s="3">
        <v>4348.3708</v>
      </c>
      <c r="T260" s="3">
        <v>4212.9597</v>
      </c>
      <c r="U260" s="3">
        <v>4284.1567</v>
      </c>
      <c r="V260" s="3">
        <v>4318.4628</v>
      </c>
      <c r="W260" s="3">
        <v>4395.0374</v>
      </c>
      <c r="X260" s="3">
        <v>4432.2092</v>
      </c>
      <c r="Y260" s="3">
        <v>4571.3837</v>
      </c>
      <c r="Z260" s="3">
        <v>4715.8905</v>
      </c>
      <c r="AA260" s="3">
        <v>4868.0964</v>
      </c>
      <c r="AB260" s="3">
        <v>5047.7981</v>
      </c>
      <c r="AC260" s="3">
        <v>5248.5297</v>
      </c>
      <c r="AD260" s="3">
        <v>5398.1783</v>
      </c>
      <c r="AE260" s="3">
        <v>5657.3474</v>
      </c>
      <c r="AF260" s="3">
        <v>5994.5601</v>
      </c>
      <c r="AG260" s="3">
        <v>6095.139</v>
      </c>
      <c r="AH260" s="3">
        <v>6325.2253</v>
      </c>
      <c r="AI260" s="3">
        <v>6401.7001</v>
      </c>
      <c r="AJ260" s="3">
        <v>6443.7145</v>
      </c>
      <c r="AK260" s="3">
        <v>6366.2332</v>
      </c>
      <c r="AL260" s="3">
        <v>6364.9273</v>
      </c>
      <c r="AM260" s="3">
        <v>6335.0647</v>
      </c>
      <c r="AN260" s="3">
        <v>6340.406</v>
      </c>
      <c r="AO260" s="3">
        <v>6201.6668</v>
      </c>
      <c r="AP260" s="3">
        <v>5804.212</v>
      </c>
      <c r="AQ260" s="3">
        <v>5877.4312</v>
      </c>
      <c r="AR260" s="3">
        <v>6028.5489</v>
      </c>
      <c r="AS260" s="3">
        <v>6185.9783</v>
      </c>
      <c r="AT260" s="3">
        <v>6199.2727</v>
      </c>
      <c r="AU260" s="3">
        <f t="shared" si="2"/>
        <v>5038.84448</v>
      </c>
      <c r="AV260" s="3">
        <f t="shared" si="3"/>
        <v>4700.128757</v>
      </c>
      <c r="AW260" s="3">
        <f t="shared" si="4"/>
        <v>6197.60534</v>
      </c>
      <c r="AX260" s="4">
        <f t="shared" si="5"/>
        <v>-0.02351448545</v>
      </c>
      <c r="AY260" s="4">
        <f t="shared" si="6"/>
        <v>0.02223442739</v>
      </c>
      <c r="AZ260" s="4">
        <f t="shared" si="7"/>
        <v>0.0012107617</v>
      </c>
    </row>
    <row r="261" ht="14.25" customHeight="1">
      <c r="A261" s="2" t="s">
        <v>405</v>
      </c>
      <c r="B261" s="3">
        <v>2835.5333</v>
      </c>
      <c r="C261" s="3">
        <v>2753.5832</v>
      </c>
      <c r="D261" s="3">
        <v>2701.5918</v>
      </c>
      <c r="E261" s="3">
        <v>2560.2095</v>
      </c>
      <c r="F261" s="3">
        <v>2567.8652</v>
      </c>
      <c r="G261" s="3">
        <v>2602.0347</v>
      </c>
      <c r="H261" s="3">
        <v>2562.4687</v>
      </c>
      <c r="I261" s="3">
        <v>2597.0642</v>
      </c>
      <c r="J261" s="3">
        <v>2618.7409</v>
      </c>
      <c r="K261" s="3">
        <v>2653.2311</v>
      </c>
      <c r="L261" s="3">
        <v>2699.1313</v>
      </c>
      <c r="M261" s="3">
        <v>2765.3923</v>
      </c>
      <c r="N261" s="3">
        <v>2857.7431</v>
      </c>
      <c r="O261" s="3">
        <v>2925.8197</v>
      </c>
      <c r="P261" s="3">
        <v>2926.7529</v>
      </c>
      <c r="Q261" s="3">
        <v>2914.289</v>
      </c>
      <c r="R261" s="3">
        <v>3291.5242</v>
      </c>
      <c r="S261" s="3">
        <v>4467.4733</v>
      </c>
      <c r="T261" s="3">
        <v>3326.4425</v>
      </c>
      <c r="U261" s="3">
        <v>3471.8997</v>
      </c>
      <c r="V261" s="3">
        <v>3478.6376</v>
      </c>
      <c r="W261" s="3">
        <v>3682.7211</v>
      </c>
      <c r="X261" s="3">
        <v>3841.7967</v>
      </c>
      <c r="Y261" s="3">
        <v>3951.5244</v>
      </c>
      <c r="Z261" s="3">
        <v>4089.8824</v>
      </c>
      <c r="AA261" s="3">
        <v>4164.3442</v>
      </c>
      <c r="AB261" s="3">
        <v>4143.4844</v>
      </c>
      <c r="AC261" s="3">
        <v>4431.542</v>
      </c>
      <c r="AD261" s="3">
        <v>4487.6659</v>
      </c>
      <c r="AE261" s="3">
        <v>4651.7961</v>
      </c>
      <c r="AF261" s="3">
        <v>4725.6056</v>
      </c>
      <c r="AG261" s="3">
        <v>4919.2642</v>
      </c>
      <c r="AH261" s="3">
        <v>5068.6135</v>
      </c>
      <c r="AI261" s="3">
        <v>5097.5445</v>
      </c>
      <c r="AJ261" s="3">
        <v>5233.5665</v>
      </c>
      <c r="AK261" s="3">
        <v>5351.8265</v>
      </c>
      <c r="AL261" s="3">
        <v>5452.0825</v>
      </c>
      <c r="AM261" s="3">
        <v>5657.5825</v>
      </c>
      <c r="AN261" s="3">
        <v>5860.3474</v>
      </c>
      <c r="AO261" s="3">
        <v>6056.0346</v>
      </c>
      <c r="AP261" s="3">
        <v>5988.7098</v>
      </c>
      <c r="AQ261" s="3">
        <v>6095.396</v>
      </c>
      <c r="AR261" s="3">
        <v>6271.0647</v>
      </c>
      <c r="AS261" s="3">
        <v>6469.8493</v>
      </c>
      <c r="AT261" s="3">
        <v>6864.4045</v>
      </c>
      <c r="AU261" s="3">
        <f t="shared" si="2"/>
        <v>2708.47746</v>
      </c>
      <c r="AV261" s="3">
        <f t="shared" si="3"/>
        <v>3962.909607</v>
      </c>
      <c r="AW261" s="3">
        <f t="shared" si="4"/>
        <v>5674.12614</v>
      </c>
      <c r="AX261" s="4">
        <f t="shared" si="5"/>
        <v>0.002264241738</v>
      </c>
      <c r="AY261" s="4">
        <f t="shared" si="6"/>
        <v>0.03396607492</v>
      </c>
      <c r="AZ261" s="4">
        <f t="shared" si="7"/>
        <v>0.02408477257</v>
      </c>
    </row>
    <row r="262" ht="14.25" customHeight="1">
      <c r="A262" s="2" t="s">
        <v>406</v>
      </c>
      <c r="B262" s="3">
        <v>2805.8921</v>
      </c>
      <c r="C262" s="3">
        <v>2973.0743</v>
      </c>
      <c r="D262" s="3">
        <v>2932.5652</v>
      </c>
      <c r="E262" s="3">
        <v>2868.0124</v>
      </c>
      <c r="F262" s="3">
        <v>2717.1087</v>
      </c>
      <c r="G262" s="3">
        <v>2802.6177</v>
      </c>
      <c r="H262" s="3">
        <v>2762.1085</v>
      </c>
      <c r="I262" s="3">
        <v>2702.4206</v>
      </c>
      <c r="J262" s="3">
        <v>2814.0314</v>
      </c>
      <c r="K262" s="3">
        <v>2860.4345</v>
      </c>
      <c r="L262" s="3">
        <v>2954.457</v>
      </c>
      <c r="M262" s="3">
        <v>3011.5253</v>
      </c>
      <c r="N262" s="3">
        <v>2735.1648</v>
      </c>
      <c r="O262" s="3">
        <v>2777.9193</v>
      </c>
      <c r="P262" s="3">
        <v>2933.5007</v>
      </c>
      <c r="Q262" s="3">
        <v>2892.056</v>
      </c>
      <c r="R262" s="3">
        <v>3084.9658</v>
      </c>
      <c r="S262" s="3">
        <v>3033.6978</v>
      </c>
      <c r="T262" s="3">
        <v>2952.773</v>
      </c>
      <c r="U262" s="3">
        <v>2771.2769</v>
      </c>
      <c r="V262" s="3">
        <v>2503.804</v>
      </c>
      <c r="W262" s="3">
        <v>2464.1369</v>
      </c>
      <c r="X262" s="3">
        <v>2273.2853</v>
      </c>
      <c r="Y262" s="3">
        <v>2056.5191</v>
      </c>
      <c r="Z262" s="3">
        <v>1940.2306</v>
      </c>
      <c r="AA262" s="3">
        <v>1826.4681</v>
      </c>
      <c r="AB262" s="3">
        <v>1722.9031</v>
      </c>
      <c r="AC262" s="3">
        <v>1636.6457</v>
      </c>
      <c r="AD262" s="3">
        <v>1533.7355</v>
      </c>
      <c r="AE262" s="3">
        <v>2417.7337</v>
      </c>
      <c r="AF262" s="3">
        <v>2855.3826</v>
      </c>
      <c r="AG262" s="3">
        <v>3214.539</v>
      </c>
      <c r="AH262" s="3">
        <v>3706.1689</v>
      </c>
      <c r="AI262" s="3">
        <v>3740.1292</v>
      </c>
      <c r="AJ262" s="3">
        <v>3782.603</v>
      </c>
      <c r="AK262" s="3">
        <v>3796.9169</v>
      </c>
      <c r="AL262" s="3">
        <v>3780.8255</v>
      </c>
      <c r="AM262" s="3">
        <v>3894.6816</v>
      </c>
      <c r="AN262" s="3">
        <v>4000.2112</v>
      </c>
      <c r="AO262" s="3">
        <v>3681.2833</v>
      </c>
      <c r="AP262" s="3">
        <v>3311.181</v>
      </c>
      <c r="AQ262" s="3">
        <v>3516.2529</v>
      </c>
      <c r="AR262" s="3">
        <v>3625.4312</v>
      </c>
      <c r="AS262" s="3">
        <v>3753.0398</v>
      </c>
      <c r="AT262" s="3">
        <v>4109.2024</v>
      </c>
      <c r="AU262" s="3">
        <f t="shared" si="2"/>
        <v>2843.388833</v>
      </c>
      <c r="AV262" s="3">
        <f t="shared" si="3"/>
        <v>2301.29825</v>
      </c>
      <c r="AW262" s="3">
        <f t="shared" si="4"/>
        <v>3651.1899</v>
      </c>
      <c r="AX262" s="4">
        <f t="shared" si="5"/>
        <v>0.003181834207</v>
      </c>
      <c r="AY262" s="4">
        <f t="shared" si="6"/>
        <v>-0.01271398945</v>
      </c>
      <c r="AZ262" s="4">
        <f t="shared" si="7"/>
        <v>0.01769363797</v>
      </c>
    </row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 ht="14.25" customHeight="1">
      <c r="A1" s="2" t="s">
        <v>407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2012.0</v>
      </c>
      <c r="AI1" s="2">
        <v>2013.0</v>
      </c>
      <c r="AJ1" s="2">
        <v>2014.0</v>
      </c>
      <c r="AK1" s="2">
        <v>2015.0</v>
      </c>
      <c r="AL1" s="2">
        <v>2016.0</v>
      </c>
      <c r="AM1" s="2">
        <v>2017.0</v>
      </c>
      <c r="AN1" s="2">
        <v>2018.0</v>
      </c>
      <c r="AO1" s="2">
        <v>2019.0</v>
      </c>
      <c r="AP1" s="2">
        <v>2020.0</v>
      </c>
      <c r="AQ1" s="2">
        <v>2021.0</v>
      </c>
      <c r="AR1" s="2">
        <v>2022.0</v>
      </c>
      <c r="AS1" s="2">
        <v>2023.0</v>
      </c>
      <c r="AT1" s="2">
        <v>2024.0</v>
      </c>
    </row>
    <row r="2" ht="14.25" customHeight="1">
      <c r="A2" s="2" t="s">
        <v>146</v>
      </c>
      <c r="B2" s="9">
        <v>0.4924</v>
      </c>
      <c r="C2" s="9">
        <v>0.4924</v>
      </c>
      <c r="D2" s="9">
        <v>0.4924</v>
      </c>
      <c r="E2" s="9">
        <v>0.4924</v>
      </c>
      <c r="F2" s="9">
        <v>0.4924</v>
      </c>
      <c r="G2" s="9">
        <v>0.4924</v>
      </c>
      <c r="H2" s="9">
        <v>0.4924</v>
      </c>
      <c r="I2" s="9">
        <v>0.4924</v>
      </c>
      <c r="J2" s="9">
        <v>0.4924</v>
      </c>
      <c r="K2" s="9">
        <v>0.4924</v>
      </c>
      <c r="L2" s="9">
        <v>0.4924</v>
      </c>
      <c r="M2" s="9">
        <v>0.4924</v>
      </c>
      <c r="N2" s="9">
        <v>0.4924</v>
      </c>
      <c r="O2" s="9">
        <v>0.4924</v>
      </c>
      <c r="P2" s="9">
        <v>0.4924</v>
      </c>
      <c r="Q2" s="9">
        <v>0.4924</v>
      </c>
      <c r="R2" s="9">
        <v>0.4924</v>
      </c>
      <c r="S2" s="9">
        <v>0.4924</v>
      </c>
      <c r="T2" s="9">
        <v>0.4924</v>
      </c>
      <c r="U2" s="9">
        <v>0.4924</v>
      </c>
      <c r="V2" s="9">
        <v>0.4924</v>
      </c>
      <c r="W2" s="9">
        <v>0.4924</v>
      </c>
      <c r="X2" s="9">
        <v>0.4924</v>
      </c>
      <c r="Y2" s="9">
        <v>0.4924</v>
      </c>
      <c r="Z2" s="9">
        <v>0.4924</v>
      </c>
      <c r="AA2" s="9">
        <v>0.4924</v>
      </c>
      <c r="AB2" s="9">
        <v>0.4924</v>
      </c>
      <c r="AC2" s="9">
        <v>0.4924</v>
      </c>
      <c r="AD2" s="9">
        <v>0.4924</v>
      </c>
      <c r="AE2" s="9">
        <v>0.4803</v>
      </c>
      <c r="AF2" s="9">
        <v>0.4792</v>
      </c>
      <c r="AG2" s="9">
        <v>0.4671</v>
      </c>
      <c r="AH2" s="9">
        <v>0.4599</v>
      </c>
      <c r="AI2" s="9">
        <v>0.4645</v>
      </c>
      <c r="AJ2" s="9">
        <v>0.4675</v>
      </c>
      <c r="AK2" s="9">
        <v>0.4685</v>
      </c>
      <c r="AL2" s="9">
        <v>0.474</v>
      </c>
      <c r="AM2" s="9">
        <v>0.4803</v>
      </c>
      <c r="AN2" s="9">
        <v>0.4803</v>
      </c>
      <c r="AO2" s="9">
        <v>0.4803</v>
      </c>
      <c r="AP2" s="9">
        <v>0.4803</v>
      </c>
      <c r="AQ2" s="9">
        <v>0.4803</v>
      </c>
      <c r="AR2" s="9">
        <v>0.4803</v>
      </c>
      <c r="AS2" s="9">
        <v>0.4803</v>
      </c>
      <c r="AT2" s="9">
        <v>0.4803</v>
      </c>
    </row>
    <row r="3" ht="14.25" customHeight="1">
      <c r="A3" s="2" t="s">
        <v>147</v>
      </c>
      <c r="B3" s="9">
        <v>0.452</v>
      </c>
      <c r="C3" s="9">
        <v>0.452</v>
      </c>
      <c r="D3" s="9">
        <v>0.452</v>
      </c>
      <c r="E3" s="9">
        <v>0.4521</v>
      </c>
      <c r="F3" s="9">
        <v>0.4521</v>
      </c>
      <c r="G3" s="9">
        <v>0.4521</v>
      </c>
      <c r="H3" s="9">
        <v>0.4522</v>
      </c>
      <c r="I3" s="9">
        <v>0.4521</v>
      </c>
      <c r="J3" s="9">
        <v>0.4521</v>
      </c>
      <c r="K3" s="9">
        <v>0.452</v>
      </c>
      <c r="L3" s="9">
        <v>0.4519</v>
      </c>
      <c r="M3" s="9">
        <v>0.4545</v>
      </c>
      <c r="N3" s="9">
        <v>0.4574</v>
      </c>
      <c r="O3" s="9">
        <v>0.4603</v>
      </c>
      <c r="P3" s="9">
        <v>0.4633</v>
      </c>
      <c r="Q3" s="9">
        <v>0.4669</v>
      </c>
      <c r="R3" s="9">
        <v>0.4668</v>
      </c>
      <c r="S3" s="9">
        <v>0.4715</v>
      </c>
      <c r="T3" s="9">
        <v>0.4722</v>
      </c>
      <c r="U3" s="9">
        <v>0.4738</v>
      </c>
      <c r="V3" s="9">
        <v>0.4727</v>
      </c>
      <c r="W3" s="9">
        <v>0.4761</v>
      </c>
      <c r="X3" s="9">
        <v>0.4804</v>
      </c>
      <c r="Y3" s="9">
        <v>0.4805</v>
      </c>
      <c r="Z3" s="9">
        <v>0.4769</v>
      </c>
      <c r="AA3" s="9">
        <v>0.4737</v>
      </c>
      <c r="AB3" s="9">
        <v>0.4719</v>
      </c>
      <c r="AC3" s="9">
        <v>0.4649</v>
      </c>
      <c r="AD3" s="9">
        <v>0.4715</v>
      </c>
      <c r="AE3" s="9">
        <v>0.4667</v>
      </c>
      <c r="AF3" s="9">
        <v>0.4661</v>
      </c>
      <c r="AG3" s="9">
        <v>0.4693</v>
      </c>
      <c r="AH3" s="9">
        <v>0.4676</v>
      </c>
      <c r="AI3" s="9">
        <v>0.4872</v>
      </c>
      <c r="AJ3" s="9">
        <v>0.4976</v>
      </c>
      <c r="AK3" s="9">
        <v>0.493</v>
      </c>
      <c r="AL3" s="9">
        <v>0.5053</v>
      </c>
      <c r="AM3" s="9">
        <v>0.4968</v>
      </c>
      <c r="AN3" s="9">
        <v>0.491</v>
      </c>
      <c r="AO3" s="9">
        <v>0.4834</v>
      </c>
      <c r="AP3" s="9">
        <v>0.483</v>
      </c>
      <c r="AQ3" s="9">
        <v>0.4855</v>
      </c>
      <c r="AR3" s="9">
        <v>0.491</v>
      </c>
      <c r="AS3" s="9">
        <v>0.4866</v>
      </c>
      <c r="AT3" s="9">
        <v>0.4866</v>
      </c>
    </row>
    <row r="4" ht="14.25" customHeight="1">
      <c r="A4" s="2" t="s">
        <v>148</v>
      </c>
      <c r="B4" s="9">
        <v>0.539</v>
      </c>
      <c r="C4" s="9">
        <v>0.539</v>
      </c>
      <c r="D4" s="9">
        <v>0.539</v>
      </c>
      <c r="E4" s="9">
        <v>0.539</v>
      </c>
      <c r="F4" s="9">
        <v>0.539</v>
      </c>
      <c r="G4" s="9">
        <v>0.539</v>
      </c>
      <c r="H4" s="9">
        <v>0.539</v>
      </c>
      <c r="I4" s="9">
        <v>0.539</v>
      </c>
      <c r="J4" s="9">
        <v>0.539</v>
      </c>
      <c r="K4" s="9">
        <v>0.539</v>
      </c>
      <c r="L4" s="9">
        <v>0.539</v>
      </c>
      <c r="M4" s="9">
        <v>0.539</v>
      </c>
      <c r="N4" s="9">
        <v>0.539</v>
      </c>
      <c r="O4" s="9">
        <v>0.539</v>
      </c>
      <c r="P4" s="9">
        <v>0.539</v>
      </c>
      <c r="Q4" s="9">
        <v>0.539</v>
      </c>
      <c r="R4" s="9">
        <v>0.539</v>
      </c>
      <c r="S4" s="9">
        <v>0.539</v>
      </c>
      <c r="T4" s="9">
        <v>0.539</v>
      </c>
      <c r="U4" s="9">
        <v>0.539</v>
      </c>
      <c r="V4" s="9">
        <v>0.539</v>
      </c>
      <c r="W4" s="9">
        <v>0.539</v>
      </c>
      <c r="X4" s="9">
        <v>0.539</v>
      </c>
      <c r="Y4" s="9">
        <v>0.539</v>
      </c>
      <c r="Z4" s="9">
        <v>0.539</v>
      </c>
      <c r="AA4" s="9">
        <v>0.539</v>
      </c>
      <c r="AB4" s="9">
        <v>0.539</v>
      </c>
      <c r="AC4" s="9">
        <v>0.5277</v>
      </c>
      <c r="AD4" s="9">
        <v>0.5167</v>
      </c>
      <c r="AE4" s="9">
        <v>0.5058</v>
      </c>
      <c r="AF4" s="9">
        <v>0.495</v>
      </c>
      <c r="AG4" s="9">
        <v>0.4845</v>
      </c>
      <c r="AH4" s="9">
        <v>0.5125</v>
      </c>
      <c r="AI4" s="9">
        <v>0.5411</v>
      </c>
      <c r="AJ4" s="9">
        <v>0.5411</v>
      </c>
      <c r="AK4" s="9">
        <v>0.5411</v>
      </c>
      <c r="AL4" s="9">
        <v>0.5411</v>
      </c>
      <c r="AM4" s="9">
        <v>0.5411</v>
      </c>
      <c r="AN4" s="9">
        <v>0.5411</v>
      </c>
      <c r="AO4" s="9">
        <v>0.5411</v>
      </c>
      <c r="AP4" s="9">
        <v>0.5411</v>
      </c>
      <c r="AQ4" s="9">
        <v>0.5411</v>
      </c>
      <c r="AR4" s="9">
        <v>0.5411</v>
      </c>
      <c r="AS4" s="9">
        <v>0.5411</v>
      </c>
      <c r="AT4" s="9">
        <v>0.5411</v>
      </c>
    </row>
    <row r="5" ht="14.25" customHeight="1">
      <c r="A5" s="2" t="s">
        <v>149</v>
      </c>
      <c r="B5" s="9">
        <v>0.4447</v>
      </c>
      <c r="C5" s="9">
        <v>0.4462</v>
      </c>
      <c r="D5" s="9">
        <v>0.4474</v>
      </c>
      <c r="E5" s="9">
        <v>0.4467</v>
      </c>
      <c r="F5" s="9">
        <v>0.4511</v>
      </c>
      <c r="G5" s="9">
        <v>0.4558</v>
      </c>
      <c r="H5" s="9">
        <v>0.4511</v>
      </c>
      <c r="I5" s="9">
        <v>0.4493</v>
      </c>
      <c r="J5" s="9">
        <v>0.4446</v>
      </c>
      <c r="K5" s="9">
        <v>0.4448</v>
      </c>
      <c r="L5" s="9">
        <v>0.4437</v>
      </c>
      <c r="M5" s="9">
        <v>0.4412</v>
      </c>
      <c r="N5" s="9">
        <v>0.45</v>
      </c>
      <c r="O5" s="9">
        <v>0.4578</v>
      </c>
      <c r="P5" s="9">
        <v>0.4658</v>
      </c>
      <c r="Q5" s="9">
        <v>0.463</v>
      </c>
      <c r="R5" s="9">
        <v>0.4639</v>
      </c>
      <c r="S5" s="9">
        <v>0.4717</v>
      </c>
      <c r="T5" s="9">
        <v>0.4714</v>
      </c>
      <c r="U5" s="9">
        <v>0.472</v>
      </c>
      <c r="V5" s="9">
        <v>0.4786</v>
      </c>
      <c r="W5" s="9">
        <v>0.476</v>
      </c>
      <c r="X5" s="9">
        <v>0.471</v>
      </c>
      <c r="Y5" s="9">
        <v>0.4747</v>
      </c>
      <c r="Z5" s="9">
        <v>0.4829</v>
      </c>
      <c r="AA5" s="9">
        <v>0.4832</v>
      </c>
      <c r="AB5" s="9">
        <v>0.4881</v>
      </c>
      <c r="AC5" s="9">
        <v>0.486</v>
      </c>
      <c r="AD5" s="9">
        <v>0.4697</v>
      </c>
      <c r="AE5" s="9">
        <v>0.4627</v>
      </c>
      <c r="AF5" s="9">
        <v>0.481</v>
      </c>
      <c r="AG5" s="9">
        <v>0.4817</v>
      </c>
      <c r="AH5" s="9">
        <v>0.4774</v>
      </c>
      <c r="AI5" s="9">
        <v>0.4812</v>
      </c>
      <c r="AJ5" s="9">
        <v>0.4848</v>
      </c>
      <c r="AK5" s="9">
        <v>0.484</v>
      </c>
      <c r="AL5" s="9">
        <v>0.4836</v>
      </c>
      <c r="AM5" s="9">
        <v>0.4829</v>
      </c>
      <c r="AN5" s="9">
        <v>0.4811</v>
      </c>
      <c r="AO5" s="9">
        <v>0.478</v>
      </c>
      <c r="AP5" s="9">
        <v>0.4784</v>
      </c>
      <c r="AQ5" s="9">
        <v>0.4829</v>
      </c>
      <c r="AR5" s="9">
        <v>0.4833</v>
      </c>
      <c r="AS5" s="9">
        <v>0.4833</v>
      </c>
      <c r="AT5" s="9">
        <v>0.4833</v>
      </c>
    </row>
    <row r="6" ht="14.25" customHeight="1">
      <c r="A6" s="2" t="s">
        <v>150</v>
      </c>
      <c r="B6" s="9">
        <v>0.6772</v>
      </c>
      <c r="C6" s="9">
        <v>0.6772</v>
      </c>
      <c r="D6" s="9">
        <v>0.6772</v>
      </c>
      <c r="E6" s="9">
        <v>0.6772</v>
      </c>
      <c r="F6" s="9">
        <v>0.6772</v>
      </c>
      <c r="G6" s="9">
        <v>0.6772</v>
      </c>
      <c r="H6" s="9">
        <v>0.6772</v>
      </c>
      <c r="I6" s="9">
        <v>0.6772</v>
      </c>
      <c r="J6" s="9">
        <v>0.6772</v>
      </c>
      <c r="K6" s="9">
        <v>0.6772</v>
      </c>
      <c r="L6" s="9">
        <v>0.6772</v>
      </c>
      <c r="M6" s="9">
        <v>0.6772</v>
      </c>
      <c r="N6" s="9">
        <v>0.6772</v>
      </c>
      <c r="O6" s="9">
        <v>0.6772</v>
      </c>
      <c r="P6" s="9">
        <v>0.6772</v>
      </c>
      <c r="Q6" s="9">
        <v>0.6772</v>
      </c>
      <c r="R6" s="9">
        <v>0.6772</v>
      </c>
      <c r="S6" s="9">
        <v>0.6772</v>
      </c>
      <c r="T6" s="9">
        <v>0.6772</v>
      </c>
      <c r="U6" s="9">
        <v>0.6772</v>
      </c>
      <c r="V6" s="9">
        <v>0.6772</v>
      </c>
      <c r="W6" s="9">
        <v>0.667</v>
      </c>
      <c r="X6" s="9">
        <v>0.6568</v>
      </c>
      <c r="Y6" s="9">
        <v>0.6466</v>
      </c>
      <c r="Z6" s="9">
        <v>0.6364</v>
      </c>
      <c r="AA6" s="9">
        <v>0.6262</v>
      </c>
      <c r="AB6" s="9">
        <v>0.6161</v>
      </c>
      <c r="AC6" s="9">
        <v>0.6059</v>
      </c>
      <c r="AD6" s="9">
        <v>0.5957</v>
      </c>
      <c r="AE6" s="9">
        <v>0.6039</v>
      </c>
      <c r="AF6" s="9">
        <v>0.6121</v>
      </c>
      <c r="AG6" s="9">
        <v>0.6203</v>
      </c>
      <c r="AH6" s="9">
        <v>0.6285</v>
      </c>
      <c r="AI6" s="9">
        <v>0.6367</v>
      </c>
      <c r="AJ6" s="9">
        <v>0.6449</v>
      </c>
      <c r="AK6" s="9">
        <v>0.6531</v>
      </c>
      <c r="AL6" s="9">
        <v>0.6613</v>
      </c>
      <c r="AM6" s="9">
        <v>0.6695</v>
      </c>
      <c r="AN6" s="9">
        <v>0.6777</v>
      </c>
      <c r="AO6" s="9">
        <v>0.6777</v>
      </c>
      <c r="AP6" s="9">
        <v>0.6777</v>
      </c>
      <c r="AQ6" s="9">
        <v>0.6777</v>
      </c>
      <c r="AR6" s="9">
        <v>0.6777</v>
      </c>
      <c r="AS6" s="9">
        <v>0.6777</v>
      </c>
      <c r="AT6" s="9">
        <v>0.6777</v>
      </c>
    </row>
    <row r="7" ht="14.25" customHeight="1">
      <c r="A7" s="2" t="s">
        <v>151</v>
      </c>
      <c r="B7" s="9">
        <v>0.6852</v>
      </c>
      <c r="C7" s="9">
        <v>0.6854</v>
      </c>
      <c r="D7" s="9">
        <v>0.6857</v>
      </c>
      <c r="E7" s="9">
        <v>0.6859</v>
      </c>
      <c r="F7" s="9">
        <v>0.6861</v>
      </c>
      <c r="G7" s="9">
        <v>0.6863</v>
      </c>
      <c r="H7" s="9">
        <v>0.6866</v>
      </c>
      <c r="I7" s="9">
        <v>0.6868</v>
      </c>
      <c r="J7" s="9">
        <v>0.6871</v>
      </c>
      <c r="K7" s="9">
        <v>0.6877</v>
      </c>
      <c r="L7" s="9">
        <v>0.6879</v>
      </c>
      <c r="M7" s="9">
        <v>0.6868</v>
      </c>
      <c r="N7" s="9">
        <v>0.6859</v>
      </c>
      <c r="O7" s="9">
        <v>0.6851</v>
      </c>
      <c r="P7" s="9">
        <v>0.6842</v>
      </c>
      <c r="Q7" s="9">
        <v>0.6834</v>
      </c>
      <c r="R7" s="9">
        <v>0.6826</v>
      </c>
      <c r="S7" s="9">
        <v>0.6818</v>
      </c>
      <c r="T7" s="9">
        <v>0.681</v>
      </c>
      <c r="U7" s="9">
        <v>0.6802</v>
      </c>
      <c r="V7" s="9">
        <v>0.6794</v>
      </c>
      <c r="W7" s="9">
        <v>0.6781</v>
      </c>
      <c r="X7" s="9">
        <v>0.6768</v>
      </c>
      <c r="Y7" s="9">
        <v>0.6756</v>
      </c>
      <c r="Z7" s="9">
        <v>0.6745</v>
      </c>
      <c r="AA7" s="9">
        <v>0.6734</v>
      </c>
      <c r="AB7" s="9">
        <v>0.6724</v>
      </c>
      <c r="AC7" s="9">
        <v>0.6714</v>
      </c>
      <c r="AD7" s="9">
        <v>0.6704</v>
      </c>
      <c r="AE7" s="9">
        <v>0.6695</v>
      </c>
      <c r="AF7" s="9">
        <v>0.6687</v>
      </c>
      <c r="AG7" s="9">
        <v>0.6601</v>
      </c>
      <c r="AH7" s="9">
        <v>0.6516</v>
      </c>
      <c r="AI7" s="9">
        <v>0.6431</v>
      </c>
      <c r="AJ7" s="9">
        <v>0.6347</v>
      </c>
      <c r="AK7" s="9">
        <v>0.6264</v>
      </c>
      <c r="AL7" s="9">
        <v>0.6182</v>
      </c>
      <c r="AM7" s="9">
        <v>0.6099</v>
      </c>
      <c r="AN7" s="9">
        <v>0.6018</v>
      </c>
      <c r="AO7" s="9">
        <v>0.5937</v>
      </c>
      <c r="AP7" s="9">
        <v>0.5868</v>
      </c>
      <c r="AQ7" s="9">
        <v>0.5868</v>
      </c>
      <c r="AR7" s="9">
        <v>0.5868</v>
      </c>
      <c r="AS7" s="9">
        <v>0.5868</v>
      </c>
      <c r="AT7" s="9">
        <v>0.5868</v>
      </c>
    </row>
    <row r="8" ht="14.25" customHeight="1">
      <c r="A8" s="2" t="s">
        <v>152</v>
      </c>
      <c r="B8" s="9">
        <v>0.6852</v>
      </c>
      <c r="C8" s="9">
        <v>0.6854</v>
      </c>
      <c r="D8" s="9">
        <v>0.6857</v>
      </c>
      <c r="E8" s="9">
        <v>0.6859</v>
      </c>
      <c r="F8" s="9">
        <v>0.6861</v>
      </c>
      <c r="G8" s="9">
        <v>0.6863</v>
      </c>
      <c r="H8" s="9">
        <v>0.6866</v>
      </c>
      <c r="I8" s="9">
        <v>0.6868</v>
      </c>
      <c r="J8" s="9">
        <v>0.6871</v>
      </c>
      <c r="K8" s="9">
        <v>0.6877</v>
      </c>
      <c r="L8" s="9">
        <v>0.6879</v>
      </c>
      <c r="M8" s="9">
        <v>0.6868</v>
      </c>
      <c r="N8" s="9">
        <v>0.6859</v>
      </c>
      <c r="O8" s="9">
        <v>0.6851</v>
      </c>
      <c r="P8" s="9">
        <v>0.6842</v>
      </c>
      <c r="Q8" s="9">
        <v>0.6834</v>
      </c>
      <c r="R8" s="9">
        <v>0.6826</v>
      </c>
      <c r="S8" s="9">
        <v>0.6818</v>
      </c>
      <c r="T8" s="9">
        <v>0.681</v>
      </c>
      <c r="U8" s="9">
        <v>0.6802</v>
      </c>
      <c r="V8" s="9">
        <v>0.6794</v>
      </c>
      <c r="W8" s="9">
        <v>0.6781</v>
      </c>
      <c r="X8" s="9">
        <v>0.6768</v>
      </c>
      <c r="Y8" s="9">
        <v>0.6756</v>
      </c>
      <c r="Z8" s="9">
        <v>0.6745</v>
      </c>
      <c r="AA8" s="9">
        <v>0.6734</v>
      </c>
      <c r="AB8" s="9">
        <v>0.6724</v>
      </c>
      <c r="AC8" s="9">
        <v>0.6714</v>
      </c>
      <c r="AD8" s="9">
        <v>0.6704</v>
      </c>
      <c r="AE8" s="9">
        <v>0.6695</v>
      </c>
      <c r="AF8" s="9">
        <v>0.6687</v>
      </c>
      <c r="AG8" s="9">
        <v>0.6601</v>
      </c>
      <c r="AH8" s="9">
        <v>0.6516</v>
      </c>
      <c r="AI8" s="9">
        <v>0.6431</v>
      </c>
      <c r="AJ8" s="9">
        <v>0.6347</v>
      </c>
      <c r="AK8" s="9">
        <v>0.6264</v>
      </c>
      <c r="AL8" s="9">
        <v>0.6182</v>
      </c>
      <c r="AM8" s="9">
        <v>0.6099</v>
      </c>
      <c r="AN8" s="9">
        <v>0.6018</v>
      </c>
      <c r="AO8" s="9">
        <v>0.5937</v>
      </c>
      <c r="AP8" s="9">
        <v>0.5868</v>
      </c>
      <c r="AQ8" s="9">
        <v>0.5868</v>
      </c>
      <c r="AR8" s="9">
        <v>0.5868</v>
      </c>
      <c r="AS8" s="9">
        <v>0.5868</v>
      </c>
      <c r="AT8" s="9">
        <v>0.5868</v>
      </c>
    </row>
    <row r="9" ht="14.25" customHeight="1">
      <c r="A9" s="2" t="s">
        <v>153</v>
      </c>
      <c r="B9" s="9">
        <v>0.6596</v>
      </c>
      <c r="C9" s="9">
        <v>0.6596</v>
      </c>
      <c r="D9" s="9">
        <v>0.6596</v>
      </c>
      <c r="E9" s="9">
        <v>0.6596</v>
      </c>
      <c r="F9" s="9">
        <v>0.6596</v>
      </c>
      <c r="G9" s="9">
        <v>0.6596</v>
      </c>
      <c r="H9" s="9">
        <v>0.6596</v>
      </c>
      <c r="I9" s="9">
        <v>0.6596</v>
      </c>
      <c r="J9" s="9">
        <v>0.6596</v>
      </c>
      <c r="K9" s="9">
        <v>0.6596</v>
      </c>
      <c r="L9" s="9">
        <v>0.6596</v>
      </c>
      <c r="M9" s="9">
        <v>0.6596</v>
      </c>
      <c r="N9" s="9">
        <v>0.6596</v>
      </c>
      <c r="O9" s="9">
        <v>0.6596</v>
      </c>
      <c r="P9" s="9">
        <v>0.6596</v>
      </c>
      <c r="Q9" s="9">
        <v>0.6596</v>
      </c>
      <c r="R9" s="9">
        <v>0.6596</v>
      </c>
      <c r="S9" s="9">
        <v>0.6596</v>
      </c>
      <c r="T9" s="9">
        <v>0.6596</v>
      </c>
      <c r="U9" s="9">
        <v>0.6596</v>
      </c>
      <c r="V9" s="9">
        <v>0.6596</v>
      </c>
      <c r="W9" s="9">
        <v>0.6751</v>
      </c>
      <c r="X9" s="9">
        <v>0.6839</v>
      </c>
      <c r="Y9" s="9">
        <v>0.6416</v>
      </c>
      <c r="Z9" s="9">
        <v>0.6339</v>
      </c>
      <c r="AA9" s="9">
        <v>0.6136</v>
      </c>
      <c r="AB9" s="9">
        <v>0.5952</v>
      </c>
      <c r="AC9" s="9">
        <v>0.6115</v>
      </c>
      <c r="AD9" s="9">
        <v>0.5714</v>
      </c>
      <c r="AE9" s="9">
        <v>0.5762</v>
      </c>
      <c r="AF9" s="9">
        <v>0.574</v>
      </c>
      <c r="AG9" s="9">
        <v>0.5539</v>
      </c>
      <c r="AH9" s="9">
        <v>0.5417</v>
      </c>
      <c r="AI9" s="9">
        <v>0.549</v>
      </c>
      <c r="AJ9" s="9">
        <v>0.5695</v>
      </c>
      <c r="AK9" s="9">
        <v>0.5678</v>
      </c>
      <c r="AL9" s="9">
        <v>0.5662</v>
      </c>
      <c r="AM9" s="9">
        <v>0.564</v>
      </c>
      <c r="AN9" s="9">
        <v>0.563</v>
      </c>
      <c r="AO9" s="9">
        <v>0.5822</v>
      </c>
      <c r="AP9" s="9">
        <v>0.6113</v>
      </c>
      <c r="AQ9" s="9">
        <v>0.5714</v>
      </c>
      <c r="AR9" s="9">
        <v>0.5721</v>
      </c>
      <c r="AS9" s="9">
        <v>0.594</v>
      </c>
      <c r="AT9" s="9">
        <v>0.594</v>
      </c>
    </row>
    <row r="10" ht="14.25" customHeight="1">
      <c r="A10" s="2" t="s">
        <v>154</v>
      </c>
      <c r="B10" s="9">
        <v>0.3026</v>
      </c>
      <c r="C10" s="9">
        <v>0.3009</v>
      </c>
      <c r="D10" s="9">
        <v>0.2993</v>
      </c>
      <c r="E10" s="9">
        <v>0.2977</v>
      </c>
      <c r="F10" s="9">
        <v>0.2961</v>
      </c>
      <c r="G10" s="9">
        <v>0.2946</v>
      </c>
      <c r="H10" s="9">
        <v>0.2937</v>
      </c>
      <c r="I10" s="9">
        <v>0.2929</v>
      </c>
      <c r="J10" s="9">
        <v>0.2921</v>
      </c>
      <c r="K10" s="9">
        <v>0.2953</v>
      </c>
      <c r="L10" s="9">
        <v>0.3092</v>
      </c>
      <c r="M10" s="9">
        <v>0.3516</v>
      </c>
      <c r="N10" s="9">
        <v>0.3939</v>
      </c>
      <c r="O10" s="9">
        <v>0.4361</v>
      </c>
      <c r="P10" s="9">
        <v>0.4783</v>
      </c>
      <c r="Q10" s="9">
        <v>0.5205</v>
      </c>
      <c r="R10" s="9">
        <v>0.5631</v>
      </c>
      <c r="S10" s="9">
        <v>0.5491</v>
      </c>
      <c r="T10" s="9">
        <v>0.5328</v>
      </c>
      <c r="U10" s="9">
        <v>0.5224</v>
      </c>
      <c r="V10" s="9">
        <v>0.507</v>
      </c>
      <c r="W10" s="9">
        <v>0.4965</v>
      </c>
      <c r="X10" s="9">
        <v>0.5004</v>
      </c>
      <c r="Y10" s="9">
        <v>0.4883</v>
      </c>
      <c r="Z10" s="9">
        <v>0.5223</v>
      </c>
      <c r="AA10" s="9">
        <v>0.5136</v>
      </c>
      <c r="AB10" s="9">
        <v>0.4453</v>
      </c>
      <c r="AC10" s="9">
        <v>0.4599</v>
      </c>
      <c r="AD10" s="9">
        <v>0.4398</v>
      </c>
      <c r="AE10" s="9">
        <v>0.4331</v>
      </c>
      <c r="AF10" s="9">
        <v>0.4574</v>
      </c>
      <c r="AG10" s="9">
        <v>0.4415</v>
      </c>
      <c r="AH10" s="9">
        <v>0.4407</v>
      </c>
      <c r="AI10" s="9">
        <v>0.4512</v>
      </c>
      <c r="AJ10" s="9">
        <v>0.4617</v>
      </c>
      <c r="AK10" s="9">
        <v>0.4756</v>
      </c>
      <c r="AL10" s="9">
        <v>0.4822</v>
      </c>
      <c r="AM10" s="9">
        <v>0.5038</v>
      </c>
      <c r="AN10" s="9">
        <v>0.5062</v>
      </c>
      <c r="AO10" s="9">
        <v>0.4637</v>
      </c>
      <c r="AP10" s="9">
        <v>0.4637</v>
      </c>
      <c r="AQ10" s="9">
        <v>0.4637</v>
      </c>
      <c r="AR10" s="9">
        <v>0.4637</v>
      </c>
      <c r="AS10" s="9">
        <v>0.4637</v>
      </c>
      <c r="AT10" s="9">
        <v>0.4637</v>
      </c>
    </row>
    <row r="11" ht="14.25" customHeight="1">
      <c r="A11" s="2" t="s">
        <v>155</v>
      </c>
      <c r="B11" s="9">
        <v>0.6852</v>
      </c>
      <c r="C11" s="9">
        <v>0.6854</v>
      </c>
      <c r="D11" s="9">
        <v>0.6857</v>
      </c>
      <c r="E11" s="9">
        <v>0.6859</v>
      </c>
      <c r="F11" s="9">
        <v>0.6861</v>
      </c>
      <c r="G11" s="9">
        <v>0.6863</v>
      </c>
      <c r="H11" s="9">
        <v>0.6866</v>
      </c>
      <c r="I11" s="9">
        <v>0.6868</v>
      </c>
      <c r="J11" s="9">
        <v>0.6871</v>
      </c>
      <c r="K11" s="9">
        <v>0.6877</v>
      </c>
      <c r="L11" s="9">
        <v>0.6879</v>
      </c>
      <c r="M11" s="9">
        <v>0.6868</v>
      </c>
      <c r="N11" s="9">
        <v>0.6859</v>
      </c>
      <c r="O11" s="9">
        <v>0.6851</v>
      </c>
      <c r="P11" s="9">
        <v>0.6842</v>
      </c>
      <c r="Q11" s="9">
        <v>0.6834</v>
      </c>
      <c r="R11" s="9">
        <v>0.6826</v>
      </c>
      <c r="S11" s="9">
        <v>0.6818</v>
      </c>
      <c r="T11" s="9">
        <v>0.681</v>
      </c>
      <c r="U11" s="9">
        <v>0.6802</v>
      </c>
      <c r="V11" s="9">
        <v>0.6794</v>
      </c>
      <c r="W11" s="9">
        <v>0.6781</v>
      </c>
      <c r="X11" s="9">
        <v>0.6768</v>
      </c>
      <c r="Y11" s="9">
        <v>0.6756</v>
      </c>
      <c r="Z11" s="9">
        <v>0.6745</v>
      </c>
      <c r="AA11" s="9">
        <v>0.6734</v>
      </c>
      <c r="AB11" s="9">
        <v>0.6724</v>
      </c>
      <c r="AC11" s="9">
        <v>0.6714</v>
      </c>
      <c r="AD11" s="9">
        <v>0.6704</v>
      </c>
      <c r="AE11" s="9">
        <v>0.6695</v>
      </c>
      <c r="AF11" s="9">
        <v>0.6687</v>
      </c>
      <c r="AG11" s="9">
        <v>0.6601</v>
      </c>
      <c r="AH11" s="9">
        <v>0.6516</v>
      </c>
      <c r="AI11" s="9">
        <v>0.6431</v>
      </c>
      <c r="AJ11" s="9">
        <v>0.6347</v>
      </c>
      <c r="AK11" s="9">
        <v>0.6264</v>
      </c>
      <c r="AL11" s="9">
        <v>0.6182</v>
      </c>
      <c r="AM11" s="9">
        <v>0.6099</v>
      </c>
      <c r="AN11" s="9">
        <v>0.6018</v>
      </c>
      <c r="AO11" s="9">
        <v>0.5937</v>
      </c>
      <c r="AP11" s="9">
        <v>0.5868</v>
      </c>
      <c r="AQ11" s="9">
        <v>0.5868</v>
      </c>
      <c r="AR11" s="9">
        <v>0.5868</v>
      </c>
      <c r="AS11" s="9">
        <v>0.5868</v>
      </c>
      <c r="AT11" s="9">
        <v>0.5868</v>
      </c>
    </row>
    <row r="12" ht="14.25" customHeight="1">
      <c r="A12" s="2" t="s">
        <v>156</v>
      </c>
      <c r="B12" s="9">
        <v>0.4208</v>
      </c>
      <c r="C12" s="9">
        <v>0.4211</v>
      </c>
      <c r="D12" s="9">
        <v>0.4261</v>
      </c>
      <c r="E12" s="9">
        <v>0.4218</v>
      </c>
      <c r="F12" s="9">
        <v>0.4244</v>
      </c>
      <c r="G12" s="9">
        <v>0.4273</v>
      </c>
      <c r="H12" s="9">
        <v>0.4349</v>
      </c>
      <c r="I12" s="9">
        <v>0.4492</v>
      </c>
      <c r="J12" s="9">
        <v>0.4615</v>
      </c>
      <c r="K12" s="9">
        <v>0.4434</v>
      </c>
      <c r="L12" s="9">
        <v>0.4388</v>
      </c>
      <c r="M12" s="9">
        <v>0.4505</v>
      </c>
      <c r="N12" s="9">
        <v>0.4453</v>
      </c>
      <c r="O12" s="9">
        <v>0.452</v>
      </c>
      <c r="P12" s="9">
        <v>0.456</v>
      </c>
      <c r="Q12" s="9">
        <v>0.4587</v>
      </c>
      <c r="R12" s="9">
        <v>0.4566</v>
      </c>
      <c r="S12" s="9">
        <v>0.455</v>
      </c>
      <c r="T12" s="9">
        <v>0.4624</v>
      </c>
      <c r="U12" s="9">
        <v>0.465</v>
      </c>
      <c r="V12" s="9">
        <v>0.468</v>
      </c>
      <c r="W12" s="9">
        <v>0.4611</v>
      </c>
      <c r="X12" s="9">
        <v>0.4754</v>
      </c>
      <c r="Y12" s="9">
        <v>0.4706</v>
      </c>
      <c r="Z12" s="9">
        <v>0.4749</v>
      </c>
      <c r="AA12" s="9">
        <v>0.4814</v>
      </c>
      <c r="AB12" s="9">
        <v>0.4824</v>
      </c>
      <c r="AC12" s="9">
        <v>0.4814</v>
      </c>
      <c r="AD12" s="9">
        <v>0.4879</v>
      </c>
      <c r="AE12" s="9">
        <v>0.4885</v>
      </c>
      <c r="AF12" s="9">
        <v>0.4869</v>
      </c>
      <c r="AG12" s="9">
        <v>0.4869</v>
      </c>
      <c r="AH12" s="9">
        <v>0.4876</v>
      </c>
      <c r="AI12" s="9">
        <v>0.4879</v>
      </c>
      <c r="AJ12" s="9">
        <v>0.4883</v>
      </c>
      <c r="AK12" s="9">
        <v>0.4897</v>
      </c>
      <c r="AL12" s="9">
        <v>0.4829</v>
      </c>
      <c r="AM12" s="9">
        <v>0.4876</v>
      </c>
      <c r="AN12" s="9">
        <v>0.4798</v>
      </c>
      <c r="AO12" s="9">
        <v>0.4824</v>
      </c>
      <c r="AP12" s="9">
        <v>0.4819</v>
      </c>
      <c r="AQ12" s="9">
        <v>0.4921</v>
      </c>
      <c r="AR12" s="9">
        <v>0.4923</v>
      </c>
      <c r="AS12" s="9">
        <v>0.4936</v>
      </c>
      <c r="AT12" s="9">
        <v>0.4936</v>
      </c>
    </row>
    <row r="13" ht="14.25" customHeight="1">
      <c r="A13" s="2" t="s">
        <v>157</v>
      </c>
      <c r="B13" s="9">
        <v>0.3937</v>
      </c>
      <c r="C13" s="9">
        <v>0.3941</v>
      </c>
      <c r="D13" s="9">
        <v>0.3945</v>
      </c>
      <c r="E13" s="9">
        <v>0.3943</v>
      </c>
      <c r="F13" s="9">
        <v>0.3956</v>
      </c>
      <c r="G13" s="9">
        <v>0.3953</v>
      </c>
      <c r="H13" s="9">
        <v>0.3955</v>
      </c>
      <c r="I13" s="9">
        <v>0.3839</v>
      </c>
      <c r="J13" s="9">
        <v>0.3836</v>
      </c>
      <c r="K13" s="9">
        <v>0.3909</v>
      </c>
      <c r="L13" s="9">
        <v>0.3895</v>
      </c>
      <c r="M13" s="9">
        <v>0.3877</v>
      </c>
      <c r="N13" s="9">
        <v>0.3847</v>
      </c>
      <c r="O13" s="9">
        <v>0.3919</v>
      </c>
      <c r="P13" s="9">
        <v>0.3941</v>
      </c>
      <c r="Q13" s="9">
        <v>0.3956</v>
      </c>
      <c r="R13" s="9">
        <v>0.3978</v>
      </c>
      <c r="S13" s="9">
        <v>0.3988</v>
      </c>
      <c r="T13" s="9">
        <v>0.4016</v>
      </c>
      <c r="U13" s="9">
        <v>0.3877</v>
      </c>
      <c r="V13" s="9">
        <v>0.399</v>
      </c>
      <c r="W13" s="9">
        <v>0.392</v>
      </c>
      <c r="X13" s="9">
        <v>0.3978</v>
      </c>
      <c r="Y13" s="9">
        <v>0.3997</v>
      </c>
      <c r="Z13" s="9">
        <v>0.4002</v>
      </c>
      <c r="AA13" s="9">
        <v>0.3988</v>
      </c>
      <c r="AB13" s="9">
        <v>0.4041</v>
      </c>
      <c r="AC13" s="9">
        <v>0.4051</v>
      </c>
      <c r="AD13" s="9">
        <v>0.4072</v>
      </c>
      <c r="AE13" s="9">
        <v>0.3999</v>
      </c>
      <c r="AF13" s="9">
        <v>0.4087</v>
      </c>
      <c r="AG13" s="9">
        <v>0.4074</v>
      </c>
      <c r="AH13" s="9">
        <v>0.4032</v>
      </c>
      <c r="AI13" s="9">
        <v>0.3945</v>
      </c>
      <c r="AJ13" s="9">
        <v>0.3905</v>
      </c>
      <c r="AK13" s="9">
        <v>0.3954</v>
      </c>
      <c r="AL13" s="9">
        <v>0.4057</v>
      </c>
      <c r="AM13" s="9">
        <v>0.3953</v>
      </c>
      <c r="AN13" s="9">
        <v>0.3996</v>
      </c>
      <c r="AO13" s="9">
        <v>0.3927</v>
      </c>
      <c r="AP13" s="9">
        <v>0.3927</v>
      </c>
      <c r="AQ13" s="9">
        <v>0.3923</v>
      </c>
      <c r="AR13" s="9">
        <v>0.3922</v>
      </c>
      <c r="AS13" s="9">
        <v>0.3952</v>
      </c>
      <c r="AT13" s="9">
        <v>0.3952</v>
      </c>
    </row>
    <row r="14" ht="14.25" customHeight="1">
      <c r="A14" s="2" t="s">
        <v>158</v>
      </c>
      <c r="B14" s="9">
        <v>0.3026</v>
      </c>
      <c r="C14" s="9">
        <v>0.3009</v>
      </c>
      <c r="D14" s="9">
        <v>0.2993</v>
      </c>
      <c r="E14" s="9">
        <v>0.2977</v>
      </c>
      <c r="F14" s="9">
        <v>0.2961</v>
      </c>
      <c r="G14" s="9">
        <v>0.2946</v>
      </c>
      <c r="H14" s="9">
        <v>0.2937</v>
      </c>
      <c r="I14" s="9">
        <v>0.2929</v>
      </c>
      <c r="J14" s="9">
        <v>0.2921</v>
      </c>
      <c r="K14" s="9">
        <v>0.2953</v>
      </c>
      <c r="L14" s="9">
        <v>0.3092</v>
      </c>
      <c r="M14" s="9">
        <v>0.3538</v>
      </c>
      <c r="N14" s="9">
        <v>0.3982</v>
      </c>
      <c r="O14" s="9">
        <v>0.4427</v>
      </c>
      <c r="P14" s="9">
        <v>0.4871</v>
      </c>
      <c r="Q14" s="9">
        <v>0.5318</v>
      </c>
      <c r="R14" s="9">
        <v>0.5357</v>
      </c>
      <c r="S14" s="9">
        <v>0.5369</v>
      </c>
      <c r="T14" s="9">
        <v>0.5304</v>
      </c>
      <c r="U14" s="9">
        <v>0.532</v>
      </c>
      <c r="V14" s="9">
        <v>0.5241</v>
      </c>
      <c r="W14" s="9">
        <v>0.5202</v>
      </c>
      <c r="X14" s="9">
        <v>0.4296</v>
      </c>
      <c r="Y14" s="9">
        <v>0.4277</v>
      </c>
      <c r="Z14" s="9">
        <v>0.4259</v>
      </c>
      <c r="AA14" s="9">
        <v>0.4419</v>
      </c>
      <c r="AB14" s="9">
        <v>0.5038</v>
      </c>
      <c r="AC14" s="9">
        <v>0.5181</v>
      </c>
      <c r="AD14" s="9">
        <v>0.4372</v>
      </c>
      <c r="AE14" s="9">
        <v>0.4324</v>
      </c>
      <c r="AF14" s="9">
        <v>0.4228</v>
      </c>
      <c r="AG14" s="9">
        <v>0.4311</v>
      </c>
      <c r="AH14" s="9">
        <v>0.4407</v>
      </c>
      <c r="AI14" s="9">
        <v>0.4337</v>
      </c>
      <c r="AJ14" s="9">
        <v>0.4336</v>
      </c>
      <c r="AK14" s="9">
        <v>0.4251</v>
      </c>
      <c r="AL14" s="9">
        <v>0.4124</v>
      </c>
      <c r="AM14" s="9">
        <v>0.4265</v>
      </c>
      <c r="AN14" s="9">
        <v>0.4265</v>
      </c>
      <c r="AO14" s="9">
        <v>0.4265</v>
      </c>
      <c r="AP14" s="9">
        <v>0.4265</v>
      </c>
      <c r="AQ14" s="9">
        <v>0.4265</v>
      </c>
      <c r="AR14" s="9">
        <v>0.4265</v>
      </c>
      <c r="AS14" s="9">
        <v>0.4265</v>
      </c>
      <c r="AT14" s="9">
        <v>0.4265</v>
      </c>
    </row>
    <row r="15" ht="14.25" customHeight="1">
      <c r="A15" s="2" t="s">
        <v>159</v>
      </c>
      <c r="B15" s="9">
        <v>0.682</v>
      </c>
      <c r="C15" s="9">
        <v>0.682</v>
      </c>
      <c r="D15" s="9">
        <v>0.682</v>
      </c>
      <c r="E15" s="9">
        <v>0.682</v>
      </c>
      <c r="F15" s="9">
        <v>0.682</v>
      </c>
      <c r="G15" s="9">
        <v>0.682</v>
      </c>
      <c r="H15" s="9">
        <v>0.682</v>
      </c>
      <c r="I15" s="9">
        <v>0.682</v>
      </c>
      <c r="J15" s="9">
        <v>0.682</v>
      </c>
      <c r="K15" s="9">
        <v>0.682</v>
      </c>
      <c r="L15" s="9">
        <v>0.682</v>
      </c>
      <c r="M15" s="9">
        <v>0.682</v>
      </c>
      <c r="N15" s="9">
        <v>0.682</v>
      </c>
      <c r="O15" s="9">
        <v>0.682</v>
      </c>
      <c r="P15" s="9">
        <v>0.682</v>
      </c>
      <c r="Q15" s="9">
        <v>0.682</v>
      </c>
      <c r="R15" s="9">
        <v>0.682</v>
      </c>
      <c r="S15" s="9">
        <v>0.682</v>
      </c>
      <c r="T15" s="9">
        <v>0.682</v>
      </c>
      <c r="U15" s="9">
        <v>0.682</v>
      </c>
      <c r="V15" s="9">
        <v>0.682</v>
      </c>
      <c r="W15" s="9">
        <v>0.6903</v>
      </c>
      <c r="X15" s="9">
        <v>0.6885</v>
      </c>
      <c r="Y15" s="9">
        <v>0.6848</v>
      </c>
      <c r="Z15" s="9">
        <v>0.6817</v>
      </c>
      <c r="AA15" s="9">
        <v>0.6794</v>
      </c>
      <c r="AB15" s="9">
        <v>0.6749</v>
      </c>
      <c r="AC15" s="9">
        <v>0.6812</v>
      </c>
      <c r="AD15" s="9">
        <v>0.6744</v>
      </c>
      <c r="AE15" s="9">
        <v>0.6684</v>
      </c>
      <c r="AF15" s="9">
        <v>0.6678</v>
      </c>
      <c r="AG15" s="9">
        <v>0.6616</v>
      </c>
      <c r="AH15" s="9">
        <v>0.656</v>
      </c>
      <c r="AI15" s="9">
        <v>0.6594</v>
      </c>
      <c r="AJ15" s="9">
        <v>0.6552</v>
      </c>
      <c r="AK15" s="9">
        <v>0.6514</v>
      </c>
      <c r="AL15" s="9">
        <v>0.6525</v>
      </c>
      <c r="AM15" s="9">
        <v>0.653</v>
      </c>
      <c r="AN15" s="9">
        <v>0.655</v>
      </c>
      <c r="AO15" s="9">
        <v>0.6523</v>
      </c>
      <c r="AP15" s="9">
        <v>0.6739</v>
      </c>
      <c r="AQ15" s="9">
        <v>0.6609</v>
      </c>
      <c r="AR15" s="9">
        <v>0.6502</v>
      </c>
      <c r="AS15" s="9">
        <v>0.6505</v>
      </c>
      <c r="AT15" s="9">
        <v>0.6505</v>
      </c>
    </row>
    <row r="16" ht="14.25" customHeight="1">
      <c r="A16" s="2" t="s">
        <v>160</v>
      </c>
      <c r="B16" s="9">
        <v>0.6405</v>
      </c>
      <c r="C16" s="9">
        <v>0.6405</v>
      </c>
      <c r="D16" s="9">
        <v>0.6405</v>
      </c>
      <c r="E16" s="9">
        <v>0.6405</v>
      </c>
      <c r="F16" s="9">
        <v>0.6405</v>
      </c>
      <c r="G16" s="9">
        <v>0.6405</v>
      </c>
      <c r="H16" s="9">
        <v>0.6405</v>
      </c>
      <c r="I16" s="9">
        <v>0.6405</v>
      </c>
      <c r="J16" s="9">
        <v>0.6405</v>
      </c>
      <c r="K16" s="9">
        <v>0.6405</v>
      </c>
      <c r="L16" s="9">
        <v>0.6405</v>
      </c>
      <c r="M16" s="9">
        <v>0.6405</v>
      </c>
      <c r="N16" s="9">
        <v>0.6405</v>
      </c>
      <c r="O16" s="9">
        <v>0.6405</v>
      </c>
      <c r="P16" s="9">
        <v>0.6405</v>
      </c>
      <c r="Q16" s="9">
        <v>0.6405</v>
      </c>
      <c r="R16" s="9">
        <v>0.6434</v>
      </c>
      <c r="S16" s="9">
        <v>0.6463</v>
      </c>
      <c r="T16" s="9">
        <v>0.6493</v>
      </c>
      <c r="U16" s="9">
        <v>0.6524</v>
      </c>
      <c r="V16" s="9">
        <v>0.6555</v>
      </c>
      <c r="W16" s="9">
        <v>0.6587</v>
      </c>
      <c r="X16" s="9">
        <v>0.6619</v>
      </c>
      <c r="Y16" s="9">
        <v>0.6652</v>
      </c>
      <c r="Z16" s="9">
        <v>0.6685</v>
      </c>
      <c r="AA16" s="9">
        <v>0.6719</v>
      </c>
      <c r="AB16" s="9">
        <v>0.6519</v>
      </c>
      <c r="AC16" s="9">
        <v>0.6299</v>
      </c>
      <c r="AD16" s="9">
        <v>0.6056</v>
      </c>
      <c r="AE16" s="9">
        <v>0.5786</v>
      </c>
      <c r="AF16" s="9">
        <v>0.5922</v>
      </c>
      <c r="AG16" s="9">
        <v>0.6052</v>
      </c>
      <c r="AH16" s="9">
        <v>0.6176</v>
      </c>
      <c r="AI16" s="9">
        <v>0.6295</v>
      </c>
      <c r="AJ16" s="9">
        <v>0.6409</v>
      </c>
      <c r="AK16" s="9">
        <v>0.6518</v>
      </c>
      <c r="AL16" s="9">
        <v>0.6518</v>
      </c>
      <c r="AM16" s="9">
        <v>0.6518</v>
      </c>
      <c r="AN16" s="9">
        <v>0.6518</v>
      </c>
      <c r="AO16" s="9">
        <v>0.6518</v>
      </c>
      <c r="AP16" s="9">
        <v>0.6518</v>
      </c>
      <c r="AQ16" s="9">
        <v>0.6518</v>
      </c>
      <c r="AR16" s="9">
        <v>0.6518</v>
      </c>
      <c r="AS16" s="9">
        <v>0.6518</v>
      </c>
      <c r="AT16" s="9">
        <v>0.6518</v>
      </c>
    </row>
    <row r="17" ht="14.25" customHeight="1">
      <c r="A17" s="2" t="s">
        <v>161</v>
      </c>
      <c r="B17" s="9">
        <v>0.4404</v>
      </c>
      <c r="C17" s="9">
        <v>0.4404</v>
      </c>
      <c r="D17" s="9">
        <v>0.4404</v>
      </c>
      <c r="E17" s="9">
        <v>0.4404</v>
      </c>
      <c r="F17" s="9">
        <v>0.4489</v>
      </c>
      <c r="G17" s="9">
        <v>0.4572</v>
      </c>
      <c r="H17" s="9">
        <v>0.4643</v>
      </c>
      <c r="I17" s="9">
        <v>0.4712</v>
      </c>
      <c r="J17" s="9">
        <v>0.478</v>
      </c>
      <c r="K17" s="9">
        <v>0.4718</v>
      </c>
      <c r="L17" s="9">
        <v>0.4658</v>
      </c>
      <c r="M17" s="9">
        <v>0.4599</v>
      </c>
      <c r="N17" s="9">
        <v>0.477</v>
      </c>
      <c r="O17" s="9">
        <v>0.4927</v>
      </c>
      <c r="P17" s="9">
        <v>0.5072</v>
      </c>
      <c r="Q17" s="9">
        <v>0.5207</v>
      </c>
      <c r="R17" s="9">
        <v>0.5208</v>
      </c>
      <c r="S17" s="9">
        <v>0.5213</v>
      </c>
      <c r="T17" s="9">
        <v>0.5209</v>
      </c>
      <c r="U17" s="9">
        <v>0.5228</v>
      </c>
      <c r="V17" s="9">
        <v>0.5233</v>
      </c>
      <c r="W17" s="9">
        <v>0.5241</v>
      </c>
      <c r="X17" s="9">
        <v>0.5282</v>
      </c>
      <c r="Y17" s="9">
        <v>0.5337</v>
      </c>
      <c r="Z17" s="9">
        <v>0.5346</v>
      </c>
      <c r="AA17" s="9">
        <v>0.5365</v>
      </c>
      <c r="AB17" s="9">
        <v>0.5332</v>
      </c>
      <c r="AC17" s="9">
        <v>0.5313</v>
      </c>
      <c r="AD17" s="9">
        <v>0.5195</v>
      </c>
      <c r="AE17" s="9">
        <v>0.5137</v>
      </c>
      <c r="AF17" s="9">
        <v>0.5158</v>
      </c>
      <c r="AG17" s="9">
        <v>0.5106</v>
      </c>
      <c r="AH17" s="9">
        <v>0.5089</v>
      </c>
      <c r="AI17" s="9">
        <v>0.5068</v>
      </c>
      <c r="AJ17" s="9">
        <v>0.5034</v>
      </c>
      <c r="AK17" s="9">
        <v>0.4984</v>
      </c>
      <c r="AL17" s="9">
        <v>0.4971</v>
      </c>
      <c r="AM17" s="9">
        <v>0.4973</v>
      </c>
      <c r="AN17" s="9">
        <v>0.4973</v>
      </c>
      <c r="AO17" s="9">
        <v>0.4973</v>
      </c>
      <c r="AP17" s="9">
        <v>0.4973</v>
      </c>
      <c r="AQ17" s="9">
        <v>0.4973</v>
      </c>
      <c r="AR17" s="9">
        <v>0.4973</v>
      </c>
      <c r="AS17" s="9">
        <v>0.4973</v>
      </c>
      <c r="AT17" s="9">
        <v>0.4973</v>
      </c>
    </row>
    <row r="18" ht="14.25" customHeight="1">
      <c r="A18" s="2" t="s">
        <v>162</v>
      </c>
      <c r="B18" s="9">
        <v>0.6852</v>
      </c>
      <c r="C18" s="9">
        <v>0.6854</v>
      </c>
      <c r="D18" s="9">
        <v>0.6857</v>
      </c>
      <c r="E18" s="9">
        <v>0.6859</v>
      </c>
      <c r="F18" s="9">
        <v>0.6861</v>
      </c>
      <c r="G18" s="9">
        <v>0.6863</v>
      </c>
      <c r="H18" s="9">
        <v>0.6866</v>
      </c>
      <c r="I18" s="9">
        <v>0.6868</v>
      </c>
      <c r="J18" s="9">
        <v>0.6871</v>
      </c>
      <c r="K18" s="9">
        <v>0.6877</v>
      </c>
      <c r="L18" s="9">
        <v>0.6879</v>
      </c>
      <c r="M18" s="9">
        <v>0.6868</v>
      </c>
      <c r="N18" s="9">
        <v>0.6859</v>
      </c>
      <c r="O18" s="9">
        <v>0.6851</v>
      </c>
      <c r="P18" s="9">
        <v>0.6842</v>
      </c>
      <c r="Q18" s="9">
        <v>0.6834</v>
      </c>
      <c r="R18" s="9">
        <v>0.6826</v>
      </c>
      <c r="S18" s="9">
        <v>0.6818</v>
      </c>
      <c r="T18" s="9">
        <v>0.681</v>
      </c>
      <c r="U18" s="9">
        <v>0.6802</v>
      </c>
      <c r="V18" s="9">
        <v>0.6794</v>
      </c>
      <c r="W18" s="9">
        <v>0.6781</v>
      </c>
      <c r="X18" s="9">
        <v>0.6768</v>
      </c>
      <c r="Y18" s="9">
        <v>0.6756</v>
      </c>
      <c r="Z18" s="9">
        <v>0.6745</v>
      </c>
      <c r="AA18" s="9">
        <v>0.6734</v>
      </c>
      <c r="AB18" s="9">
        <v>0.6724</v>
      </c>
      <c r="AC18" s="9">
        <v>0.6714</v>
      </c>
      <c r="AD18" s="9">
        <v>0.6704</v>
      </c>
      <c r="AE18" s="9">
        <v>0.6695</v>
      </c>
      <c r="AF18" s="9">
        <v>0.6687</v>
      </c>
      <c r="AG18" s="9">
        <v>0.6601</v>
      </c>
      <c r="AH18" s="9">
        <v>0.6516</v>
      </c>
      <c r="AI18" s="9">
        <v>0.6431</v>
      </c>
      <c r="AJ18" s="9">
        <v>0.6347</v>
      </c>
      <c r="AK18" s="9">
        <v>0.6264</v>
      </c>
      <c r="AL18" s="9">
        <v>0.6182</v>
      </c>
      <c r="AM18" s="9">
        <v>0.6099</v>
      </c>
      <c r="AN18" s="9">
        <v>0.6018</v>
      </c>
      <c r="AO18" s="9">
        <v>0.5937</v>
      </c>
      <c r="AP18" s="9">
        <v>0.5868</v>
      </c>
      <c r="AQ18" s="9">
        <v>0.5868</v>
      </c>
      <c r="AR18" s="9">
        <v>0.5868</v>
      </c>
      <c r="AS18" s="9">
        <v>0.5868</v>
      </c>
      <c r="AT18" s="9">
        <v>0.5868</v>
      </c>
    </row>
    <row r="19" ht="14.25" customHeight="1">
      <c r="A19" s="2" t="s">
        <v>163</v>
      </c>
      <c r="B19" s="9">
        <v>0.3026</v>
      </c>
      <c r="C19" s="9">
        <v>0.3009</v>
      </c>
      <c r="D19" s="9">
        <v>0.2993</v>
      </c>
      <c r="E19" s="9">
        <v>0.2977</v>
      </c>
      <c r="F19" s="9">
        <v>0.2961</v>
      </c>
      <c r="G19" s="9">
        <v>0.2946</v>
      </c>
      <c r="H19" s="9">
        <v>0.2937</v>
      </c>
      <c r="I19" s="9">
        <v>0.2929</v>
      </c>
      <c r="J19" s="9">
        <v>0.2921</v>
      </c>
      <c r="K19" s="9">
        <v>0.2953</v>
      </c>
      <c r="L19" s="9">
        <v>0.3092</v>
      </c>
      <c r="M19" s="9">
        <v>0.316</v>
      </c>
      <c r="N19" s="9">
        <v>0.3225</v>
      </c>
      <c r="O19" s="9">
        <v>0.3294</v>
      </c>
      <c r="P19" s="9">
        <v>0.3898</v>
      </c>
      <c r="Q19" s="9">
        <v>0.4153</v>
      </c>
      <c r="R19" s="9">
        <v>0.4287</v>
      </c>
      <c r="S19" s="9">
        <v>0.4565</v>
      </c>
      <c r="T19" s="9">
        <v>0.46</v>
      </c>
      <c r="U19" s="9">
        <v>0.4584</v>
      </c>
      <c r="V19" s="9">
        <v>0.4533</v>
      </c>
      <c r="W19" s="9">
        <v>0.4368</v>
      </c>
      <c r="X19" s="9">
        <v>0.4337</v>
      </c>
      <c r="Y19" s="9">
        <v>0.4201</v>
      </c>
      <c r="Z19" s="9">
        <v>0.403</v>
      </c>
      <c r="AA19" s="9">
        <v>0.4083</v>
      </c>
      <c r="AB19" s="9">
        <v>0.4079</v>
      </c>
      <c r="AC19" s="9">
        <v>0.4343</v>
      </c>
      <c r="AD19" s="9">
        <v>0.4263</v>
      </c>
      <c r="AE19" s="9">
        <v>0.4167</v>
      </c>
      <c r="AF19" s="9">
        <v>0.4135</v>
      </c>
      <c r="AG19" s="9">
        <v>0.4428</v>
      </c>
      <c r="AH19" s="9">
        <v>0.4173</v>
      </c>
      <c r="AI19" s="9">
        <v>0.381</v>
      </c>
      <c r="AJ19" s="9">
        <v>0.3945</v>
      </c>
      <c r="AK19" s="9">
        <v>0.3774</v>
      </c>
      <c r="AL19" s="9">
        <v>0.3796</v>
      </c>
      <c r="AM19" s="9">
        <v>0.3857</v>
      </c>
      <c r="AN19" s="9">
        <v>0.3816</v>
      </c>
      <c r="AO19" s="9">
        <v>0.3809</v>
      </c>
      <c r="AP19" s="9">
        <v>0.3809</v>
      </c>
      <c r="AQ19" s="9">
        <v>0.3809</v>
      </c>
      <c r="AR19" s="9">
        <v>0.3809</v>
      </c>
      <c r="AS19" s="9">
        <v>0.3809</v>
      </c>
      <c r="AT19" s="9">
        <v>0.3809</v>
      </c>
    </row>
    <row r="20" ht="14.25" customHeight="1">
      <c r="A20" s="2" t="s">
        <v>164</v>
      </c>
      <c r="B20" s="9">
        <v>0.403</v>
      </c>
      <c r="C20" s="9">
        <v>0.4193</v>
      </c>
      <c r="D20" s="9">
        <v>0.4167</v>
      </c>
      <c r="E20" s="9">
        <v>0.414</v>
      </c>
      <c r="F20" s="9">
        <v>0.4119</v>
      </c>
      <c r="G20" s="9">
        <v>0.4231</v>
      </c>
      <c r="H20" s="9">
        <v>0.4261</v>
      </c>
      <c r="I20" s="9">
        <v>0.4318</v>
      </c>
      <c r="J20" s="9">
        <v>0.441</v>
      </c>
      <c r="K20" s="9">
        <v>0.4499</v>
      </c>
      <c r="L20" s="9">
        <v>0.443</v>
      </c>
      <c r="M20" s="9">
        <v>0.4353</v>
      </c>
      <c r="N20" s="9">
        <v>0.4327</v>
      </c>
      <c r="O20" s="9">
        <v>0.4345</v>
      </c>
      <c r="P20" s="9">
        <v>0.4411</v>
      </c>
      <c r="Q20" s="9">
        <v>0.4381</v>
      </c>
      <c r="R20" s="9">
        <v>0.437</v>
      </c>
      <c r="S20" s="9">
        <v>0.4384</v>
      </c>
      <c r="T20" s="9">
        <v>0.4427</v>
      </c>
      <c r="U20" s="9">
        <v>0.4444</v>
      </c>
      <c r="V20" s="9">
        <v>0.4469</v>
      </c>
      <c r="W20" s="9">
        <v>0.4399</v>
      </c>
      <c r="X20" s="9">
        <v>0.4362</v>
      </c>
      <c r="Y20" s="9">
        <v>0.4397</v>
      </c>
      <c r="Z20" s="9">
        <v>0.4388</v>
      </c>
      <c r="AA20" s="9">
        <v>0.4335</v>
      </c>
      <c r="AB20" s="9">
        <v>0.4339</v>
      </c>
      <c r="AC20" s="9">
        <v>0.4372</v>
      </c>
      <c r="AD20" s="9">
        <v>0.4202</v>
      </c>
      <c r="AE20" s="9">
        <v>0.421</v>
      </c>
      <c r="AF20" s="9">
        <v>0.43</v>
      </c>
      <c r="AG20" s="9">
        <v>0.4258</v>
      </c>
      <c r="AH20" s="9">
        <v>0.4272</v>
      </c>
      <c r="AI20" s="9">
        <v>0.4302</v>
      </c>
      <c r="AJ20" s="9">
        <v>0.4292</v>
      </c>
      <c r="AK20" s="9">
        <v>0.4352</v>
      </c>
      <c r="AL20" s="9">
        <v>0.4354</v>
      </c>
      <c r="AM20" s="9">
        <v>0.4327</v>
      </c>
      <c r="AN20" s="9">
        <v>0.4329</v>
      </c>
      <c r="AO20" s="9">
        <v>0.4342</v>
      </c>
      <c r="AP20" s="9">
        <v>0.4342</v>
      </c>
      <c r="AQ20" s="9">
        <v>0.4346</v>
      </c>
      <c r="AR20" s="9">
        <v>0.4347</v>
      </c>
      <c r="AS20" s="9">
        <v>0.4344</v>
      </c>
      <c r="AT20" s="9">
        <v>0.4344</v>
      </c>
    </row>
    <row r="21" ht="14.25" customHeight="1">
      <c r="A21" s="2" t="s">
        <v>165</v>
      </c>
      <c r="B21" s="9">
        <v>0.682</v>
      </c>
      <c r="C21" s="9">
        <v>0.682</v>
      </c>
      <c r="D21" s="9">
        <v>0.682</v>
      </c>
      <c r="E21" s="9">
        <v>0.682</v>
      </c>
      <c r="F21" s="9">
        <v>0.682</v>
      </c>
      <c r="G21" s="9">
        <v>0.682</v>
      </c>
      <c r="H21" s="9">
        <v>0.682</v>
      </c>
      <c r="I21" s="9">
        <v>0.682</v>
      </c>
      <c r="J21" s="9">
        <v>0.682</v>
      </c>
      <c r="K21" s="9">
        <v>0.682</v>
      </c>
      <c r="L21" s="9">
        <v>0.682</v>
      </c>
      <c r="M21" s="9">
        <v>0.682</v>
      </c>
      <c r="N21" s="9">
        <v>0.682</v>
      </c>
      <c r="O21" s="9">
        <v>0.682</v>
      </c>
      <c r="P21" s="9">
        <v>0.682</v>
      </c>
      <c r="Q21" s="9">
        <v>0.682</v>
      </c>
      <c r="R21" s="9">
        <v>0.682</v>
      </c>
      <c r="S21" s="9">
        <v>0.682</v>
      </c>
      <c r="T21" s="9">
        <v>0.682</v>
      </c>
      <c r="U21" s="9">
        <v>0.682</v>
      </c>
      <c r="V21" s="9">
        <v>0.682</v>
      </c>
      <c r="W21" s="9">
        <v>0.6903</v>
      </c>
      <c r="X21" s="9">
        <v>0.6885</v>
      </c>
      <c r="Y21" s="9">
        <v>0.6848</v>
      </c>
      <c r="Z21" s="9">
        <v>0.6817</v>
      </c>
      <c r="AA21" s="9">
        <v>0.6794</v>
      </c>
      <c r="AB21" s="9">
        <v>0.6749</v>
      </c>
      <c r="AC21" s="9">
        <v>0.6812</v>
      </c>
      <c r="AD21" s="9">
        <v>0.6744</v>
      </c>
      <c r="AE21" s="9">
        <v>0.6684</v>
      </c>
      <c r="AF21" s="9">
        <v>0.6678</v>
      </c>
      <c r="AG21" s="9">
        <v>0.6616</v>
      </c>
      <c r="AH21" s="9">
        <v>0.656</v>
      </c>
      <c r="AI21" s="9">
        <v>0.6594</v>
      </c>
      <c r="AJ21" s="9">
        <v>0.6552</v>
      </c>
      <c r="AK21" s="9">
        <v>0.6514</v>
      </c>
      <c r="AL21" s="9">
        <v>0.6525</v>
      </c>
      <c r="AM21" s="9">
        <v>0.653</v>
      </c>
      <c r="AN21" s="9">
        <v>0.655</v>
      </c>
      <c r="AO21" s="9">
        <v>0.6523</v>
      </c>
      <c r="AP21" s="9">
        <v>0.6739</v>
      </c>
      <c r="AQ21" s="9">
        <v>0.6609</v>
      </c>
      <c r="AR21" s="9">
        <v>0.6502</v>
      </c>
      <c r="AS21" s="9">
        <v>0.6505</v>
      </c>
      <c r="AT21" s="9">
        <v>0.6505</v>
      </c>
    </row>
    <row r="22" ht="14.25" customHeight="1">
      <c r="A22" s="2" t="s">
        <v>166</v>
      </c>
      <c r="B22" s="9">
        <v>0.5718</v>
      </c>
      <c r="C22" s="9">
        <v>0.5718</v>
      </c>
      <c r="D22" s="9">
        <v>0.5718</v>
      </c>
      <c r="E22" s="9">
        <v>0.5718</v>
      </c>
      <c r="F22" s="9">
        <v>0.5718</v>
      </c>
      <c r="G22" s="9">
        <v>0.5718</v>
      </c>
      <c r="H22" s="9">
        <v>0.5718</v>
      </c>
      <c r="I22" s="9">
        <v>0.5718</v>
      </c>
      <c r="J22" s="9">
        <v>0.5718</v>
      </c>
      <c r="K22" s="9">
        <v>0.5718</v>
      </c>
      <c r="L22" s="9">
        <v>0.5718</v>
      </c>
      <c r="M22" s="9">
        <v>0.5718</v>
      </c>
      <c r="N22" s="9">
        <v>0.5718</v>
      </c>
      <c r="O22" s="9">
        <v>0.5718</v>
      </c>
      <c r="P22" s="9">
        <v>0.5718</v>
      </c>
      <c r="Q22" s="9">
        <v>0.5718</v>
      </c>
      <c r="R22" s="9">
        <v>0.5718</v>
      </c>
      <c r="S22" s="9">
        <v>0.5718</v>
      </c>
      <c r="T22" s="9">
        <v>0.5718</v>
      </c>
      <c r="U22" s="9">
        <v>0.5718</v>
      </c>
      <c r="V22" s="9">
        <v>0.5718</v>
      </c>
      <c r="W22" s="9">
        <v>0.5718</v>
      </c>
      <c r="X22" s="9">
        <v>0.5718</v>
      </c>
      <c r="Y22" s="9">
        <v>0.5718</v>
      </c>
      <c r="Z22" s="9">
        <v>0.5765</v>
      </c>
      <c r="AA22" s="9">
        <v>0.5811</v>
      </c>
      <c r="AB22" s="9">
        <v>0.5858</v>
      </c>
      <c r="AC22" s="9">
        <v>0.5904</v>
      </c>
      <c r="AD22" s="9">
        <v>0.5951</v>
      </c>
      <c r="AE22" s="9">
        <v>0.5997</v>
      </c>
      <c r="AF22" s="9">
        <v>0.6044</v>
      </c>
      <c r="AG22" s="9">
        <v>0.6091</v>
      </c>
      <c r="AH22" s="9">
        <v>0.6164</v>
      </c>
      <c r="AI22" s="9">
        <v>0.6237</v>
      </c>
      <c r="AJ22" s="9">
        <v>0.631</v>
      </c>
      <c r="AK22" s="9">
        <v>0.6383</v>
      </c>
      <c r="AL22" s="9">
        <v>0.6127</v>
      </c>
      <c r="AM22" s="9">
        <v>0.5871</v>
      </c>
      <c r="AN22" s="9">
        <v>0.5614</v>
      </c>
      <c r="AO22" s="9">
        <v>0.5495</v>
      </c>
      <c r="AP22" s="9">
        <v>0.5376</v>
      </c>
      <c r="AQ22" s="9">
        <v>0.5257</v>
      </c>
      <c r="AR22" s="9">
        <v>0.5257</v>
      </c>
      <c r="AS22" s="9">
        <v>0.5257</v>
      </c>
      <c r="AT22" s="9">
        <v>0.5257</v>
      </c>
    </row>
    <row r="23" ht="14.25" customHeight="1">
      <c r="A23" s="2" t="s">
        <v>167</v>
      </c>
      <c r="B23" s="9">
        <v>0.4403</v>
      </c>
      <c r="C23" s="9">
        <v>0.4412</v>
      </c>
      <c r="D23" s="9">
        <v>0.4421</v>
      </c>
      <c r="E23" s="9">
        <v>0.443</v>
      </c>
      <c r="F23" s="9">
        <v>0.444</v>
      </c>
      <c r="G23" s="9">
        <v>0.4449</v>
      </c>
      <c r="H23" s="9">
        <v>0.4459</v>
      </c>
      <c r="I23" s="9">
        <v>0.4469</v>
      </c>
      <c r="J23" s="9">
        <v>0.4479</v>
      </c>
      <c r="K23" s="9">
        <v>0.449</v>
      </c>
      <c r="L23" s="9">
        <v>0.45</v>
      </c>
      <c r="M23" s="9">
        <v>0.4515</v>
      </c>
      <c r="N23" s="9">
        <v>0.453</v>
      </c>
      <c r="O23" s="9">
        <v>0.4544</v>
      </c>
      <c r="P23" s="9">
        <v>0.4558</v>
      </c>
      <c r="Q23" s="9">
        <v>0.4571</v>
      </c>
      <c r="R23" s="9">
        <v>0.4584</v>
      </c>
      <c r="S23" s="9">
        <v>0.4596</v>
      </c>
      <c r="T23" s="9">
        <v>0.4608</v>
      </c>
      <c r="U23" s="9">
        <v>0.462</v>
      </c>
      <c r="V23" s="9">
        <v>0.4631</v>
      </c>
      <c r="W23" s="9">
        <v>0.4719</v>
      </c>
      <c r="X23" s="9">
        <v>0.4805</v>
      </c>
      <c r="Y23" s="9">
        <v>0.489</v>
      </c>
      <c r="Z23" s="9">
        <v>0.4972</v>
      </c>
      <c r="AA23" s="9">
        <v>0.5052</v>
      </c>
      <c r="AB23" s="9">
        <v>0.5131</v>
      </c>
      <c r="AC23" s="9">
        <v>0.5207</v>
      </c>
      <c r="AD23" s="9">
        <v>0.5282</v>
      </c>
      <c r="AE23" s="9">
        <v>0.5356</v>
      </c>
      <c r="AF23" s="9">
        <v>0.5428</v>
      </c>
      <c r="AG23" s="9">
        <v>0.5447</v>
      </c>
      <c r="AH23" s="9">
        <v>0.5466</v>
      </c>
      <c r="AI23" s="9">
        <v>0.5483</v>
      </c>
      <c r="AJ23" s="9">
        <v>0.55</v>
      </c>
      <c r="AK23" s="9">
        <v>0.5516</v>
      </c>
      <c r="AL23" s="9">
        <v>0.5531</v>
      </c>
      <c r="AM23" s="9">
        <v>0.5546</v>
      </c>
      <c r="AN23" s="9">
        <v>0.556</v>
      </c>
      <c r="AO23" s="9">
        <v>0.5574</v>
      </c>
      <c r="AP23" s="9">
        <v>0.5587</v>
      </c>
      <c r="AQ23" s="9">
        <v>0.5587</v>
      </c>
      <c r="AR23" s="9">
        <v>0.5587</v>
      </c>
      <c r="AS23" s="9">
        <v>0.5587</v>
      </c>
      <c r="AT23" s="9">
        <v>0.5587</v>
      </c>
    </row>
    <row r="24" ht="14.25" customHeight="1">
      <c r="A24" s="2" t="s">
        <v>168</v>
      </c>
      <c r="B24" s="9">
        <v>0.5911</v>
      </c>
      <c r="C24" s="9">
        <v>0.5911</v>
      </c>
      <c r="D24" s="9">
        <v>0.5911</v>
      </c>
      <c r="E24" s="9">
        <v>0.5911</v>
      </c>
      <c r="F24" s="9">
        <v>0.5911</v>
      </c>
      <c r="G24" s="9">
        <v>0.5911</v>
      </c>
      <c r="H24" s="9">
        <v>0.5911</v>
      </c>
      <c r="I24" s="9">
        <v>0.5911</v>
      </c>
      <c r="J24" s="9">
        <v>0.5911</v>
      </c>
      <c r="K24" s="9">
        <v>0.5911</v>
      </c>
      <c r="L24" s="9">
        <v>0.5911</v>
      </c>
      <c r="M24" s="9">
        <v>0.5911</v>
      </c>
      <c r="N24" s="9">
        <v>0.5911</v>
      </c>
      <c r="O24" s="9">
        <v>0.5911</v>
      </c>
      <c r="P24" s="9">
        <v>0.5911</v>
      </c>
      <c r="Q24" s="9">
        <v>0.5911</v>
      </c>
      <c r="R24" s="9">
        <v>0.5911</v>
      </c>
      <c r="S24" s="9">
        <v>0.5911</v>
      </c>
      <c r="T24" s="9">
        <v>0.5911</v>
      </c>
      <c r="U24" s="9">
        <v>0.5911</v>
      </c>
      <c r="V24" s="9">
        <v>0.5911</v>
      </c>
      <c r="W24" s="9">
        <v>0.5911</v>
      </c>
      <c r="X24" s="9">
        <v>0.5911</v>
      </c>
      <c r="Y24" s="9">
        <v>0.5911</v>
      </c>
      <c r="Z24" s="9">
        <v>0.5779</v>
      </c>
      <c r="AA24" s="9">
        <v>0.5673</v>
      </c>
      <c r="AB24" s="9">
        <v>0.5593</v>
      </c>
      <c r="AC24" s="9">
        <v>0.5535</v>
      </c>
      <c r="AD24" s="9">
        <v>0.5494</v>
      </c>
      <c r="AE24" s="9">
        <v>0.5502</v>
      </c>
      <c r="AF24" s="9">
        <v>0.5568</v>
      </c>
      <c r="AG24" s="9">
        <v>0.5548</v>
      </c>
      <c r="AH24" s="9">
        <v>0.5553</v>
      </c>
      <c r="AI24" s="9">
        <v>0.5491</v>
      </c>
      <c r="AJ24" s="9">
        <v>0.5421</v>
      </c>
      <c r="AK24" s="9">
        <v>0.5338</v>
      </c>
      <c r="AL24" s="9">
        <v>0.5288</v>
      </c>
      <c r="AM24" s="9">
        <v>0.5248</v>
      </c>
      <c r="AN24" s="9">
        <v>0.5248</v>
      </c>
      <c r="AO24" s="9">
        <v>0.5248</v>
      </c>
      <c r="AP24" s="9">
        <v>0.5248</v>
      </c>
      <c r="AQ24" s="9">
        <v>0.5248</v>
      </c>
      <c r="AR24" s="9">
        <v>0.5248</v>
      </c>
      <c r="AS24" s="9">
        <v>0.5248</v>
      </c>
      <c r="AT24" s="9">
        <v>0.5248</v>
      </c>
    </row>
    <row r="25" ht="14.25" customHeight="1">
      <c r="A25" s="2" t="s">
        <v>169</v>
      </c>
      <c r="B25" s="9">
        <v>0.682</v>
      </c>
      <c r="C25" s="9">
        <v>0.682</v>
      </c>
      <c r="D25" s="9">
        <v>0.682</v>
      </c>
      <c r="E25" s="9">
        <v>0.682</v>
      </c>
      <c r="F25" s="9">
        <v>0.682</v>
      </c>
      <c r="G25" s="9">
        <v>0.682</v>
      </c>
      <c r="H25" s="9">
        <v>0.682</v>
      </c>
      <c r="I25" s="9">
        <v>0.682</v>
      </c>
      <c r="J25" s="9">
        <v>0.682</v>
      </c>
      <c r="K25" s="9">
        <v>0.682</v>
      </c>
      <c r="L25" s="9">
        <v>0.682</v>
      </c>
      <c r="M25" s="9">
        <v>0.682</v>
      </c>
      <c r="N25" s="9">
        <v>0.682</v>
      </c>
      <c r="O25" s="9">
        <v>0.682</v>
      </c>
      <c r="P25" s="9">
        <v>0.682</v>
      </c>
      <c r="Q25" s="9">
        <v>0.682</v>
      </c>
      <c r="R25" s="9">
        <v>0.682</v>
      </c>
      <c r="S25" s="9">
        <v>0.682</v>
      </c>
      <c r="T25" s="9">
        <v>0.682</v>
      </c>
      <c r="U25" s="9">
        <v>0.682</v>
      </c>
      <c r="V25" s="9">
        <v>0.682</v>
      </c>
      <c r="W25" s="9">
        <v>0.6903</v>
      </c>
      <c r="X25" s="9">
        <v>0.6885</v>
      </c>
      <c r="Y25" s="9">
        <v>0.6848</v>
      </c>
      <c r="Z25" s="9">
        <v>0.6817</v>
      </c>
      <c r="AA25" s="9">
        <v>0.6794</v>
      </c>
      <c r="AB25" s="9">
        <v>0.6749</v>
      </c>
      <c r="AC25" s="9">
        <v>0.6812</v>
      </c>
      <c r="AD25" s="9">
        <v>0.6744</v>
      </c>
      <c r="AE25" s="9">
        <v>0.6684</v>
      </c>
      <c r="AF25" s="9">
        <v>0.6678</v>
      </c>
      <c r="AG25" s="9">
        <v>0.6616</v>
      </c>
      <c r="AH25" s="9">
        <v>0.656</v>
      </c>
      <c r="AI25" s="9">
        <v>0.6594</v>
      </c>
      <c r="AJ25" s="9">
        <v>0.6552</v>
      </c>
      <c r="AK25" s="9">
        <v>0.6514</v>
      </c>
      <c r="AL25" s="9">
        <v>0.6525</v>
      </c>
      <c r="AM25" s="9">
        <v>0.653</v>
      </c>
      <c r="AN25" s="9">
        <v>0.655</v>
      </c>
      <c r="AO25" s="9">
        <v>0.6523</v>
      </c>
      <c r="AP25" s="9">
        <v>0.6739</v>
      </c>
      <c r="AQ25" s="9">
        <v>0.6609</v>
      </c>
      <c r="AR25" s="9">
        <v>0.6502</v>
      </c>
      <c r="AS25" s="9">
        <v>0.6505</v>
      </c>
      <c r="AT25" s="9">
        <v>0.6505</v>
      </c>
    </row>
    <row r="26" ht="14.25" customHeight="1">
      <c r="A26" s="2" t="s">
        <v>170</v>
      </c>
      <c r="B26" s="9">
        <v>0.6852</v>
      </c>
      <c r="C26" s="9">
        <v>0.6854</v>
      </c>
      <c r="D26" s="9">
        <v>0.6857</v>
      </c>
      <c r="E26" s="9">
        <v>0.6859</v>
      </c>
      <c r="F26" s="9">
        <v>0.6861</v>
      </c>
      <c r="G26" s="9">
        <v>0.6863</v>
      </c>
      <c r="H26" s="9">
        <v>0.6866</v>
      </c>
      <c r="I26" s="9">
        <v>0.6868</v>
      </c>
      <c r="J26" s="9">
        <v>0.6871</v>
      </c>
      <c r="K26" s="9">
        <v>0.6877</v>
      </c>
      <c r="L26" s="9">
        <v>0.6879</v>
      </c>
      <c r="M26" s="9">
        <v>0.6868</v>
      </c>
      <c r="N26" s="9">
        <v>0.6859</v>
      </c>
      <c r="O26" s="9">
        <v>0.6851</v>
      </c>
      <c r="P26" s="9">
        <v>0.6842</v>
      </c>
      <c r="Q26" s="9">
        <v>0.6834</v>
      </c>
      <c r="R26" s="9">
        <v>0.6826</v>
      </c>
      <c r="S26" s="9">
        <v>0.6818</v>
      </c>
      <c r="T26" s="9">
        <v>0.681</v>
      </c>
      <c r="U26" s="9">
        <v>0.6802</v>
      </c>
      <c r="V26" s="9">
        <v>0.6794</v>
      </c>
      <c r="W26" s="9">
        <v>0.6781</v>
      </c>
      <c r="X26" s="9">
        <v>0.6768</v>
      </c>
      <c r="Y26" s="9">
        <v>0.6756</v>
      </c>
      <c r="Z26" s="9">
        <v>0.6745</v>
      </c>
      <c r="AA26" s="9">
        <v>0.6734</v>
      </c>
      <c r="AB26" s="9">
        <v>0.6724</v>
      </c>
      <c r="AC26" s="9">
        <v>0.6714</v>
      </c>
      <c r="AD26" s="9">
        <v>0.6704</v>
      </c>
      <c r="AE26" s="9">
        <v>0.6695</v>
      </c>
      <c r="AF26" s="9">
        <v>0.6687</v>
      </c>
      <c r="AG26" s="9">
        <v>0.6601</v>
      </c>
      <c r="AH26" s="9">
        <v>0.6516</v>
      </c>
      <c r="AI26" s="9">
        <v>0.6431</v>
      </c>
      <c r="AJ26" s="9">
        <v>0.6347</v>
      </c>
      <c r="AK26" s="9">
        <v>0.6264</v>
      </c>
      <c r="AL26" s="9">
        <v>0.6182</v>
      </c>
      <c r="AM26" s="9">
        <v>0.6099</v>
      </c>
      <c r="AN26" s="9">
        <v>0.6018</v>
      </c>
      <c r="AO26" s="9">
        <v>0.5937</v>
      </c>
      <c r="AP26" s="9">
        <v>0.5868</v>
      </c>
      <c r="AQ26" s="9">
        <v>0.5868</v>
      </c>
      <c r="AR26" s="9">
        <v>0.5868</v>
      </c>
      <c r="AS26" s="9">
        <v>0.5868</v>
      </c>
      <c r="AT26" s="9">
        <v>0.5868</v>
      </c>
    </row>
    <row r="27" ht="14.25" customHeight="1">
      <c r="A27" s="2" t="s">
        <v>171</v>
      </c>
      <c r="B27" s="9">
        <v>0.3719</v>
      </c>
      <c r="C27" s="9">
        <v>0.3719</v>
      </c>
      <c r="D27" s="9">
        <v>0.3719</v>
      </c>
      <c r="E27" s="9">
        <v>0.3719</v>
      </c>
      <c r="F27" s="9">
        <v>0.384</v>
      </c>
      <c r="G27" s="9">
        <v>0.3784</v>
      </c>
      <c r="H27" s="9">
        <v>0.3846</v>
      </c>
      <c r="I27" s="9">
        <v>0.3872</v>
      </c>
      <c r="J27" s="9">
        <v>0.4134</v>
      </c>
      <c r="K27" s="9">
        <v>0.3756</v>
      </c>
      <c r="L27" s="9">
        <v>0.371</v>
      </c>
      <c r="M27" s="9">
        <v>0.3812</v>
      </c>
      <c r="N27" s="9">
        <v>0.3913</v>
      </c>
      <c r="O27" s="9">
        <v>0.4019</v>
      </c>
      <c r="P27" s="9">
        <v>0.4123</v>
      </c>
      <c r="Q27" s="9">
        <v>0.4234</v>
      </c>
      <c r="R27" s="9">
        <v>0.4299</v>
      </c>
      <c r="S27" s="9">
        <v>0.437</v>
      </c>
      <c r="T27" s="9">
        <v>0.4461</v>
      </c>
      <c r="U27" s="9">
        <v>0.4489</v>
      </c>
      <c r="V27" s="9">
        <v>0.454</v>
      </c>
      <c r="W27" s="9">
        <v>0.4616</v>
      </c>
      <c r="X27" s="9">
        <v>0.4681</v>
      </c>
      <c r="Y27" s="9">
        <v>0.4762</v>
      </c>
      <c r="Z27" s="9">
        <v>0.4788</v>
      </c>
      <c r="AA27" s="9">
        <v>0.4773</v>
      </c>
      <c r="AB27" s="9">
        <v>0.4751</v>
      </c>
      <c r="AC27" s="9">
        <v>0.4749</v>
      </c>
      <c r="AD27" s="9">
        <v>0.4804</v>
      </c>
      <c r="AE27" s="9">
        <v>0.4784</v>
      </c>
      <c r="AF27" s="9">
        <v>0.4794</v>
      </c>
      <c r="AG27" s="9">
        <v>0.4812</v>
      </c>
      <c r="AH27" s="9">
        <v>0.4797</v>
      </c>
      <c r="AI27" s="9">
        <v>0.4769</v>
      </c>
      <c r="AJ27" s="9">
        <v>0.4767</v>
      </c>
      <c r="AK27" s="9">
        <v>0.4771</v>
      </c>
      <c r="AL27" s="9">
        <v>0.4764</v>
      </c>
      <c r="AM27" s="9">
        <v>0.4784</v>
      </c>
      <c r="AN27" s="9">
        <v>0.4771</v>
      </c>
      <c r="AO27" s="9">
        <v>0.4743</v>
      </c>
      <c r="AP27" s="9">
        <v>0.4742</v>
      </c>
      <c r="AQ27" s="9">
        <v>0.4754</v>
      </c>
      <c r="AR27" s="9">
        <v>0.4777</v>
      </c>
      <c r="AS27" s="9">
        <v>0.4762</v>
      </c>
      <c r="AT27" s="9">
        <v>0.4762</v>
      </c>
    </row>
    <row r="28" ht="14.25" customHeight="1">
      <c r="A28" s="2" t="s">
        <v>172</v>
      </c>
      <c r="B28" s="9">
        <v>0.7008</v>
      </c>
      <c r="C28" s="9">
        <v>0.7008</v>
      </c>
      <c r="D28" s="9">
        <v>0.7008</v>
      </c>
      <c r="E28" s="9">
        <v>0.7008</v>
      </c>
      <c r="F28" s="9">
        <v>0.7008</v>
      </c>
      <c r="G28" s="9">
        <v>0.7008</v>
      </c>
      <c r="H28" s="9">
        <v>0.7084</v>
      </c>
      <c r="I28" s="9">
        <v>0.716</v>
      </c>
      <c r="J28" s="9">
        <v>0.7236</v>
      </c>
      <c r="K28" s="9">
        <v>0.7312</v>
      </c>
      <c r="L28" s="9">
        <v>0.7388</v>
      </c>
      <c r="M28" s="9">
        <v>0.7464</v>
      </c>
      <c r="N28" s="9">
        <v>0.754</v>
      </c>
      <c r="O28" s="9">
        <v>0.7616</v>
      </c>
      <c r="P28" s="9">
        <v>0.7606</v>
      </c>
      <c r="Q28" s="9">
        <v>0.7597</v>
      </c>
      <c r="R28" s="9">
        <v>0.7587</v>
      </c>
      <c r="S28" s="9">
        <v>0.7578</v>
      </c>
      <c r="T28" s="9">
        <v>0.7568</v>
      </c>
      <c r="U28" s="9">
        <v>0.7558</v>
      </c>
      <c r="V28" s="9">
        <v>0.7549</v>
      </c>
      <c r="W28" s="9">
        <v>0.7539</v>
      </c>
      <c r="X28" s="9">
        <v>0.753</v>
      </c>
      <c r="Y28" s="9">
        <v>0.7492</v>
      </c>
      <c r="Z28" s="9">
        <v>0.7454</v>
      </c>
      <c r="AA28" s="9">
        <v>0.7416</v>
      </c>
      <c r="AB28" s="9">
        <v>0.7379</v>
      </c>
      <c r="AC28" s="9">
        <v>0.7341</v>
      </c>
      <c r="AD28" s="9">
        <v>0.7303</v>
      </c>
      <c r="AE28" s="9">
        <v>0.7265</v>
      </c>
      <c r="AF28" s="9">
        <v>0.7225</v>
      </c>
      <c r="AG28" s="9">
        <v>0.7186</v>
      </c>
      <c r="AH28" s="9">
        <v>0.7146</v>
      </c>
      <c r="AI28" s="9">
        <v>0.7106</v>
      </c>
      <c r="AJ28" s="9">
        <v>0.7067</v>
      </c>
      <c r="AK28" s="9">
        <v>0.7027</v>
      </c>
      <c r="AL28" s="9">
        <v>0.7027</v>
      </c>
      <c r="AM28" s="9">
        <v>0.7027</v>
      </c>
      <c r="AN28" s="9">
        <v>0.7027</v>
      </c>
      <c r="AO28" s="9">
        <v>0.7027</v>
      </c>
      <c r="AP28" s="9">
        <v>0.7027</v>
      </c>
      <c r="AQ28" s="9">
        <v>0.7027</v>
      </c>
      <c r="AR28" s="9">
        <v>0.7027</v>
      </c>
      <c r="AS28" s="9">
        <v>0.7027</v>
      </c>
      <c r="AT28" s="9">
        <v>0.7027</v>
      </c>
    </row>
    <row r="29" ht="14.25" customHeight="1">
      <c r="A29" s="2" t="s">
        <v>173</v>
      </c>
      <c r="B29" s="9">
        <v>0.6917</v>
      </c>
      <c r="C29" s="9">
        <v>0.6917</v>
      </c>
      <c r="D29" s="9">
        <v>0.6917</v>
      </c>
      <c r="E29" s="9">
        <v>0.6917</v>
      </c>
      <c r="F29" s="9">
        <v>0.6917</v>
      </c>
      <c r="G29" s="9">
        <v>0.6917</v>
      </c>
      <c r="H29" s="9">
        <v>0.6917</v>
      </c>
      <c r="I29" s="9">
        <v>0.6917</v>
      </c>
      <c r="J29" s="9">
        <v>0.6917</v>
      </c>
      <c r="K29" s="9">
        <v>0.6917</v>
      </c>
      <c r="L29" s="9">
        <v>0.6917</v>
      </c>
      <c r="M29" s="9">
        <v>0.6917</v>
      </c>
      <c r="N29" s="9">
        <v>0.6917</v>
      </c>
      <c r="O29" s="9">
        <v>0.6917</v>
      </c>
      <c r="P29" s="9">
        <v>0.6917</v>
      </c>
      <c r="Q29" s="9">
        <v>0.6917</v>
      </c>
      <c r="R29" s="9">
        <v>0.6917</v>
      </c>
      <c r="S29" s="9">
        <v>0.6917</v>
      </c>
      <c r="T29" s="9">
        <v>0.6917</v>
      </c>
      <c r="U29" s="9">
        <v>0.6917</v>
      </c>
      <c r="V29" s="9">
        <v>0.6917</v>
      </c>
      <c r="W29" s="9">
        <v>0.6917</v>
      </c>
      <c r="X29" s="9">
        <v>0.6956</v>
      </c>
      <c r="Y29" s="9">
        <v>0.6912</v>
      </c>
      <c r="Z29" s="9">
        <v>0.6863</v>
      </c>
      <c r="AA29" s="9">
        <v>0.7011</v>
      </c>
      <c r="AB29" s="9">
        <v>0.6996</v>
      </c>
      <c r="AC29" s="9">
        <v>0.6868</v>
      </c>
      <c r="AD29" s="9">
        <v>0.681</v>
      </c>
      <c r="AE29" s="9">
        <v>0.6767</v>
      </c>
      <c r="AF29" s="9">
        <v>0.6816</v>
      </c>
      <c r="AG29" s="9">
        <v>0.6864</v>
      </c>
      <c r="AH29" s="9">
        <v>0.6791</v>
      </c>
      <c r="AI29" s="9">
        <v>0.6714</v>
      </c>
      <c r="AJ29" s="9">
        <v>0.6742</v>
      </c>
      <c r="AK29" s="9">
        <v>0.6821</v>
      </c>
      <c r="AL29" s="9">
        <v>0.6866</v>
      </c>
      <c r="AM29" s="9">
        <v>0.6853</v>
      </c>
      <c r="AN29" s="9">
        <v>0.6824</v>
      </c>
      <c r="AO29" s="9">
        <v>0.675</v>
      </c>
      <c r="AP29" s="9">
        <v>0.7033</v>
      </c>
      <c r="AQ29" s="9">
        <v>0.7093</v>
      </c>
      <c r="AR29" s="9">
        <v>0.6973</v>
      </c>
      <c r="AS29" s="9">
        <v>0.6948</v>
      </c>
      <c r="AT29" s="9">
        <v>0.6948</v>
      </c>
    </row>
    <row r="30" ht="14.25" customHeight="1">
      <c r="A30" s="2" t="s">
        <v>174</v>
      </c>
      <c r="B30" s="9">
        <v>0.6852</v>
      </c>
      <c r="C30" s="9">
        <v>0.6854</v>
      </c>
      <c r="D30" s="9">
        <v>0.6857</v>
      </c>
      <c r="E30" s="9">
        <v>0.6859</v>
      </c>
      <c r="F30" s="9">
        <v>0.6861</v>
      </c>
      <c r="G30" s="9">
        <v>0.6863</v>
      </c>
      <c r="H30" s="9">
        <v>0.6866</v>
      </c>
      <c r="I30" s="9">
        <v>0.6868</v>
      </c>
      <c r="J30" s="9">
        <v>0.6871</v>
      </c>
      <c r="K30" s="9">
        <v>0.6877</v>
      </c>
      <c r="L30" s="9">
        <v>0.6879</v>
      </c>
      <c r="M30" s="9">
        <v>0.6868</v>
      </c>
      <c r="N30" s="9">
        <v>0.6859</v>
      </c>
      <c r="O30" s="9">
        <v>0.6851</v>
      </c>
      <c r="P30" s="9">
        <v>0.6842</v>
      </c>
      <c r="Q30" s="9">
        <v>0.6834</v>
      </c>
      <c r="R30" s="9">
        <v>0.6826</v>
      </c>
      <c r="S30" s="9">
        <v>0.6818</v>
      </c>
      <c r="T30" s="9">
        <v>0.681</v>
      </c>
      <c r="U30" s="9">
        <v>0.6802</v>
      </c>
      <c r="V30" s="9">
        <v>0.6794</v>
      </c>
      <c r="W30" s="9">
        <v>0.6781</v>
      </c>
      <c r="X30" s="9">
        <v>0.6768</v>
      </c>
      <c r="Y30" s="9">
        <v>0.6756</v>
      </c>
      <c r="Z30" s="9">
        <v>0.6745</v>
      </c>
      <c r="AA30" s="9">
        <v>0.6734</v>
      </c>
      <c r="AB30" s="9">
        <v>0.6724</v>
      </c>
      <c r="AC30" s="9">
        <v>0.6714</v>
      </c>
      <c r="AD30" s="9">
        <v>0.6704</v>
      </c>
      <c r="AE30" s="9">
        <v>0.6695</v>
      </c>
      <c r="AF30" s="9">
        <v>0.6687</v>
      </c>
      <c r="AG30" s="9">
        <v>0.6601</v>
      </c>
      <c r="AH30" s="9">
        <v>0.6516</v>
      </c>
      <c r="AI30" s="9">
        <v>0.6431</v>
      </c>
      <c r="AJ30" s="9">
        <v>0.6347</v>
      </c>
      <c r="AK30" s="9">
        <v>0.6264</v>
      </c>
      <c r="AL30" s="9">
        <v>0.6182</v>
      </c>
      <c r="AM30" s="9">
        <v>0.6099</v>
      </c>
      <c r="AN30" s="9">
        <v>0.6018</v>
      </c>
      <c r="AO30" s="9">
        <v>0.5937</v>
      </c>
      <c r="AP30" s="9">
        <v>0.5868</v>
      </c>
      <c r="AQ30" s="9">
        <v>0.5868</v>
      </c>
      <c r="AR30" s="9">
        <v>0.5868</v>
      </c>
      <c r="AS30" s="9">
        <v>0.5868</v>
      </c>
      <c r="AT30" s="9">
        <v>0.5868</v>
      </c>
    </row>
    <row r="31" ht="14.25" customHeight="1">
      <c r="A31" s="2" t="s">
        <v>175</v>
      </c>
      <c r="B31" s="9">
        <v>0.4608</v>
      </c>
      <c r="C31" s="9">
        <v>0.4608</v>
      </c>
      <c r="D31" s="9">
        <v>0.4608</v>
      </c>
      <c r="E31" s="9">
        <v>0.4608</v>
      </c>
      <c r="F31" s="9">
        <v>0.4608</v>
      </c>
      <c r="G31" s="9">
        <v>0.4608</v>
      </c>
      <c r="H31" s="9">
        <v>0.4608</v>
      </c>
      <c r="I31" s="9">
        <v>0.4608</v>
      </c>
      <c r="J31" s="9">
        <v>0.4608</v>
      </c>
      <c r="K31" s="9">
        <v>0.4608</v>
      </c>
      <c r="L31" s="9">
        <v>0.4608</v>
      </c>
      <c r="M31" s="9">
        <v>0.4608</v>
      </c>
      <c r="N31" s="9">
        <v>0.4608</v>
      </c>
      <c r="O31" s="9">
        <v>0.4608</v>
      </c>
      <c r="P31" s="9">
        <v>0.4608</v>
      </c>
      <c r="Q31" s="9">
        <v>0.4608</v>
      </c>
      <c r="R31" s="9">
        <v>0.4608</v>
      </c>
      <c r="S31" s="9">
        <v>0.4608</v>
      </c>
      <c r="T31" s="9">
        <v>0.4608</v>
      </c>
      <c r="U31" s="9">
        <v>0.4608</v>
      </c>
      <c r="V31" s="9">
        <v>0.4608</v>
      </c>
      <c r="W31" s="9">
        <v>0.4608</v>
      </c>
      <c r="X31" s="9">
        <v>0.4608</v>
      </c>
      <c r="Y31" s="9">
        <v>0.4608</v>
      </c>
      <c r="Z31" s="9">
        <v>0.4608</v>
      </c>
      <c r="AA31" s="9">
        <v>0.4608</v>
      </c>
      <c r="AB31" s="9">
        <v>0.4528</v>
      </c>
      <c r="AC31" s="9">
        <v>0.447</v>
      </c>
      <c r="AD31" s="9">
        <v>0.4415</v>
      </c>
      <c r="AE31" s="9">
        <v>0.4401</v>
      </c>
      <c r="AF31" s="9">
        <v>0.4346</v>
      </c>
      <c r="AG31" s="9">
        <v>0.4267</v>
      </c>
      <c r="AH31" s="9">
        <v>0.426</v>
      </c>
      <c r="AI31" s="9">
        <v>0.4288</v>
      </c>
      <c r="AJ31" s="9">
        <v>0.4345</v>
      </c>
      <c r="AK31" s="9">
        <v>0.4369</v>
      </c>
      <c r="AL31" s="9">
        <v>0.4408</v>
      </c>
      <c r="AM31" s="9">
        <v>0.44</v>
      </c>
      <c r="AN31" s="9">
        <v>0.4385</v>
      </c>
      <c r="AO31" s="9">
        <v>0.4385</v>
      </c>
      <c r="AP31" s="9">
        <v>0.4385</v>
      </c>
      <c r="AQ31" s="9">
        <v>0.4385</v>
      </c>
      <c r="AR31" s="9">
        <v>0.4385</v>
      </c>
      <c r="AS31" s="9">
        <v>0.4385</v>
      </c>
      <c r="AT31" s="9">
        <v>0.4385</v>
      </c>
    </row>
    <row r="32" ht="14.25" customHeight="1">
      <c r="A32" s="2" t="s">
        <v>176</v>
      </c>
      <c r="B32" s="9">
        <v>0.2927</v>
      </c>
      <c r="C32" s="9">
        <v>0.2886</v>
      </c>
      <c r="D32" s="9">
        <v>0.3148</v>
      </c>
      <c r="E32" s="9">
        <v>0.3111</v>
      </c>
      <c r="F32" s="9">
        <v>0.3059</v>
      </c>
      <c r="G32" s="9">
        <v>0.2894</v>
      </c>
      <c r="H32" s="9">
        <v>0.278</v>
      </c>
      <c r="I32" s="9">
        <v>0.2511</v>
      </c>
      <c r="J32" s="9">
        <v>0.2538</v>
      </c>
      <c r="K32" s="9">
        <v>0.2867</v>
      </c>
      <c r="L32" s="9">
        <v>0.3204</v>
      </c>
      <c r="M32" s="9">
        <v>0.3652</v>
      </c>
      <c r="N32" s="9">
        <v>0.408</v>
      </c>
      <c r="O32" s="9">
        <v>0.4268</v>
      </c>
      <c r="P32" s="9">
        <v>0.4766</v>
      </c>
      <c r="Q32" s="9">
        <v>0.4936</v>
      </c>
      <c r="R32" s="9">
        <v>0.476</v>
      </c>
      <c r="S32" s="9">
        <v>0.4716</v>
      </c>
      <c r="T32" s="9">
        <v>0.4528</v>
      </c>
      <c r="U32" s="9">
        <v>0.4485</v>
      </c>
      <c r="V32" s="9">
        <v>0.4405</v>
      </c>
      <c r="W32" s="9">
        <v>0.4528</v>
      </c>
      <c r="X32" s="9">
        <v>0.4705</v>
      </c>
      <c r="Y32" s="9">
        <v>0.4566</v>
      </c>
      <c r="Z32" s="9">
        <v>0.4571</v>
      </c>
      <c r="AA32" s="9">
        <v>0.4674</v>
      </c>
      <c r="AB32" s="9">
        <v>0.4864</v>
      </c>
      <c r="AC32" s="9">
        <v>0.4655</v>
      </c>
      <c r="AD32" s="9">
        <v>0.4487</v>
      </c>
      <c r="AE32" s="9">
        <v>0.4552</v>
      </c>
      <c r="AF32" s="9">
        <v>0.4612</v>
      </c>
      <c r="AG32" s="9">
        <v>0.4631</v>
      </c>
      <c r="AH32" s="9">
        <v>0.485</v>
      </c>
      <c r="AI32" s="9">
        <v>0.4642</v>
      </c>
      <c r="AJ32" s="9">
        <v>0.4843</v>
      </c>
      <c r="AK32" s="9">
        <v>0.4953</v>
      </c>
      <c r="AL32" s="9">
        <v>0.5167</v>
      </c>
      <c r="AM32" s="9">
        <v>0.532</v>
      </c>
      <c r="AN32" s="9">
        <v>0.5281</v>
      </c>
      <c r="AO32" s="9">
        <v>0.5106</v>
      </c>
      <c r="AP32" s="9">
        <v>0.5106</v>
      </c>
      <c r="AQ32" s="9">
        <v>0.5258</v>
      </c>
      <c r="AR32" s="9">
        <v>0.5373</v>
      </c>
      <c r="AS32" s="9">
        <v>0.5297</v>
      </c>
      <c r="AT32" s="9">
        <v>0.5297</v>
      </c>
    </row>
    <row r="33" ht="14.25" customHeight="1">
      <c r="A33" s="2" t="s">
        <v>177</v>
      </c>
      <c r="B33" s="9">
        <v>0.6586</v>
      </c>
      <c r="C33" s="9">
        <v>0.6586</v>
      </c>
      <c r="D33" s="9">
        <v>0.6586</v>
      </c>
      <c r="E33" s="9">
        <v>0.6586</v>
      </c>
      <c r="F33" s="9">
        <v>0.6586</v>
      </c>
      <c r="G33" s="9">
        <v>0.6586</v>
      </c>
      <c r="H33" s="9">
        <v>0.6586</v>
      </c>
      <c r="I33" s="9">
        <v>0.6586</v>
      </c>
      <c r="J33" s="9">
        <v>0.6586</v>
      </c>
      <c r="K33" s="9">
        <v>0.6586</v>
      </c>
      <c r="L33" s="9">
        <v>0.6586</v>
      </c>
      <c r="M33" s="9">
        <v>0.6586</v>
      </c>
      <c r="N33" s="9">
        <v>0.6586</v>
      </c>
      <c r="O33" s="9">
        <v>0.6586</v>
      </c>
      <c r="P33" s="9">
        <v>0.6586</v>
      </c>
      <c r="Q33" s="9">
        <v>0.6649</v>
      </c>
      <c r="R33" s="9">
        <v>0.6712</v>
      </c>
      <c r="S33" s="9">
        <v>0.6776</v>
      </c>
      <c r="T33" s="9">
        <v>0.6839</v>
      </c>
      <c r="U33" s="9">
        <v>0.6686</v>
      </c>
      <c r="V33" s="9">
        <v>0.6532</v>
      </c>
      <c r="W33" s="9">
        <v>0.6379</v>
      </c>
      <c r="X33" s="9">
        <v>0.6226</v>
      </c>
      <c r="Y33" s="9">
        <v>0.6072</v>
      </c>
      <c r="Z33" s="9">
        <v>0.6033</v>
      </c>
      <c r="AA33" s="9">
        <v>0.5993</v>
      </c>
      <c r="AB33" s="9">
        <v>0.5954</v>
      </c>
      <c r="AC33" s="9">
        <v>0.5914</v>
      </c>
      <c r="AD33" s="9">
        <v>0.5875</v>
      </c>
      <c r="AE33" s="9">
        <v>0.5835</v>
      </c>
      <c r="AF33" s="9">
        <v>0.5761</v>
      </c>
      <c r="AG33" s="9">
        <v>0.5688</v>
      </c>
      <c r="AH33" s="9">
        <v>0.5614</v>
      </c>
      <c r="AI33" s="9">
        <v>0.554</v>
      </c>
      <c r="AJ33" s="9">
        <v>0.5466</v>
      </c>
      <c r="AK33" s="9">
        <v>0.563</v>
      </c>
      <c r="AL33" s="9">
        <v>0.5794</v>
      </c>
      <c r="AM33" s="9">
        <v>0.5958</v>
      </c>
      <c r="AN33" s="9">
        <v>0.6122</v>
      </c>
      <c r="AO33" s="9">
        <v>0.5945</v>
      </c>
      <c r="AP33" s="9">
        <v>0.5768</v>
      </c>
      <c r="AQ33" s="9">
        <v>0.5592</v>
      </c>
      <c r="AR33" s="9">
        <v>0.5592</v>
      </c>
      <c r="AS33" s="9">
        <v>0.5592</v>
      </c>
      <c r="AT33" s="9">
        <v>0.5592</v>
      </c>
    </row>
    <row r="34" ht="14.25" customHeight="1">
      <c r="A34" s="2" t="s">
        <v>178</v>
      </c>
      <c r="B34" s="9">
        <v>0.5154</v>
      </c>
      <c r="C34" s="9">
        <v>0.5154</v>
      </c>
      <c r="D34" s="9">
        <v>0.5154</v>
      </c>
      <c r="E34" s="9">
        <v>0.5154</v>
      </c>
      <c r="F34" s="9">
        <v>0.5154</v>
      </c>
      <c r="G34" s="9">
        <v>0.5154</v>
      </c>
      <c r="H34" s="9">
        <v>0.5154</v>
      </c>
      <c r="I34" s="9">
        <v>0.5154</v>
      </c>
      <c r="J34" s="9">
        <v>0.5154</v>
      </c>
      <c r="K34" s="9">
        <v>0.5154</v>
      </c>
      <c r="L34" s="9">
        <v>0.5154</v>
      </c>
      <c r="M34" s="9">
        <v>0.5154</v>
      </c>
      <c r="N34" s="9">
        <v>0.5154</v>
      </c>
      <c r="O34" s="9">
        <v>0.5292</v>
      </c>
      <c r="P34" s="9">
        <v>0.543</v>
      </c>
      <c r="Q34" s="9">
        <v>0.5568</v>
      </c>
      <c r="R34" s="9">
        <v>0.5706</v>
      </c>
      <c r="S34" s="9">
        <v>0.5844</v>
      </c>
      <c r="T34" s="9">
        <v>0.5981</v>
      </c>
      <c r="U34" s="9">
        <v>0.5892</v>
      </c>
      <c r="V34" s="9">
        <v>0.5803</v>
      </c>
      <c r="W34" s="9">
        <v>0.5714</v>
      </c>
      <c r="X34" s="9">
        <v>0.5625</v>
      </c>
      <c r="Y34" s="9">
        <v>0.5536</v>
      </c>
      <c r="Z34" s="9">
        <v>0.5447</v>
      </c>
      <c r="AA34" s="9">
        <v>0.5358</v>
      </c>
      <c r="AB34" s="9">
        <v>0.5269</v>
      </c>
      <c r="AC34" s="9">
        <v>0.5329</v>
      </c>
      <c r="AD34" s="9">
        <v>0.5388</v>
      </c>
      <c r="AE34" s="9">
        <v>0.5448</v>
      </c>
      <c r="AF34" s="9">
        <v>0.5508</v>
      </c>
      <c r="AG34" s="9">
        <v>0.5568</v>
      </c>
      <c r="AH34" s="9">
        <v>0.5628</v>
      </c>
      <c r="AI34" s="9">
        <v>0.5688</v>
      </c>
      <c r="AJ34" s="9">
        <v>0.5672</v>
      </c>
      <c r="AK34" s="9">
        <v>0.5656</v>
      </c>
      <c r="AL34" s="9">
        <v>0.5639</v>
      </c>
      <c r="AM34" s="9">
        <v>0.5623</v>
      </c>
      <c r="AN34" s="9">
        <v>0.5607</v>
      </c>
      <c r="AO34" s="9">
        <v>0.5591</v>
      </c>
      <c r="AP34" s="9">
        <v>0.5574</v>
      </c>
      <c r="AQ34" s="9">
        <v>0.5574</v>
      </c>
      <c r="AR34" s="9">
        <v>0.5574</v>
      </c>
      <c r="AS34" s="9">
        <v>0.5574</v>
      </c>
      <c r="AT34" s="9">
        <v>0.5574</v>
      </c>
    </row>
    <row r="35" ht="14.25" customHeight="1">
      <c r="A35" s="2" t="s">
        <v>179</v>
      </c>
      <c r="B35" s="9">
        <v>0.6904</v>
      </c>
      <c r="C35" s="9">
        <v>0.6904</v>
      </c>
      <c r="D35" s="9">
        <v>0.6904</v>
      </c>
      <c r="E35" s="9">
        <v>0.6904</v>
      </c>
      <c r="F35" s="9">
        <v>0.6904</v>
      </c>
      <c r="G35" s="9">
        <v>0.6904</v>
      </c>
      <c r="H35" s="9">
        <v>0.6904</v>
      </c>
      <c r="I35" s="9">
        <v>0.6904</v>
      </c>
      <c r="J35" s="9">
        <v>0.6904</v>
      </c>
      <c r="K35" s="9">
        <v>0.6904</v>
      </c>
      <c r="L35" s="9">
        <v>0.6904</v>
      </c>
      <c r="M35" s="9">
        <v>0.6904</v>
      </c>
      <c r="N35" s="9">
        <v>0.6904</v>
      </c>
      <c r="O35" s="9">
        <v>0.6904</v>
      </c>
      <c r="P35" s="9">
        <v>0.6904</v>
      </c>
      <c r="Q35" s="9">
        <v>0.6904</v>
      </c>
      <c r="R35" s="9">
        <v>0.6904</v>
      </c>
      <c r="S35" s="9">
        <v>0.6904</v>
      </c>
      <c r="T35" s="9">
        <v>0.6904</v>
      </c>
      <c r="U35" s="9">
        <v>0.6904</v>
      </c>
      <c r="V35" s="9">
        <v>0.6904</v>
      </c>
      <c r="W35" s="9">
        <v>0.6904</v>
      </c>
      <c r="X35" s="9">
        <v>0.6825</v>
      </c>
      <c r="Y35" s="9">
        <v>0.6745</v>
      </c>
      <c r="Z35" s="9">
        <v>0.6665</v>
      </c>
      <c r="AA35" s="9">
        <v>0.6585</v>
      </c>
      <c r="AB35" s="9">
        <v>0.6506</v>
      </c>
      <c r="AC35" s="9">
        <v>0.6426</v>
      </c>
      <c r="AD35" s="9">
        <v>0.6363</v>
      </c>
      <c r="AE35" s="9">
        <v>0.6299</v>
      </c>
      <c r="AF35" s="9">
        <v>0.6236</v>
      </c>
      <c r="AG35" s="9">
        <v>0.6173</v>
      </c>
      <c r="AH35" s="9">
        <v>0.6109</v>
      </c>
      <c r="AI35" s="9">
        <v>0.6046</v>
      </c>
      <c r="AJ35" s="9">
        <v>0.5983</v>
      </c>
      <c r="AK35" s="9">
        <v>0.592</v>
      </c>
      <c r="AL35" s="9">
        <v>0.592</v>
      </c>
      <c r="AM35" s="9">
        <v>0.592</v>
      </c>
      <c r="AN35" s="9">
        <v>0.592</v>
      </c>
      <c r="AO35" s="9">
        <v>0.592</v>
      </c>
      <c r="AP35" s="9">
        <v>0.592</v>
      </c>
      <c r="AQ35" s="9">
        <v>0.592</v>
      </c>
      <c r="AR35" s="9">
        <v>0.592</v>
      </c>
      <c r="AS35" s="9">
        <v>0.592</v>
      </c>
      <c r="AT35" s="9">
        <v>0.592</v>
      </c>
    </row>
    <row r="36" ht="14.25" customHeight="1">
      <c r="A36" s="2" t="s">
        <v>180</v>
      </c>
      <c r="B36" s="9">
        <v>0.6747</v>
      </c>
      <c r="C36" s="9">
        <v>0.6747</v>
      </c>
      <c r="D36" s="9">
        <v>0.6747</v>
      </c>
      <c r="E36" s="9">
        <v>0.6747</v>
      </c>
      <c r="F36" s="9">
        <v>0.6747</v>
      </c>
      <c r="G36" s="9">
        <v>0.6747</v>
      </c>
      <c r="H36" s="9">
        <v>0.6747</v>
      </c>
      <c r="I36" s="9">
        <v>0.6747</v>
      </c>
      <c r="J36" s="9">
        <v>0.6747</v>
      </c>
      <c r="K36" s="9">
        <v>0.6747</v>
      </c>
      <c r="L36" s="9">
        <v>0.6747</v>
      </c>
      <c r="M36" s="9">
        <v>0.6747</v>
      </c>
      <c r="N36" s="9">
        <v>0.6747</v>
      </c>
      <c r="O36" s="9">
        <v>0.6747</v>
      </c>
      <c r="P36" s="9">
        <v>0.6747</v>
      </c>
      <c r="Q36" s="9">
        <v>0.6747</v>
      </c>
      <c r="R36" s="9">
        <v>0.6747</v>
      </c>
      <c r="S36" s="9">
        <v>0.6747</v>
      </c>
      <c r="T36" s="9">
        <v>0.6747</v>
      </c>
      <c r="U36" s="9">
        <v>0.6747</v>
      </c>
      <c r="V36" s="9">
        <v>0.6747</v>
      </c>
      <c r="W36" s="9">
        <v>0.6747</v>
      </c>
      <c r="X36" s="9">
        <v>0.6747</v>
      </c>
      <c r="Y36" s="9">
        <v>0.6747</v>
      </c>
      <c r="Z36" s="9">
        <v>0.6747</v>
      </c>
      <c r="AA36" s="9">
        <v>0.6747</v>
      </c>
      <c r="AB36" s="9">
        <v>0.6747</v>
      </c>
      <c r="AC36" s="9">
        <v>0.6747</v>
      </c>
      <c r="AD36" s="9">
        <v>0.6747</v>
      </c>
      <c r="AE36" s="9">
        <v>0.6747</v>
      </c>
      <c r="AF36" s="9">
        <v>0.6614</v>
      </c>
      <c r="AG36" s="9">
        <v>0.577</v>
      </c>
      <c r="AH36" s="9">
        <v>0.565</v>
      </c>
      <c r="AI36" s="9">
        <v>0.5764</v>
      </c>
      <c r="AJ36" s="9">
        <v>0.5759</v>
      </c>
      <c r="AK36" s="9">
        <v>0.5756</v>
      </c>
      <c r="AL36" s="9">
        <v>0.576</v>
      </c>
      <c r="AM36" s="9">
        <v>0.5756</v>
      </c>
      <c r="AN36" s="9">
        <v>0.5748</v>
      </c>
      <c r="AO36" s="9">
        <v>0.5748</v>
      </c>
      <c r="AP36" s="9">
        <v>0.5748</v>
      </c>
      <c r="AQ36" s="9">
        <v>0.5748</v>
      </c>
      <c r="AR36" s="9">
        <v>0.5748</v>
      </c>
      <c r="AS36" s="9">
        <v>0.5748</v>
      </c>
      <c r="AT36" s="9">
        <v>0.5748</v>
      </c>
    </row>
    <row r="37" ht="14.25" customHeight="1">
      <c r="A37" s="2" t="s">
        <v>181</v>
      </c>
      <c r="B37" s="9">
        <v>0.6255</v>
      </c>
      <c r="C37" s="9">
        <v>0.6255</v>
      </c>
      <c r="D37" s="9">
        <v>0.6255</v>
      </c>
      <c r="E37" s="9">
        <v>0.6255</v>
      </c>
      <c r="F37" s="9">
        <v>0.6255</v>
      </c>
      <c r="G37" s="9">
        <v>0.6255</v>
      </c>
      <c r="H37" s="9">
        <v>0.6255</v>
      </c>
      <c r="I37" s="9">
        <v>0.6255</v>
      </c>
      <c r="J37" s="9">
        <v>0.6255</v>
      </c>
      <c r="K37" s="9">
        <v>0.6255</v>
      </c>
      <c r="L37" s="9">
        <v>0.6255</v>
      </c>
      <c r="M37" s="9">
        <v>0.6255</v>
      </c>
      <c r="N37" s="9">
        <v>0.6255</v>
      </c>
      <c r="O37" s="9">
        <v>0.6255</v>
      </c>
      <c r="P37" s="9">
        <v>0.6255</v>
      </c>
      <c r="Q37" s="9">
        <v>0.6255</v>
      </c>
      <c r="R37" s="9">
        <v>0.6255</v>
      </c>
      <c r="S37" s="9">
        <v>0.6212</v>
      </c>
      <c r="T37" s="9">
        <v>0.617</v>
      </c>
      <c r="U37" s="9">
        <v>0.6127</v>
      </c>
      <c r="V37" s="9">
        <v>0.6085</v>
      </c>
      <c r="W37" s="9">
        <v>0.6042</v>
      </c>
      <c r="X37" s="9">
        <v>0.6037</v>
      </c>
      <c r="Y37" s="9">
        <v>0.6032</v>
      </c>
      <c r="Z37" s="9">
        <v>0.6026</v>
      </c>
      <c r="AA37" s="9">
        <v>0.6021</v>
      </c>
      <c r="AB37" s="9">
        <v>0.6015</v>
      </c>
      <c r="AC37" s="9">
        <v>0.601</v>
      </c>
      <c r="AD37" s="9">
        <v>0.6047</v>
      </c>
      <c r="AE37" s="9">
        <v>0.6083</v>
      </c>
      <c r="AF37" s="9">
        <v>0.612</v>
      </c>
      <c r="AG37" s="9">
        <v>0.6157</v>
      </c>
      <c r="AH37" s="9">
        <v>0.6193</v>
      </c>
      <c r="AI37" s="9">
        <v>0.623</v>
      </c>
      <c r="AJ37" s="9">
        <v>0.6267</v>
      </c>
      <c r="AK37" s="9">
        <v>0.6208</v>
      </c>
      <c r="AL37" s="9">
        <v>0.615</v>
      </c>
      <c r="AM37" s="9">
        <v>0.6091</v>
      </c>
      <c r="AN37" s="9">
        <v>0.6032</v>
      </c>
      <c r="AO37" s="9">
        <v>0.5974</v>
      </c>
      <c r="AP37" s="9">
        <v>0.5915</v>
      </c>
      <c r="AQ37" s="9">
        <v>0.5857</v>
      </c>
      <c r="AR37" s="9">
        <v>0.5857</v>
      </c>
      <c r="AS37" s="9">
        <v>0.5857</v>
      </c>
      <c r="AT37" s="9">
        <v>0.5857</v>
      </c>
    </row>
    <row r="38" ht="14.25" customHeight="1">
      <c r="A38" s="2" t="s">
        <v>182</v>
      </c>
      <c r="B38" s="9">
        <v>0.4204</v>
      </c>
      <c r="C38" s="9">
        <v>0.411</v>
      </c>
      <c r="D38" s="9">
        <v>0.4085</v>
      </c>
      <c r="E38" s="9">
        <v>0.4136</v>
      </c>
      <c r="F38" s="9">
        <v>0.4145</v>
      </c>
      <c r="G38" s="9">
        <v>0.4172</v>
      </c>
      <c r="H38" s="9">
        <v>0.4279</v>
      </c>
      <c r="I38" s="9">
        <v>0.4295</v>
      </c>
      <c r="J38" s="9">
        <v>0.435</v>
      </c>
      <c r="K38" s="9">
        <v>0.4441</v>
      </c>
      <c r="L38" s="9">
        <v>0.4498</v>
      </c>
      <c r="M38" s="9">
        <v>0.4571</v>
      </c>
      <c r="N38" s="9">
        <v>0.4593</v>
      </c>
      <c r="O38" s="9">
        <v>0.4696</v>
      </c>
      <c r="P38" s="9">
        <v>0.4714</v>
      </c>
      <c r="Q38" s="9">
        <v>0.4791</v>
      </c>
      <c r="R38" s="9">
        <v>0.484</v>
      </c>
      <c r="S38" s="9">
        <v>0.4902</v>
      </c>
      <c r="T38" s="9">
        <v>0.4918</v>
      </c>
      <c r="U38" s="9">
        <v>0.4927</v>
      </c>
      <c r="V38" s="9">
        <v>0.5017</v>
      </c>
      <c r="W38" s="9">
        <v>0.4982</v>
      </c>
      <c r="X38" s="9">
        <v>0.5002</v>
      </c>
      <c r="Y38" s="9">
        <v>0.503</v>
      </c>
      <c r="Z38" s="9">
        <v>0.5071</v>
      </c>
      <c r="AA38" s="9">
        <v>0.5104</v>
      </c>
      <c r="AB38" s="9">
        <v>0.5139</v>
      </c>
      <c r="AC38" s="9">
        <v>0.5139</v>
      </c>
      <c r="AD38" s="9">
        <v>0.5072</v>
      </c>
      <c r="AE38" s="9">
        <v>0.497</v>
      </c>
      <c r="AF38" s="9">
        <v>0.502</v>
      </c>
      <c r="AG38" s="9">
        <v>0.5014</v>
      </c>
      <c r="AH38" s="9">
        <v>0.4968</v>
      </c>
      <c r="AI38" s="9">
        <v>0.4975</v>
      </c>
      <c r="AJ38" s="9">
        <v>0.4946</v>
      </c>
      <c r="AK38" s="9">
        <v>0.4935</v>
      </c>
      <c r="AL38" s="9">
        <v>0.4826</v>
      </c>
      <c r="AM38" s="9">
        <v>0.4878</v>
      </c>
      <c r="AN38" s="9">
        <v>0.4845</v>
      </c>
      <c r="AO38" s="9">
        <v>0.483</v>
      </c>
      <c r="AP38" s="9">
        <v>0.4967</v>
      </c>
      <c r="AQ38" s="9">
        <v>0.4992</v>
      </c>
      <c r="AR38" s="9">
        <v>0.4891</v>
      </c>
      <c r="AS38" s="9">
        <v>0.4891</v>
      </c>
      <c r="AT38" s="9">
        <v>0.4891</v>
      </c>
    </row>
    <row r="39" ht="14.25" customHeight="1">
      <c r="A39" s="2" t="s">
        <v>183</v>
      </c>
      <c r="B39" s="9">
        <v>0.6852</v>
      </c>
      <c r="C39" s="9">
        <v>0.6854</v>
      </c>
      <c r="D39" s="9">
        <v>0.6857</v>
      </c>
      <c r="E39" s="9">
        <v>0.6859</v>
      </c>
      <c r="F39" s="9">
        <v>0.6861</v>
      </c>
      <c r="G39" s="9">
        <v>0.6863</v>
      </c>
      <c r="H39" s="9">
        <v>0.6866</v>
      </c>
      <c r="I39" s="9">
        <v>0.6868</v>
      </c>
      <c r="J39" s="9">
        <v>0.6871</v>
      </c>
      <c r="K39" s="9">
        <v>0.6877</v>
      </c>
      <c r="L39" s="9">
        <v>0.6879</v>
      </c>
      <c r="M39" s="9">
        <v>0.6868</v>
      </c>
      <c r="N39" s="9">
        <v>0.6859</v>
      </c>
      <c r="O39" s="9">
        <v>0.6851</v>
      </c>
      <c r="P39" s="9">
        <v>0.6842</v>
      </c>
      <c r="Q39" s="9">
        <v>0.6834</v>
      </c>
      <c r="R39" s="9">
        <v>0.6826</v>
      </c>
      <c r="S39" s="9">
        <v>0.6818</v>
      </c>
      <c r="T39" s="9">
        <v>0.681</v>
      </c>
      <c r="U39" s="9">
        <v>0.6802</v>
      </c>
      <c r="V39" s="9">
        <v>0.6794</v>
      </c>
      <c r="W39" s="9">
        <v>0.6781</v>
      </c>
      <c r="X39" s="9">
        <v>0.6768</v>
      </c>
      <c r="Y39" s="9">
        <v>0.6756</v>
      </c>
      <c r="Z39" s="9">
        <v>0.6745</v>
      </c>
      <c r="AA39" s="9">
        <v>0.6734</v>
      </c>
      <c r="AB39" s="9">
        <v>0.6724</v>
      </c>
      <c r="AC39" s="9">
        <v>0.6714</v>
      </c>
      <c r="AD39" s="9">
        <v>0.6704</v>
      </c>
      <c r="AE39" s="9">
        <v>0.6695</v>
      </c>
      <c r="AF39" s="9">
        <v>0.6687</v>
      </c>
      <c r="AG39" s="9">
        <v>0.6601</v>
      </c>
      <c r="AH39" s="9">
        <v>0.6516</v>
      </c>
      <c r="AI39" s="9">
        <v>0.6431</v>
      </c>
      <c r="AJ39" s="9">
        <v>0.6347</v>
      </c>
      <c r="AK39" s="9">
        <v>0.6264</v>
      </c>
      <c r="AL39" s="9">
        <v>0.6182</v>
      </c>
      <c r="AM39" s="9">
        <v>0.6099</v>
      </c>
      <c r="AN39" s="9">
        <v>0.6018</v>
      </c>
      <c r="AO39" s="9">
        <v>0.5937</v>
      </c>
      <c r="AP39" s="9">
        <v>0.5868</v>
      </c>
      <c r="AQ39" s="9">
        <v>0.5868</v>
      </c>
      <c r="AR39" s="9">
        <v>0.5868</v>
      </c>
      <c r="AS39" s="9">
        <v>0.5868</v>
      </c>
      <c r="AT39" s="9">
        <v>0.5868</v>
      </c>
    </row>
    <row r="40" ht="14.25" customHeight="1">
      <c r="A40" s="2" t="s">
        <v>184</v>
      </c>
      <c r="B40" s="9">
        <v>0.7367</v>
      </c>
      <c r="C40" s="9">
        <v>0.7367</v>
      </c>
      <c r="D40" s="9">
        <v>0.7367</v>
      </c>
      <c r="E40" s="9">
        <v>0.7367</v>
      </c>
      <c r="F40" s="9">
        <v>0.7367</v>
      </c>
      <c r="G40" s="9">
        <v>0.7367</v>
      </c>
      <c r="H40" s="9">
        <v>0.7367</v>
      </c>
      <c r="I40" s="9">
        <v>0.7367</v>
      </c>
      <c r="J40" s="9">
        <v>0.7367</v>
      </c>
      <c r="K40" s="9">
        <v>0.7367</v>
      </c>
      <c r="L40" s="9">
        <v>0.7367</v>
      </c>
      <c r="M40" s="9">
        <v>0.7367</v>
      </c>
      <c r="N40" s="9">
        <v>0.7367</v>
      </c>
      <c r="O40" s="9">
        <v>0.7361</v>
      </c>
      <c r="P40" s="9">
        <v>0.7354</v>
      </c>
      <c r="Q40" s="9">
        <v>0.7348</v>
      </c>
      <c r="R40" s="9">
        <v>0.7341</v>
      </c>
      <c r="S40" s="9">
        <v>0.7335</v>
      </c>
      <c r="T40" s="9">
        <v>0.7328</v>
      </c>
      <c r="U40" s="9">
        <v>0.7322</v>
      </c>
      <c r="V40" s="9">
        <v>0.7315</v>
      </c>
      <c r="W40" s="9">
        <v>0.7309</v>
      </c>
      <c r="X40" s="9">
        <v>0.7302</v>
      </c>
      <c r="Y40" s="9">
        <v>0.7296</v>
      </c>
      <c r="Z40" s="9">
        <v>0.7289</v>
      </c>
      <c r="AA40" s="9">
        <v>0.7283</v>
      </c>
      <c r="AB40" s="9">
        <v>0.7277</v>
      </c>
      <c r="AC40" s="9">
        <v>0.727</v>
      </c>
      <c r="AD40" s="9">
        <v>0.7264</v>
      </c>
      <c r="AE40" s="9">
        <v>0.7168</v>
      </c>
      <c r="AF40" s="9">
        <v>0.7072</v>
      </c>
      <c r="AG40" s="9">
        <v>0.6976</v>
      </c>
      <c r="AH40" s="9">
        <v>0.688</v>
      </c>
      <c r="AI40" s="9">
        <v>0.6784</v>
      </c>
      <c r="AJ40" s="9">
        <v>0.6688</v>
      </c>
      <c r="AK40" s="9">
        <v>0.6592</v>
      </c>
      <c r="AL40" s="9">
        <v>0.6496</v>
      </c>
      <c r="AM40" s="9">
        <v>0.64</v>
      </c>
      <c r="AN40" s="9">
        <v>0.6304</v>
      </c>
      <c r="AO40" s="9">
        <v>0.6208</v>
      </c>
      <c r="AP40" s="9">
        <v>0.6112</v>
      </c>
      <c r="AQ40" s="9">
        <v>0.6016</v>
      </c>
      <c r="AR40" s="9">
        <v>0.6016</v>
      </c>
      <c r="AS40" s="9">
        <v>0.6016</v>
      </c>
      <c r="AT40" s="9">
        <v>0.6016</v>
      </c>
    </row>
    <row r="41" ht="14.25" customHeight="1">
      <c r="A41" s="2" t="s">
        <v>185</v>
      </c>
      <c r="B41" s="9">
        <v>0.5733</v>
      </c>
      <c r="C41" s="9">
        <v>0.5733</v>
      </c>
      <c r="D41" s="9">
        <v>0.5733</v>
      </c>
      <c r="E41" s="9">
        <v>0.5733</v>
      </c>
      <c r="F41" s="9">
        <v>0.5733</v>
      </c>
      <c r="G41" s="9">
        <v>0.5733</v>
      </c>
      <c r="H41" s="9">
        <v>0.5733</v>
      </c>
      <c r="I41" s="9">
        <v>0.5733</v>
      </c>
      <c r="J41" s="9">
        <v>0.5733</v>
      </c>
      <c r="K41" s="9">
        <v>0.5733</v>
      </c>
      <c r="L41" s="9">
        <v>0.5733</v>
      </c>
      <c r="M41" s="9">
        <v>0.5733</v>
      </c>
      <c r="N41" s="9">
        <v>0.5733</v>
      </c>
      <c r="O41" s="9">
        <v>0.5733</v>
      </c>
      <c r="P41" s="9">
        <v>0.5733</v>
      </c>
      <c r="Q41" s="9">
        <v>0.5733</v>
      </c>
      <c r="R41" s="9">
        <v>0.5733</v>
      </c>
      <c r="S41" s="9">
        <v>0.5733</v>
      </c>
      <c r="T41" s="9">
        <v>0.5733</v>
      </c>
      <c r="U41" s="9">
        <v>0.5733</v>
      </c>
      <c r="V41" s="9">
        <v>0.5733</v>
      </c>
      <c r="W41" s="9">
        <v>0.5733</v>
      </c>
      <c r="X41" s="9">
        <v>0.5733</v>
      </c>
      <c r="Y41" s="9">
        <v>0.5733</v>
      </c>
      <c r="Z41" s="9">
        <v>0.5765</v>
      </c>
      <c r="AA41" s="9">
        <v>0.5796</v>
      </c>
      <c r="AB41" s="9">
        <v>0.5828</v>
      </c>
      <c r="AC41" s="9">
        <v>0.5859</v>
      </c>
      <c r="AD41" s="9">
        <v>0.5891</v>
      </c>
      <c r="AE41" s="9">
        <v>0.5922</v>
      </c>
      <c r="AF41" s="9">
        <v>0.5954</v>
      </c>
      <c r="AG41" s="9">
        <v>0.5985</v>
      </c>
      <c r="AH41" s="9">
        <v>0.5924</v>
      </c>
      <c r="AI41" s="9">
        <v>0.5863</v>
      </c>
      <c r="AJ41" s="9">
        <v>0.5801</v>
      </c>
      <c r="AK41" s="9">
        <v>0.574</v>
      </c>
      <c r="AL41" s="9">
        <v>0.5679</v>
      </c>
      <c r="AM41" s="9">
        <v>0.5618</v>
      </c>
      <c r="AN41" s="9">
        <v>0.5556</v>
      </c>
      <c r="AO41" s="9">
        <v>0.5547</v>
      </c>
      <c r="AP41" s="9">
        <v>0.5538</v>
      </c>
      <c r="AQ41" s="9">
        <v>0.5529</v>
      </c>
      <c r="AR41" s="9">
        <v>0.552</v>
      </c>
      <c r="AS41" s="9">
        <v>0.552</v>
      </c>
      <c r="AT41" s="9">
        <v>0.552</v>
      </c>
    </row>
    <row r="42" ht="14.25" customHeight="1">
      <c r="A42" s="2" t="s">
        <v>186</v>
      </c>
      <c r="B42" s="9">
        <v>0.7275</v>
      </c>
      <c r="C42" s="9">
        <v>0.7275</v>
      </c>
      <c r="D42" s="9">
        <v>0.7275</v>
      </c>
      <c r="E42" s="9">
        <v>0.7275</v>
      </c>
      <c r="F42" s="9">
        <v>0.7275</v>
      </c>
      <c r="G42" s="9">
        <v>0.7275</v>
      </c>
      <c r="H42" s="9">
        <v>0.7275</v>
      </c>
      <c r="I42" s="9">
        <v>0.7275</v>
      </c>
      <c r="J42" s="9">
        <v>0.7275</v>
      </c>
      <c r="K42" s="9">
        <v>0.7275</v>
      </c>
      <c r="L42" s="9">
        <v>0.7275</v>
      </c>
      <c r="M42" s="9">
        <v>0.7275</v>
      </c>
      <c r="N42" s="9">
        <v>0.7275</v>
      </c>
      <c r="O42" s="9">
        <v>0.7275</v>
      </c>
      <c r="P42" s="9">
        <v>0.7275</v>
      </c>
      <c r="Q42" s="9">
        <v>0.7275</v>
      </c>
      <c r="R42" s="9">
        <v>0.7275</v>
      </c>
      <c r="S42" s="9">
        <v>0.7275</v>
      </c>
      <c r="T42" s="9">
        <v>0.7275</v>
      </c>
      <c r="U42" s="9">
        <v>0.7275</v>
      </c>
      <c r="V42" s="9">
        <v>0.7275</v>
      </c>
      <c r="W42" s="9">
        <v>0.7205</v>
      </c>
      <c r="X42" s="9">
        <v>0.7135</v>
      </c>
      <c r="Y42" s="9">
        <v>0.7065</v>
      </c>
      <c r="Z42" s="9">
        <v>0.7183</v>
      </c>
      <c r="AA42" s="9">
        <v>0.7302</v>
      </c>
      <c r="AB42" s="9">
        <v>0.742</v>
      </c>
      <c r="AC42" s="9">
        <v>0.7394</v>
      </c>
      <c r="AD42" s="9">
        <v>0.7368</v>
      </c>
      <c r="AE42" s="9">
        <v>0.7343</v>
      </c>
      <c r="AF42" s="9">
        <v>0.7492</v>
      </c>
      <c r="AG42" s="9">
        <v>0.7642</v>
      </c>
      <c r="AH42" s="9">
        <v>0.7559</v>
      </c>
      <c r="AI42" s="9">
        <v>0.7475</v>
      </c>
      <c r="AJ42" s="9">
        <v>0.7446</v>
      </c>
      <c r="AK42" s="9">
        <v>0.7417</v>
      </c>
      <c r="AL42" s="9">
        <v>0.7345</v>
      </c>
      <c r="AM42" s="9">
        <v>0.7273</v>
      </c>
      <c r="AN42" s="9">
        <v>0.7244</v>
      </c>
      <c r="AO42" s="9">
        <v>0.7216</v>
      </c>
      <c r="AP42" s="9">
        <v>0.7187</v>
      </c>
      <c r="AQ42" s="9">
        <v>0.7121</v>
      </c>
      <c r="AR42" s="9">
        <v>0.7054</v>
      </c>
      <c r="AS42" s="9">
        <v>0.7054</v>
      </c>
      <c r="AT42" s="9">
        <v>0.7054</v>
      </c>
    </row>
    <row r="43" ht="14.25" customHeight="1">
      <c r="A43" s="2" t="s">
        <v>187</v>
      </c>
      <c r="B43" s="9">
        <v>0.3774</v>
      </c>
      <c r="C43" s="9">
        <v>0.3821</v>
      </c>
      <c r="D43" s="9">
        <v>0.3846</v>
      </c>
      <c r="E43" s="9">
        <v>0.3871</v>
      </c>
      <c r="F43" s="9">
        <v>0.3921</v>
      </c>
      <c r="G43" s="9">
        <v>0.3996</v>
      </c>
      <c r="H43" s="9">
        <v>0.4099</v>
      </c>
      <c r="I43" s="9">
        <v>0.414</v>
      </c>
      <c r="J43" s="9">
        <v>0.4175</v>
      </c>
      <c r="K43" s="9">
        <v>0.4266</v>
      </c>
      <c r="L43" s="9">
        <v>0.4233</v>
      </c>
      <c r="M43" s="9">
        <v>0.439</v>
      </c>
      <c r="N43" s="9">
        <v>0.4539</v>
      </c>
      <c r="O43" s="9">
        <v>0.469</v>
      </c>
      <c r="P43" s="9">
        <v>0.4751</v>
      </c>
      <c r="Q43" s="9">
        <v>0.469</v>
      </c>
      <c r="R43" s="9">
        <v>0.463</v>
      </c>
      <c r="S43" s="9">
        <v>0.4627</v>
      </c>
      <c r="T43" s="9">
        <v>0.4635</v>
      </c>
      <c r="U43" s="9">
        <v>0.473</v>
      </c>
      <c r="V43" s="9">
        <v>0.4901</v>
      </c>
      <c r="W43" s="9">
        <v>0.4997</v>
      </c>
      <c r="X43" s="9">
        <v>0.5271</v>
      </c>
      <c r="Y43" s="9">
        <v>0.5355</v>
      </c>
      <c r="Z43" s="9">
        <v>0.5388</v>
      </c>
      <c r="AA43" s="9">
        <v>0.551</v>
      </c>
      <c r="AB43" s="9">
        <v>0.5522</v>
      </c>
      <c r="AC43" s="9">
        <v>0.5556</v>
      </c>
      <c r="AD43" s="9">
        <v>0.556</v>
      </c>
      <c r="AE43" s="9">
        <v>0.5566</v>
      </c>
      <c r="AF43" s="9">
        <v>0.5609</v>
      </c>
      <c r="AG43" s="9">
        <v>0.559</v>
      </c>
      <c r="AH43" s="9">
        <v>0.5476</v>
      </c>
      <c r="AI43" s="9">
        <v>0.5561</v>
      </c>
      <c r="AJ43" s="9">
        <v>0.5488</v>
      </c>
      <c r="AK43" s="9">
        <v>0.5495</v>
      </c>
      <c r="AL43" s="9">
        <v>0.5497</v>
      </c>
      <c r="AM43" s="9">
        <v>0.5574</v>
      </c>
      <c r="AN43" s="9">
        <v>0.5552</v>
      </c>
      <c r="AO43" s="9">
        <v>0.5539</v>
      </c>
      <c r="AP43" s="9">
        <v>0.5602</v>
      </c>
      <c r="AQ43" s="9">
        <v>0.5613</v>
      </c>
      <c r="AR43" s="9">
        <v>0.5644</v>
      </c>
      <c r="AS43" s="9">
        <v>0.5644</v>
      </c>
      <c r="AT43" s="9">
        <v>0.5644</v>
      </c>
    </row>
    <row r="44" ht="14.25" customHeight="1">
      <c r="A44" s="2" t="s">
        <v>188</v>
      </c>
      <c r="B44" s="9">
        <v>0.7425</v>
      </c>
      <c r="C44" s="9">
        <v>0.7425</v>
      </c>
      <c r="D44" s="9">
        <v>0.7425</v>
      </c>
      <c r="E44" s="9">
        <v>0.7425</v>
      </c>
      <c r="F44" s="9">
        <v>0.7425</v>
      </c>
      <c r="G44" s="9">
        <v>0.7425</v>
      </c>
      <c r="H44" s="9">
        <v>0.7425</v>
      </c>
      <c r="I44" s="9">
        <v>0.7425</v>
      </c>
      <c r="J44" s="9">
        <v>0.7425</v>
      </c>
      <c r="K44" s="9">
        <v>0.7425</v>
      </c>
      <c r="L44" s="9">
        <v>0.7425</v>
      </c>
      <c r="M44" s="9">
        <v>0.7425</v>
      </c>
      <c r="N44" s="9">
        <v>0.7425</v>
      </c>
      <c r="O44" s="9">
        <v>0.7425</v>
      </c>
      <c r="P44" s="9">
        <v>0.7425</v>
      </c>
      <c r="Q44" s="9">
        <v>0.7425</v>
      </c>
      <c r="R44" s="9">
        <v>0.7425</v>
      </c>
      <c r="S44" s="9">
        <v>0.7425</v>
      </c>
      <c r="T44" s="9">
        <v>0.7425</v>
      </c>
      <c r="U44" s="9">
        <v>0.7425</v>
      </c>
      <c r="V44" s="9">
        <v>0.7425</v>
      </c>
      <c r="W44" s="9">
        <v>0.7425</v>
      </c>
      <c r="X44" s="9">
        <v>0.7425</v>
      </c>
      <c r="Y44" s="9">
        <v>0.7112</v>
      </c>
      <c r="Z44" s="9">
        <v>0.7241</v>
      </c>
      <c r="AA44" s="9">
        <v>0.7131</v>
      </c>
      <c r="AB44" s="9">
        <v>0.7162</v>
      </c>
      <c r="AC44" s="9">
        <v>0.7193</v>
      </c>
      <c r="AD44" s="9">
        <v>0.7224</v>
      </c>
      <c r="AE44" s="9">
        <v>0.7113</v>
      </c>
      <c r="AF44" s="9">
        <v>0.7099</v>
      </c>
      <c r="AG44" s="9">
        <v>0.7107</v>
      </c>
      <c r="AH44" s="9">
        <v>0.6924</v>
      </c>
      <c r="AI44" s="9">
        <v>0.6947</v>
      </c>
      <c r="AJ44" s="9">
        <v>0.6759</v>
      </c>
      <c r="AK44" s="9">
        <v>0.6749</v>
      </c>
      <c r="AL44" s="9">
        <v>0.6767</v>
      </c>
      <c r="AM44" s="9">
        <v>0.6978</v>
      </c>
      <c r="AN44" s="9">
        <v>0.7046</v>
      </c>
      <c r="AO44" s="9">
        <v>0.7091</v>
      </c>
      <c r="AP44" s="9">
        <v>0.7348</v>
      </c>
      <c r="AQ44" s="9">
        <v>0.7282</v>
      </c>
      <c r="AR44" s="9">
        <v>0.7492</v>
      </c>
      <c r="AS44" s="9">
        <v>0.7252</v>
      </c>
      <c r="AT44" s="9">
        <v>0.7252</v>
      </c>
    </row>
    <row r="45" ht="14.25" customHeight="1">
      <c r="A45" s="2" t="s">
        <v>189</v>
      </c>
      <c r="B45" s="9">
        <v>0.73</v>
      </c>
      <c r="C45" s="9">
        <v>0.73</v>
      </c>
      <c r="D45" s="9">
        <v>0.73</v>
      </c>
      <c r="E45" s="9">
        <v>0.73</v>
      </c>
      <c r="F45" s="9">
        <v>0.73</v>
      </c>
      <c r="G45" s="9">
        <v>0.73</v>
      </c>
      <c r="H45" s="9">
        <v>0.73</v>
      </c>
      <c r="I45" s="9">
        <v>0.73</v>
      </c>
      <c r="J45" s="9">
        <v>0.73</v>
      </c>
      <c r="K45" s="9">
        <v>0.73</v>
      </c>
      <c r="L45" s="9">
        <v>0.73</v>
      </c>
      <c r="M45" s="9">
        <v>0.73</v>
      </c>
      <c r="N45" s="9">
        <v>0.73</v>
      </c>
      <c r="O45" s="9">
        <v>0.73</v>
      </c>
      <c r="P45" s="9">
        <v>0.73</v>
      </c>
      <c r="Q45" s="9">
        <v>0.73</v>
      </c>
      <c r="R45" s="9">
        <v>0.73</v>
      </c>
      <c r="S45" s="9">
        <v>0.73</v>
      </c>
      <c r="T45" s="9">
        <v>0.73</v>
      </c>
      <c r="U45" s="9">
        <v>0.73</v>
      </c>
      <c r="V45" s="9">
        <v>0.73</v>
      </c>
      <c r="W45" s="9">
        <v>0.73</v>
      </c>
      <c r="X45" s="9">
        <v>0.73</v>
      </c>
      <c r="Y45" s="9">
        <v>0.73</v>
      </c>
      <c r="Z45" s="9">
        <v>0.73</v>
      </c>
      <c r="AA45" s="9">
        <v>0.7182</v>
      </c>
      <c r="AB45" s="9">
        <v>0.7064</v>
      </c>
      <c r="AC45" s="9">
        <v>0.6946</v>
      </c>
      <c r="AD45" s="9">
        <v>0.6828</v>
      </c>
      <c r="AE45" s="9">
        <v>0.671</v>
      </c>
      <c r="AF45" s="9">
        <v>0.6592</v>
      </c>
      <c r="AG45" s="9">
        <v>0.6473</v>
      </c>
      <c r="AH45" s="9">
        <v>0.6355</v>
      </c>
      <c r="AI45" s="9">
        <v>0.6237</v>
      </c>
      <c r="AJ45" s="9">
        <v>0.6119</v>
      </c>
      <c r="AK45" s="9">
        <v>0.6119</v>
      </c>
      <c r="AL45" s="9">
        <v>0.6119</v>
      </c>
      <c r="AM45" s="9">
        <v>0.6119</v>
      </c>
      <c r="AN45" s="9">
        <v>0.6119</v>
      </c>
      <c r="AO45" s="9">
        <v>0.6119</v>
      </c>
      <c r="AP45" s="9">
        <v>0.6119</v>
      </c>
      <c r="AQ45" s="9">
        <v>0.6119</v>
      </c>
      <c r="AR45" s="9">
        <v>0.6119</v>
      </c>
      <c r="AS45" s="9">
        <v>0.6119</v>
      </c>
      <c r="AT45" s="9">
        <v>0.6119</v>
      </c>
    </row>
    <row r="46" ht="14.25" customHeight="1">
      <c r="A46" s="2" t="s">
        <v>190</v>
      </c>
      <c r="B46" s="9">
        <v>0.6413</v>
      </c>
      <c r="C46" s="9">
        <v>0.6413</v>
      </c>
      <c r="D46" s="9">
        <v>0.6413</v>
      </c>
      <c r="E46" s="9">
        <v>0.6413</v>
      </c>
      <c r="F46" s="9">
        <v>0.6413</v>
      </c>
      <c r="G46" s="9">
        <v>0.6413</v>
      </c>
      <c r="H46" s="9">
        <v>0.6413</v>
      </c>
      <c r="I46" s="9">
        <v>0.6413</v>
      </c>
      <c r="J46" s="9">
        <v>0.6413</v>
      </c>
      <c r="K46" s="9">
        <v>0.6413</v>
      </c>
      <c r="L46" s="9">
        <v>0.6413</v>
      </c>
      <c r="M46" s="9">
        <v>0.6413</v>
      </c>
      <c r="N46" s="9">
        <v>0.6413</v>
      </c>
      <c r="O46" s="9">
        <v>0.6413</v>
      </c>
      <c r="P46" s="9">
        <v>0.6413</v>
      </c>
      <c r="Q46" s="9">
        <v>0.6413</v>
      </c>
      <c r="R46" s="9">
        <v>0.6413</v>
      </c>
      <c r="S46" s="9">
        <v>0.6413</v>
      </c>
      <c r="T46" s="9">
        <v>0.6413</v>
      </c>
      <c r="U46" s="9">
        <v>0.6413</v>
      </c>
      <c r="V46" s="9">
        <v>0.6413</v>
      </c>
      <c r="W46" s="9">
        <v>0.6413</v>
      </c>
      <c r="X46" s="9">
        <v>0.6413</v>
      </c>
      <c r="Y46" s="9">
        <v>0.6413</v>
      </c>
      <c r="Z46" s="9">
        <v>0.6413</v>
      </c>
      <c r="AA46" s="9">
        <v>0.6413</v>
      </c>
      <c r="AB46" s="9">
        <v>0.6436</v>
      </c>
      <c r="AC46" s="9">
        <v>0.646</v>
      </c>
      <c r="AD46" s="9">
        <v>0.6483</v>
      </c>
      <c r="AE46" s="9">
        <v>0.6506</v>
      </c>
      <c r="AF46" s="9">
        <v>0.653</v>
      </c>
      <c r="AG46" s="9">
        <v>0.6553</v>
      </c>
      <c r="AH46" s="9">
        <v>0.6553</v>
      </c>
      <c r="AI46" s="9">
        <v>0.6553</v>
      </c>
      <c r="AJ46" s="9">
        <v>0.6553</v>
      </c>
      <c r="AK46" s="9">
        <v>0.6553</v>
      </c>
      <c r="AL46" s="9">
        <v>0.6553</v>
      </c>
      <c r="AM46" s="9">
        <v>0.6553</v>
      </c>
      <c r="AN46" s="9">
        <v>0.6553</v>
      </c>
      <c r="AO46" s="9">
        <v>0.6553</v>
      </c>
      <c r="AP46" s="9">
        <v>0.6553</v>
      </c>
      <c r="AQ46" s="9">
        <v>0.6553</v>
      </c>
      <c r="AR46" s="9">
        <v>0.6553</v>
      </c>
      <c r="AS46" s="9">
        <v>0.6553</v>
      </c>
      <c r="AT46" s="9">
        <v>0.6553</v>
      </c>
    </row>
    <row r="47" ht="14.25" customHeight="1">
      <c r="A47" s="2" t="s">
        <v>191</v>
      </c>
      <c r="B47" s="9">
        <v>0.6516</v>
      </c>
      <c r="C47" s="9">
        <v>0.6516</v>
      </c>
      <c r="D47" s="9">
        <v>0.6516</v>
      </c>
      <c r="E47" s="9">
        <v>0.6516</v>
      </c>
      <c r="F47" s="9">
        <v>0.6516</v>
      </c>
      <c r="G47" s="9">
        <v>0.6516</v>
      </c>
      <c r="H47" s="9">
        <v>0.6516</v>
      </c>
      <c r="I47" s="9">
        <v>0.6516</v>
      </c>
      <c r="J47" s="9">
        <v>0.6516</v>
      </c>
      <c r="K47" s="9">
        <v>0.6516</v>
      </c>
      <c r="L47" s="9">
        <v>0.6516</v>
      </c>
      <c r="M47" s="9">
        <v>0.6516</v>
      </c>
      <c r="N47" s="9">
        <v>0.6516</v>
      </c>
      <c r="O47" s="9">
        <v>0.6516</v>
      </c>
      <c r="P47" s="9">
        <v>0.6516</v>
      </c>
      <c r="Q47" s="9">
        <v>0.6516</v>
      </c>
      <c r="R47" s="9">
        <v>0.6516</v>
      </c>
      <c r="S47" s="9">
        <v>0.6516</v>
      </c>
      <c r="T47" s="9">
        <v>0.6516</v>
      </c>
      <c r="U47" s="9">
        <v>0.6516</v>
      </c>
      <c r="V47" s="9">
        <v>0.6516</v>
      </c>
      <c r="W47" s="9">
        <v>0.6516</v>
      </c>
      <c r="X47" s="9">
        <v>0.6516</v>
      </c>
      <c r="Y47" s="9">
        <v>0.6516</v>
      </c>
      <c r="Z47" s="9">
        <v>0.6516</v>
      </c>
      <c r="AA47" s="9">
        <v>0.6516</v>
      </c>
      <c r="AB47" s="9">
        <v>0.6516</v>
      </c>
      <c r="AC47" s="9">
        <v>0.6516</v>
      </c>
      <c r="AD47" s="9">
        <v>0.6516</v>
      </c>
      <c r="AE47" s="9">
        <v>0.6516</v>
      </c>
      <c r="AF47" s="9">
        <v>0.6516</v>
      </c>
      <c r="AG47" s="9">
        <v>0.6558</v>
      </c>
      <c r="AH47" s="9">
        <v>0.6521</v>
      </c>
      <c r="AI47" s="9">
        <v>0.6692</v>
      </c>
      <c r="AJ47" s="9">
        <v>0.668</v>
      </c>
      <c r="AK47" s="9">
        <v>0.6741</v>
      </c>
      <c r="AL47" s="9">
        <v>0.6795</v>
      </c>
      <c r="AM47" s="9">
        <v>0.668</v>
      </c>
      <c r="AN47" s="9">
        <v>0.6695</v>
      </c>
      <c r="AO47" s="9">
        <v>0.6904</v>
      </c>
      <c r="AP47" s="9">
        <v>0.7167</v>
      </c>
      <c r="AQ47" s="9">
        <v>0.7081</v>
      </c>
      <c r="AR47" s="9">
        <v>0.6535</v>
      </c>
      <c r="AS47" s="9">
        <v>0.649</v>
      </c>
      <c r="AT47" s="9">
        <v>0.649</v>
      </c>
    </row>
    <row r="48" ht="14.25" customHeight="1">
      <c r="A48" s="2" t="s">
        <v>408</v>
      </c>
      <c r="B48" s="9">
        <v>0.6275</v>
      </c>
      <c r="C48" s="9">
        <v>0.6275</v>
      </c>
      <c r="D48" s="9">
        <v>0.6275</v>
      </c>
      <c r="E48" s="9">
        <v>0.6275</v>
      </c>
      <c r="F48" s="9">
        <v>0.6275</v>
      </c>
      <c r="G48" s="9">
        <v>0.6275</v>
      </c>
      <c r="H48" s="9">
        <v>0.5565</v>
      </c>
      <c r="I48" s="9">
        <v>0.5828</v>
      </c>
      <c r="J48" s="9">
        <v>0.5453</v>
      </c>
      <c r="K48" s="9">
        <v>0.5495</v>
      </c>
      <c r="L48" s="9">
        <v>0.5537</v>
      </c>
      <c r="M48" s="9">
        <v>0.5579</v>
      </c>
      <c r="N48" s="9">
        <v>0.5622</v>
      </c>
      <c r="O48" s="9">
        <v>0.5701</v>
      </c>
      <c r="P48" s="9">
        <v>0.578</v>
      </c>
      <c r="Q48" s="9">
        <v>0.5859</v>
      </c>
      <c r="R48" s="9">
        <v>0.578</v>
      </c>
      <c r="S48" s="9">
        <v>0.5702</v>
      </c>
      <c r="T48" s="9">
        <v>0.5623</v>
      </c>
      <c r="U48" s="9">
        <v>0.5695</v>
      </c>
      <c r="V48" s="9">
        <v>0.5767</v>
      </c>
      <c r="W48" s="9">
        <v>0.5839</v>
      </c>
      <c r="X48" s="9">
        <v>0.5911</v>
      </c>
      <c r="Y48" s="9">
        <v>0.5922</v>
      </c>
      <c r="Z48" s="9">
        <v>0.5934</v>
      </c>
      <c r="AA48" s="9">
        <v>0.5945</v>
      </c>
      <c r="AB48" s="9">
        <v>0.5957</v>
      </c>
      <c r="AC48" s="9">
        <v>0.5969</v>
      </c>
      <c r="AD48" s="9">
        <v>0.598</v>
      </c>
      <c r="AE48" s="9">
        <v>0.5964</v>
      </c>
      <c r="AF48" s="9">
        <v>0.5947</v>
      </c>
      <c r="AG48" s="9">
        <v>0.5931</v>
      </c>
      <c r="AH48" s="9">
        <v>0.5915</v>
      </c>
      <c r="AI48" s="9">
        <v>0.5898</v>
      </c>
      <c r="AJ48" s="9">
        <v>0.5882</v>
      </c>
      <c r="AK48" s="9">
        <v>0.5865</v>
      </c>
      <c r="AL48" s="9">
        <v>0.574</v>
      </c>
      <c r="AM48" s="9">
        <v>0.5614</v>
      </c>
      <c r="AN48" s="9">
        <v>0.5488</v>
      </c>
      <c r="AO48" s="9">
        <v>0.5436</v>
      </c>
      <c r="AP48" s="9">
        <v>0.5383</v>
      </c>
      <c r="AQ48" s="9">
        <v>0.5331</v>
      </c>
      <c r="AR48" s="9">
        <v>0.5331</v>
      </c>
      <c r="AS48" s="9">
        <v>0.5331</v>
      </c>
      <c r="AT48" s="9">
        <v>0.5331</v>
      </c>
    </row>
    <row r="49" ht="14.25" customHeight="1">
      <c r="A49" s="2" t="s">
        <v>193</v>
      </c>
      <c r="B49" s="9">
        <v>0.3983</v>
      </c>
      <c r="C49" s="9">
        <v>0.3983</v>
      </c>
      <c r="D49" s="9">
        <v>0.3983</v>
      </c>
      <c r="E49" s="9">
        <v>0.3983</v>
      </c>
      <c r="F49" s="9">
        <v>0.4016</v>
      </c>
      <c r="G49" s="9">
        <v>0.4043</v>
      </c>
      <c r="H49" s="9">
        <v>0.4098</v>
      </c>
      <c r="I49" s="9">
        <v>0.3872</v>
      </c>
      <c r="J49" s="9">
        <v>0.3889</v>
      </c>
      <c r="K49" s="9">
        <v>0.4376</v>
      </c>
      <c r="L49" s="9">
        <v>0.4357</v>
      </c>
      <c r="M49" s="9">
        <v>0.4385</v>
      </c>
      <c r="N49" s="9">
        <v>0.4438</v>
      </c>
      <c r="O49" s="9">
        <v>0.4471</v>
      </c>
      <c r="P49" s="9">
        <v>0.4512</v>
      </c>
      <c r="Q49" s="9">
        <v>0.4514</v>
      </c>
      <c r="R49" s="9">
        <v>0.4487</v>
      </c>
      <c r="S49" s="9">
        <v>0.4536</v>
      </c>
      <c r="T49" s="9">
        <v>0.4638</v>
      </c>
      <c r="U49" s="9">
        <v>0.4719</v>
      </c>
      <c r="V49" s="9">
        <v>0.4547</v>
      </c>
      <c r="W49" s="9">
        <v>0.4556</v>
      </c>
      <c r="X49" s="9">
        <v>0.4421</v>
      </c>
      <c r="Y49" s="9">
        <v>0.4355</v>
      </c>
      <c r="Z49" s="9">
        <v>0.445</v>
      </c>
      <c r="AA49" s="9">
        <v>0.4571</v>
      </c>
      <c r="AB49" s="9">
        <v>0.4552</v>
      </c>
      <c r="AC49" s="9">
        <v>0.4669</v>
      </c>
      <c r="AD49" s="9">
        <v>0.465</v>
      </c>
      <c r="AE49" s="9">
        <v>0.456</v>
      </c>
      <c r="AF49" s="9">
        <v>0.4577</v>
      </c>
      <c r="AG49" s="9">
        <v>0.4678</v>
      </c>
      <c r="AH49" s="9">
        <v>0.4655</v>
      </c>
      <c r="AI49" s="9">
        <v>0.4609</v>
      </c>
      <c r="AJ49" s="9">
        <v>0.4666</v>
      </c>
      <c r="AK49" s="9">
        <v>0.4658</v>
      </c>
      <c r="AL49" s="9">
        <v>0.4556</v>
      </c>
      <c r="AM49" s="9">
        <v>0.459</v>
      </c>
      <c r="AN49" s="9">
        <v>0.4612</v>
      </c>
      <c r="AO49" s="9">
        <v>0.4596</v>
      </c>
      <c r="AP49" s="9">
        <v>0.4596</v>
      </c>
      <c r="AQ49" s="9">
        <v>0.4611</v>
      </c>
      <c r="AR49" s="9">
        <v>0.4606</v>
      </c>
      <c r="AS49" s="9">
        <v>0.461</v>
      </c>
      <c r="AT49" s="9">
        <v>0.461</v>
      </c>
    </row>
    <row r="50" ht="14.25" customHeight="1">
      <c r="A50" s="2" t="s">
        <v>194</v>
      </c>
      <c r="B50" s="9">
        <v>0.6427</v>
      </c>
      <c r="C50" s="9">
        <v>0.6427</v>
      </c>
      <c r="D50" s="9">
        <v>0.6427</v>
      </c>
      <c r="E50" s="9">
        <v>0.6427</v>
      </c>
      <c r="F50" s="9">
        <v>0.6427</v>
      </c>
      <c r="G50" s="9">
        <v>0.6427</v>
      </c>
      <c r="H50" s="9">
        <v>0.6427</v>
      </c>
      <c r="I50" s="9">
        <v>0.6427</v>
      </c>
      <c r="J50" s="9">
        <v>0.6427</v>
      </c>
      <c r="K50" s="9">
        <v>0.6427</v>
      </c>
      <c r="L50" s="9">
        <v>0.6427</v>
      </c>
      <c r="M50" s="9">
        <v>0.6427</v>
      </c>
      <c r="N50" s="9">
        <v>0.6427</v>
      </c>
      <c r="O50" s="9">
        <v>0.6427</v>
      </c>
      <c r="P50" s="9">
        <v>0.6427</v>
      </c>
      <c r="Q50" s="9">
        <v>0.6427</v>
      </c>
      <c r="R50" s="9">
        <v>0.6427</v>
      </c>
      <c r="S50" s="9">
        <v>0.6427</v>
      </c>
      <c r="T50" s="9">
        <v>0.6427</v>
      </c>
      <c r="U50" s="9">
        <v>0.6427</v>
      </c>
      <c r="V50" s="9">
        <v>0.6427</v>
      </c>
      <c r="W50" s="9">
        <v>0.6535</v>
      </c>
      <c r="X50" s="9">
        <v>0.6534</v>
      </c>
      <c r="Y50" s="9">
        <v>0.642</v>
      </c>
      <c r="Z50" s="9">
        <v>0.6343</v>
      </c>
      <c r="AA50" s="9">
        <v>0.6214</v>
      </c>
      <c r="AB50" s="9">
        <v>0.6093</v>
      </c>
      <c r="AC50" s="9">
        <v>0.6296</v>
      </c>
      <c r="AD50" s="9">
        <v>0.6046</v>
      </c>
      <c r="AE50" s="9">
        <v>0.5991</v>
      </c>
      <c r="AF50" s="9">
        <v>0.5982</v>
      </c>
      <c r="AG50" s="9">
        <v>0.5719</v>
      </c>
      <c r="AH50" s="9">
        <v>0.5671</v>
      </c>
      <c r="AI50" s="9">
        <v>0.5633</v>
      </c>
      <c r="AJ50" s="9">
        <v>0.5634</v>
      </c>
      <c r="AK50" s="9">
        <v>0.5615</v>
      </c>
      <c r="AL50" s="9">
        <v>0.5614</v>
      </c>
      <c r="AM50" s="9">
        <v>0.5673</v>
      </c>
      <c r="AN50" s="9">
        <v>0.5728</v>
      </c>
      <c r="AO50" s="9">
        <v>0.5784</v>
      </c>
      <c r="AP50" s="9">
        <v>0.6007</v>
      </c>
      <c r="AQ50" s="9">
        <v>0.5925</v>
      </c>
      <c r="AR50" s="9">
        <v>0.5809</v>
      </c>
      <c r="AS50" s="9">
        <v>0.5928</v>
      </c>
      <c r="AT50" s="9">
        <v>0.5928</v>
      </c>
    </row>
    <row r="51" ht="14.25" customHeight="1">
      <c r="A51" s="2" t="s">
        <v>195</v>
      </c>
      <c r="B51" s="9">
        <v>0.6852</v>
      </c>
      <c r="C51" s="9">
        <v>0.6854</v>
      </c>
      <c r="D51" s="9">
        <v>0.6857</v>
      </c>
      <c r="E51" s="9">
        <v>0.6859</v>
      </c>
      <c r="F51" s="9">
        <v>0.6861</v>
      </c>
      <c r="G51" s="9">
        <v>0.6863</v>
      </c>
      <c r="H51" s="9">
        <v>0.6866</v>
      </c>
      <c r="I51" s="9">
        <v>0.6868</v>
      </c>
      <c r="J51" s="9">
        <v>0.6871</v>
      </c>
      <c r="K51" s="9">
        <v>0.6877</v>
      </c>
      <c r="L51" s="9">
        <v>0.6879</v>
      </c>
      <c r="M51" s="9">
        <v>0.6868</v>
      </c>
      <c r="N51" s="9">
        <v>0.6859</v>
      </c>
      <c r="O51" s="9">
        <v>0.6851</v>
      </c>
      <c r="P51" s="9">
        <v>0.6842</v>
      </c>
      <c r="Q51" s="9">
        <v>0.6834</v>
      </c>
      <c r="R51" s="9">
        <v>0.6826</v>
      </c>
      <c r="S51" s="9">
        <v>0.6818</v>
      </c>
      <c r="T51" s="9">
        <v>0.681</v>
      </c>
      <c r="U51" s="9">
        <v>0.6802</v>
      </c>
      <c r="V51" s="9">
        <v>0.6794</v>
      </c>
      <c r="W51" s="9">
        <v>0.6781</v>
      </c>
      <c r="X51" s="9">
        <v>0.6768</v>
      </c>
      <c r="Y51" s="9">
        <v>0.6756</v>
      </c>
      <c r="Z51" s="9">
        <v>0.6745</v>
      </c>
      <c r="AA51" s="9">
        <v>0.6734</v>
      </c>
      <c r="AB51" s="9">
        <v>0.6724</v>
      </c>
      <c r="AC51" s="9">
        <v>0.6714</v>
      </c>
      <c r="AD51" s="9">
        <v>0.6704</v>
      </c>
      <c r="AE51" s="9">
        <v>0.6695</v>
      </c>
      <c r="AF51" s="9">
        <v>0.6687</v>
      </c>
      <c r="AG51" s="9">
        <v>0.6601</v>
      </c>
      <c r="AH51" s="9">
        <v>0.6516</v>
      </c>
      <c r="AI51" s="9">
        <v>0.6431</v>
      </c>
      <c r="AJ51" s="9">
        <v>0.6347</v>
      </c>
      <c r="AK51" s="9">
        <v>0.6264</v>
      </c>
      <c r="AL51" s="9">
        <v>0.6182</v>
      </c>
      <c r="AM51" s="9">
        <v>0.6099</v>
      </c>
      <c r="AN51" s="9">
        <v>0.6018</v>
      </c>
      <c r="AO51" s="9">
        <v>0.5937</v>
      </c>
      <c r="AP51" s="9">
        <v>0.5868</v>
      </c>
      <c r="AQ51" s="9">
        <v>0.5868</v>
      </c>
      <c r="AR51" s="9">
        <v>0.5868</v>
      </c>
      <c r="AS51" s="9">
        <v>0.5868</v>
      </c>
      <c r="AT51" s="9">
        <v>0.5868</v>
      </c>
    </row>
    <row r="52" ht="14.25" customHeight="1">
      <c r="A52" s="2" t="s">
        <v>196</v>
      </c>
      <c r="B52" s="9">
        <v>0.4842</v>
      </c>
      <c r="C52" s="9">
        <v>0.4835</v>
      </c>
      <c r="D52" s="9">
        <v>0.4831</v>
      </c>
      <c r="E52" s="9">
        <v>0.4822</v>
      </c>
      <c r="F52" s="9">
        <v>0.4819</v>
      </c>
      <c r="G52" s="9">
        <v>0.4822</v>
      </c>
      <c r="H52" s="9">
        <v>0.4837</v>
      </c>
      <c r="I52" s="9">
        <v>0.4834</v>
      </c>
      <c r="J52" s="9">
        <v>0.4837</v>
      </c>
      <c r="K52" s="9">
        <v>0.4847</v>
      </c>
      <c r="L52" s="9">
        <v>0.4831</v>
      </c>
      <c r="M52" s="9">
        <v>0.4801</v>
      </c>
      <c r="N52" s="9">
        <v>0.4769</v>
      </c>
      <c r="O52" s="9">
        <v>0.4756</v>
      </c>
      <c r="P52" s="9">
        <v>0.4747</v>
      </c>
      <c r="Q52" s="9">
        <v>0.4738</v>
      </c>
      <c r="R52" s="9">
        <v>0.4699</v>
      </c>
      <c r="S52" s="9">
        <v>0.4607</v>
      </c>
      <c r="T52" s="9">
        <v>0.5022</v>
      </c>
      <c r="U52" s="9">
        <v>0.4674</v>
      </c>
      <c r="V52" s="9">
        <v>0.4563</v>
      </c>
      <c r="W52" s="9">
        <v>0.4663</v>
      </c>
      <c r="X52" s="9">
        <v>0.482</v>
      </c>
      <c r="Y52" s="9">
        <v>0.4686</v>
      </c>
      <c r="Z52" s="9">
        <v>0.4221</v>
      </c>
      <c r="AA52" s="9">
        <v>0.4137</v>
      </c>
      <c r="AB52" s="9">
        <v>0.4306</v>
      </c>
      <c r="AC52" s="9">
        <v>0.4169</v>
      </c>
      <c r="AD52" s="9">
        <v>0.448</v>
      </c>
      <c r="AE52" s="9">
        <v>0.4574</v>
      </c>
      <c r="AF52" s="9">
        <v>0.4478</v>
      </c>
      <c r="AG52" s="9">
        <v>0.4869</v>
      </c>
      <c r="AH52" s="9">
        <v>0.4941</v>
      </c>
      <c r="AI52" s="9">
        <v>0.5284</v>
      </c>
      <c r="AJ52" s="9">
        <v>0.4994</v>
      </c>
      <c r="AK52" s="9">
        <v>0.4973</v>
      </c>
      <c r="AL52" s="9">
        <v>0.4753</v>
      </c>
      <c r="AM52" s="9">
        <v>0.4605</v>
      </c>
      <c r="AN52" s="9">
        <v>0.47</v>
      </c>
      <c r="AO52" s="9">
        <v>0.4341</v>
      </c>
      <c r="AP52" s="9">
        <v>0.4341</v>
      </c>
      <c r="AQ52" s="9">
        <v>0.4314</v>
      </c>
      <c r="AR52" s="9">
        <v>0.4264</v>
      </c>
      <c r="AS52" s="9">
        <v>0.4184</v>
      </c>
      <c r="AT52" s="9">
        <v>0.4184</v>
      </c>
    </row>
    <row r="53" ht="14.25" customHeight="1">
      <c r="A53" s="2" t="s">
        <v>197</v>
      </c>
      <c r="B53" s="9">
        <v>0.2174</v>
      </c>
      <c r="C53" s="9">
        <v>0.2136</v>
      </c>
      <c r="D53" s="9">
        <v>0.2095</v>
      </c>
      <c r="E53" s="9">
        <v>0.2086</v>
      </c>
      <c r="F53" s="9">
        <v>0.2063</v>
      </c>
      <c r="G53" s="9">
        <v>0.2054</v>
      </c>
      <c r="H53" s="9">
        <v>0.2066</v>
      </c>
      <c r="I53" s="9">
        <v>0.2091</v>
      </c>
      <c r="J53" s="9">
        <v>0.2097</v>
      </c>
      <c r="K53" s="9">
        <v>0.216</v>
      </c>
      <c r="L53" s="9">
        <v>0.2274</v>
      </c>
      <c r="M53" s="9">
        <v>0.2574</v>
      </c>
      <c r="N53" s="9">
        <v>0.2877</v>
      </c>
      <c r="O53" s="9">
        <v>0.3178</v>
      </c>
      <c r="P53" s="9">
        <v>0.3425</v>
      </c>
      <c r="Q53" s="9">
        <v>0.3415</v>
      </c>
      <c r="R53" s="9">
        <v>0.3451</v>
      </c>
      <c r="S53" s="9">
        <v>0.3333</v>
      </c>
      <c r="T53" s="9">
        <v>0.3507</v>
      </c>
      <c r="U53" s="9">
        <v>0.3479</v>
      </c>
      <c r="V53" s="9">
        <v>0.3406</v>
      </c>
      <c r="W53" s="9">
        <v>0.3424</v>
      </c>
      <c r="X53" s="9">
        <v>0.338</v>
      </c>
      <c r="Y53" s="9">
        <v>0.3436</v>
      </c>
      <c r="Z53" s="9">
        <v>0.3545</v>
      </c>
      <c r="AA53" s="9">
        <v>0.3531</v>
      </c>
      <c r="AB53" s="9">
        <v>0.3615</v>
      </c>
      <c r="AC53" s="9">
        <v>0.3575</v>
      </c>
      <c r="AD53" s="9">
        <v>0.3718</v>
      </c>
      <c r="AE53" s="9">
        <v>0.3485</v>
      </c>
      <c r="AF53" s="9">
        <v>0.3552</v>
      </c>
      <c r="AG53" s="9">
        <v>0.342</v>
      </c>
      <c r="AH53" s="9">
        <v>0.3565</v>
      </c>
      <c r="AI53" s="9">
        <v>0.3425</v>
      </c>
      <c r="AJ53" s="9">
        <v>0.3588</v>
      </c>
      <c r="AK53" s="9">
        <v>0.3651</v>
      </c>
      <c r="AL53" s="9">
        <v>0.3428</v>
      </c>
      <c r="AM53" s="9">
        <v>0.3434</v>
      </c>
      <c r="AN53" s="9">
        <v>0.3388</v>
      </c>
      <c r="AO53" s="9">
        <v>0.3395</v>
      </c>
      <c r="AP53" s="9">
        <v>0.3395</v>
      </c>
      <c r="AQ53" s="9">
        <v>0.3391</v>
      </c>
      <c r="AR53" s="9">
        <v>0.3394</v>
      </c>
      <c r="AS53" s="9">
        <v>0.3366</v>
      </c>
      <c r="AT53" s="9">
        <v>0.3366</v>
      </c>
    </row>
    <row r="54" ht="14.25" customHeight="1">
      <c r="A54" s="2" t="s">
        <v>198</v>
      </c>
      <c r="B54" s="9">
        <v>0.5904</v>
      </c>
      <c r="C54" s="9">
        <v>0.5904</v>
      </c>
      <c r="D54" s="9">
        <v>0.5904</v>
      </c>
      <c r="E54" s="9">
        <v>0.5904</v>
      </c>
      <c r="F54" s="9">
        <v>0.5904</v>
      </c>
      <c r="G54" s="9">
        <v>0.5904</v>
      </c>
      <c r="H54" s="9">
        <v>0.5904</v>
      </c>
      <c r="I54" s="9">
        <v>0.5904</v>
      </c>
      <c r="J54" s="9">
        <v>0.5904</v>
      </c>
      <c r="K54" s="9">
        <v>0.5904</v>
      </c>
      <c r="L54" s="9">
        <v>0.5904</v>
      </c>
      <c r="M54" s="9">
        <v>0.5904</v>
      </c>
      <c r="N54" s="9">
        <v>0.5904</v>
      </c>
      <c r="O54" s="9">
        <v>0.5904</v>
      </c>
      <c r="P54" s="9">
        <v>0.5904</v>
      </c>
      <c r="Q54" s="9">
        <v>0.5904</v>
      </c>
      <c r="R54" s="9">
        <v>0.5904</v>
      </c>
      <c r="S54" s="9">
        <v>0.5904</v>
      </c>
      <c r="T54" s="9">
        <v>0.5904</v>
      </c>
      <c r="U54" s="9">
        <v>0.5904</v>
      </c>
      <c r="V54" s="9">
        <v>0.5904</v>
      </c>
      <c r="W54" s="9">
        <v>0.5904</v>
      </c>
      <c r="X54" s="9">
        <v>0.5904</v>
      </c>
      <c r="Y54" s="9">
        <v>0.5904</v>
      </c>
      <c r="Z54" s="9">
        <v>0.5904</v>
      </c>
      <c r="AA54" s="9">
        <v>0.5903</v>
      </c>
      <c r="AB54" s="9">
        <v>0.5902</v>
      </c>
      <c r="AC54" s="9">
        <v>0.5901</v>
      </c>
      <c r="AD54" s="9">
        <v>0.5901</v>
      </c>
      <c r="AE54" s="9">
        <v>0.59</v>
      </c>
      <c r="AF54" s="9">
        <v>0.5899</v>
      </c>
      <c r="AG54" s="9">
        <v>0.5899</v>
      </c>
      <c r="AH54" s="9">
        <v>0.5898</v>
      </c>
      <c r="AI54" s="9">
        <v>0.5943</v>
      </c>
      <c r="AJ54" s="9">
        <v>0.5987</v>
      </c>
      <c r="AK54" s="9">
        <v>0.6032</v>
      </c>
      <c r="AL54" s="9">
        <v>0.6077</v>
      </c>
      <c r="AM54" s="9">
        <v>0.6122</v>
      </c>
      <c r="AN54" s="9">
        <v>0.6167</v>
      </c>
      <c r="AO54" s="9">
        <v>0.6212</v>
      </c>
      <c r="AP54" s="9">
        <v>0.6257</v>
      </c>
      <c r="AQ54" s="9">
        <v>0.6257</v>
      </c>
      <c r="AR54" s="9">
        <v>0.6257</v>
      </c>
      <c r="AS54" s="9">
        <v>0.6257</v>
      </c>
      <c r="AT54" s="9">
        <v>0.6257</v>
      </c>
    </row>
    <row r="55" ht="14.25" customHeight="1">
      <c r="A55" s="2" t="s">
        <v>199</v>
      </c>
      <c r="B55" s="9">
        <v>0.3424</v>
      </c>
      <c r="C55" s="9">
        <v>0.3457</v>
      </c>
      <c r="D55" s="9">
        <v>0.3476</v>
      </c>
      <c r="E55" s="9">
        <v>0.3538</v>
      </c>
      <c r="F55" s="9">
        <v>0.3561</v>
      </c>
      <c r="G55" s="9">
        <v>0.363</v>
      </c>
      <c r="H55" s="9">
        <v>0.3453</v>
      </c>
      <c r="I55" s="9">
        <v>0.3596</v>
      </c>
      <c r="J55" s="9">
        <v>0.3506</v>
      </c>
      <c r="K55" s="9">
        <v>0.3517</v>
      </c>
      <c r="L55" s="9">
        <v>0.3528</v>
      </c>
      <c r="M55" s="9">
        <v>0.3492</v>
      </c>
      <c r="N55" s="9">
        <v>0.3516</v>
      </c>
      <c r="O55" s="9">
        <v>0.3498</v>
      </c>
      <c r="P55" s="9">
        <v>0.3542</v>
      </c>
      <c r="Q55" s="9">
        <v>0.352</v>
      </c>
      <c r="R55" s="9">
        <v>0.3547</v>
      </c>
      <c r="S55" s="9">
        <v>0.3659</v>
      </c>
      <c r="T55" s="9">
        <v>0.365</v>
      </c>
      <c r="U55" s="9">
        <v>0.3773</v>
      </c>
      <c r="V55" s="9">
        <v>0.3808</v>
      </c>
      <c r="W55" s="9">
        <v>0.3664</v>
      </c>
      <c r="X55" s="9">
        <v>0.3621</v>
      </c>
      <c r="Y55" s="9">
        <v>0.3507</v>
      </c>
      <c r="Z55" s="9">
        <v>0.3596</v>
      </c>
      <c r="AA55" s="9">
        <v>0.3725</v>
      </c>
      <c r="AB55" s="9">
        <v>0.3778</v>
      </c>
      <c r="AC55" s="9">
        <v>0.3739</v>
      </c>
      <c r="AD55" s="9">
        <v>0.379</v>
      </c>
      <c r="AE55" s="9">
        <v>0.3706</v>
      </c>
      <c r="AF55" s="9">
        <v>0.3933</v>
      </c>
      <c r="AG55" s="9">
        <v>0.3968</v>
      </c>
      <c r="AH55" s="9">
        <v>0.4047</v>
      </c>
      <c r="AI55" s="9">
        <v>0.4198</v>
      </c>
      <c r="AJ55" s="9">
        <v>0.4205</v>
      </c>
      <c r="AK55" s="9">
        <v>0.4174</v>
      </c>
      <c r="AL55" s="9">
        <v>0.4234</v>
      </c>
      <c r="AM55" s="9">
        <v>0.4233</v>
      </c>
      <c r="AN55" s="9">
        <v>0.4229</v>
      </c>
      <c r="AO55" s="9">
        <v>0.4205</v>
      </c>
      <c r="AP55" s="9">
        <v>0.4205</v>
      </c>
      <c r="AQ55" s="9">
        <v>0.4222</v>
      </c>
      <c r="AR55" s="9">
        <v>0.4227</v>
      </c>
      <c r="AS55" s="9">
        <v>0.4211</v>
      </c>
      <c r="AT55" s="9">
        <v>0.4211</v>
      </c>
    </row>
    <row r="56" ht="14.25" customHeight="1">
      <c r="A56" s="2" t="s">
        <v>200</v>
      </c>
      <c r="B56" s="9">
        <v>0.5754</v>
      </c>
      <c r="C56" s="9">
        <v>0.5754</v>
      </c>
      <c r="D56" s="9">
        <v>0.5754</v>
      </c>
      <c r="E56" s="9">
        <v>0.5754</v>
      </c>
      <c r="F56" s="9">
        <v>0.5754</v>
      </c>
      <c r="G56" s="9">
        <v>0.5754</v>
      </c>
      <c r="H56" s="9">
        <v>0.5754</v>
      </c>
      <c r="I56" s="9">
        <v>0.5754</v>
      </c>
      <c r="J56" s="9">
        <v>0.5754</v>
      </c>
      <c r="K56" s="9">
        <v>0.5754</v>
      </c>
      <c r="L56" s="9">
        <v>0.5754</v>
      </c>
      <c r="M56" s="9">
        <v>0.5754</v>
      </c>
      <c r="N56" s="9">
        <v>0.5754</v>
      </c>
      <c r="O56" s="9">
        <v>0.5754</v>
      </c>
      <c r="P56" s="9">
        <v>0.5754</v>
      </c>
      <c r="Q56" s="9">
        <v>0.5754</v>
      </c>
      <c r="R56" s="9">
        <v>0.5754</v>
      </c>
      <c r="S56" s="9">
        <v>0.5754</v>
      </c>
      <c r="T56" s="9">
        <v>0.5754</v>
      </c>
      <c r="U56" s="9">
        <v>0.5754</v>
      </c>
      <c r="V56" s="9">
        <v>0.5754</v>
      </c>
      <c r="W56" s="9">
        <v>0.5754</v>
      </c>
      <c r="X56" s="9">
        <v>0.5754</v>
      </c>
      <c r="Y56" s="9">
        <v>0.5796</v>
      </c>
      <c r="Z56" s="9">
        <v>0.5837</v>
      </c>
      <c r="AA56" s="9">
        <v>0.5879</v>
      </c>
      <c r="AB56" s="9">
        <v>0.592</v>
      </c>
      <c r="AC56" s="9">
        <v>0.5962</v>
      </c>
      <c r="AD56" s="9">
        <v>0.6003</v>
      </c>
      <c r="AE56" s="9">
        <v>0.6045</v>
      </c>
      <c r="AF56" s="9">
        <v>0.6086</v>
      </c>
      <c r="AG56" s="9">
        <v>0.6128</v>
      </c>
      <c r="AH56" s="9">
        <v>0.6169</v>
      </c>
      <c r="AI56" s="9">
        <v>0.6102</v>
      </c>
      <c r="AJ56" s="9">
        <v>0.6049</v>
      </c>
      <c r="AK56" s="9">
        <v>0.5996</v>
      </c>
      <c r="AL56" s="9">
        <v>0.5943</v>
      </c>
      <c r="AM56" s="9">
        <v>0.589</v>
      </c>
      <c r="AN56" s="9">
        <v>0.589</v>
      </c>
      <c r="AO56" s="9">
        <v>0.589</v>
      </c>
      <c r="AP56" s="9">
        <v>0.589</v>
      </c>
      <c r="AQ56" s="9">
        <v>0.589</v>
      </c>
      <c r="AR56" s="9">
        <v>0.589</v>
      </c>
      <c r="AS56" s="9">
        <v>0.589</v>
      </c>
      <c r="AT56" s="9">
        <v>0.589</v>
      </c>
    </row>
    <row r="57" ht="14.25" customHeight="1">
      <c r="A57" s="2" t="s">
        <v>201</v>
      </c>
      <c r="B57" s="9">
        <v>0.6852</v>
      </c>
      <c r="C57" s="9">
        <v>0.6854</v>
      </c>
      <c r="D57" s="9">
        <v>0.6857</v>
      </c>
      <c r="E57" s="9">
        <v>0.6859</v>
      </c>
      <c r="F57" s="9">
        <v>0.6861</v>
      </c>
      <c r="G57" s="9">
        <v>0.6863</v>
      </c>
      <c r="H57" s="9">
        <v>0.6866</v>
      </c>
      <c r="I57" s="9">
        <v>0.6868</v>
      </c>
      <c r="J57" s="9">
        <v>0.6871</v>
      </c>
      <c r="K57" s="9">
        <v>0.6877</v>
      </c>
      <c r="L57" s="9">
        <v>0.6879</v>
      </c>
      <c r="M57" s="9">
        <v>0.6868</v>
      </c>
      <c r="N57" s="9">
        <v>0.6859</v>
      </c>
      <c r="O57" s="9">
        <v>0.6851</v>
      </c>
      <c r="P57" s="9">
        <v>0.6842</v>
      </c>
      <c r="Q57" s="9">
        <v>0.6834</v>
      </c>
      <c r="R57" s="9">
        <v>0.6826</v>
      </c>
      <c r="S57" s="9">
        <v>0.6818</v>
      </c>
      <c r="T57" s="9">
        <v>0.681</v>
      </c>
      <c r="U57" s="9">
        <v>0.6802</v>
      </c>
      <c r="V57" s="9">
        <v>0.6794</v>
      </c>
      <c r="W57" s="9">
        <v>0.6781</v>
      </c>
      <c r="X57" s="9">
        <v>0.6768</v>
      </c>
      <c r="Y57" s="9">
        <v>0.6756</v>
      </c>
      <c r="Z57" s="9">
        <v>0.6745</v>
      </c>
      <c r="AA57" s="9">
        <v>0.6734</v>
      </c>
      <c r="AB57" s="9">
        <v>0.6724</v>
      </c>
      <c r="AC57" s="9">
        <v>0.6714</v>
      </c>
      <c r="AD57" s="9">
        <v>0.6704</v>
      </c>
      <c r="AE57" s="9">
        <v>0.6695</v>
      </c>
      <c r="AF57" s="9">
        <v>0.6687</v>
      </c>
      <c r="AG57" s="9">
        <v>0.6601</v>
      </c>
      <c r="AH57" s="9">
        <v>0.6516</v>
      </c>
      <c r="AI57" s="9">
        <v>0.6431</v>
      </c>
      <c r="AJ57" s="9">
        <v>0.6347</v>
      </c>
      <c r="AK57" s="9">
        <v>0.6264</v>
      </c>
      <c r="AL57" s="9">
        <v>0.6182</v>
      </c>
      <c r="AM57" s="9">
        <v>0.6099</v>
      </c>
      <c r="AN57" s="9">
        <v>0.6018</v>
      </c>
      <c r="AO57" s="9">
        <v>0.5937</v>
      </c>
      <c r="AP57" s="9">
        <v>0.5868</v>
      </c>
      <c r="AQ57" s="9">
        <v>0.5868</v>
      </c>
      <c r="AR57" s="9">
        <v>0.5868</v>
      </c>
      <c r="AS57" s="9">
        <v>0.5868</v>
      </c>
      <c r="AT57" s="9">
        <v>0.5868</v>
      </c>
    </row>
    <row r="58" ht="14.25" customHeight="1">
      <c r="A58" s="2" t="s">
        <v>202</v>
      </c>
      <c r="B58" s="9">
        <v>0.6793</v>
      </c>
      <c r="C58" s="9">
        <v>0.6793</v>
      </c>
      <c r="D58" s="9">
        <v>0.6793</v>
      </c>
      <c r="E58" s="9">
        <v>0.6793</v>
      </c>
      <c r="F58" s="9">
        <v>0.6793</v>
      </c>
      <c r="G58" s="9">
        <v>0.6793</v>
      </c>
      <c r="H58" s="9">
        <v>0.6793</v>
      </c>
      <c r="I58" s="9">
        <v>0.6793</v>
      </c>
      <c r="J58" s="9">
        <v>0.6793</v>
      </c>
      <c r="K58" s="9">
        <v>0.6793</v>
      </c>
      <c r="L58" s="9">
        <v>0.6793</v>
      </c>
      <c r="M58" s="9">
        <v>0.6793</v>
      </c>
      <c r="N58" s="9">
        <v>0.6793</v>
      </c>
      <c r="O58" s="9">
        <v>0.6793</v>
      </c>
      <c r="P58" s="9">
        <v>0.6793</v>
      </c>
      <c r="Q58" s="9">
        <v>0.6793</v>
      </c>
      <c r="R58" s="9">
        <v>0.6793</v>
      </c>
      <c r="S58" s="9">
        <v>0.6793</v>
      </c>
      <c r="T58" s="9">
        <v>0.6793</v>
      </c>
      <c r="U58" s="9">
        <v>0.6793</v>
      </c>
      <c r="V58" s="9">
        <v>0.6793</v>
      </c>
      <c r="W58" s="9">
        <v>0.6793</v>
      </c>
      <c r="X58" s="9">
        <v>0.6793</v>
      </c>
      <c r="Y58" s="9">
        <v>0.6793</v>
      </c>
      <c r="Z58" s="9">
        <v>0.6793</v>
      </c>
      <c r="AA58" s="9">
        <v>0.6793</v>
      </c>
      <c r="AB58" s="9">
        <v>0.6793</v>
      </c>
      <c r="AC58" s="9">
        <v>0.6793</v>
      </c>
      <c r="AD58" s="9">
        <v>0.6793</v>
      </c>
      <c r="AE58" s="9">
        <v>0.6793</v>
      </c>
      <c r="AF58" s="9">
        <v>0.6793</v>
      </c>
      <c r="AG58" s="9">
        <v>0.6793</v>
      </c>
      <c r="AH58" s="9">
        <v>0.6793</v>
      </c>
      <c r="AI58" s="9">
        <v>0.6908</v>
      </c>
      <c r="AJ58" s="9">
        <v>0.6791</v>
      </c>
      <c r="AK58" s="9">
        <v>0.6813</v>
      </c>
      <c r="AL58" s="9">
        <v>0.6789</v>
      </c>
      <c r="AM58" s="9">
        <v>0.6571</v>
      </c>
      <c r="AN58" s="9">
        <v>0.6703</v>
      </c>
      <c r="AO58" s="9">
        <v>0.6491</v>
      </c>
      <c r="AP58" s="9">
        <v>0.643</v>
      </c>
      <c r="AQ58" s="9">
        <v>0.6268</v>
      </c>
      <c r="AR58" s="9">
        <v>0.6059</v>
      </c>
      <c r="AS58" s="9">
        <v>0.6019</v>
      </c>
      <c r="AT58" s="9">
        <v>0.6019</v>
      </c>
    </row>
    <row r="59" ht="14.25" customHeight="1">
      <c r="A59" s="2" t="s">
        <v>203</v>
      </c>
      <c r="B59" s="9">
        <v>0.7081</v>
      </c>
      <c r="C59" s="9">
        <v>0.7073</v>
      </c>
      <c r="D59" s="9">
        <v>0.702</v>
      </c>
      <c r="E59" s="9">
        <v>0.7005</v>
      </c>
      <c r="F59" s="9">
        <v>0.6948</v>
      </c>
      <c r="G59" s="9">
        <v>0.6924</v>
      </c>
      <c r="H59" s="9">
        <v>0.6944</v>
      </c>
      <c r="I59" s="9">
        <v>0.6952</v>
      </c>
      <c r="J59" s="9">
        <v>0.6993</v>
      </c>
      <c r="K59" s="9">
        <v>0.7073</v>
      </c>
      <c r="L59" s="9">
        <v>0.7123</v>
      </c>
      <c r="M59" s="9">
        <v>0.7141</v>
      </c>
      <c r="N59" s="9">
        <v>0.7058</v>
      </c>
      <c r="O59" s="9">
        <v>0.6987</v>
      </c>
      <c r="P59" s="9">
        <v>0.6972</v>
      </c>
      <c r="Q59" s="9">
        <v>0.686</v>
      </c>
      <c r="R59" s="9">
        <v>0.6861</v>
      </c>
      <c r="S59" s="9">
        <v>0.6787</v>
      </c>
      <c r="T59" s="9">
        <v>0.676</v>
      </c>
      <c r="U59" s="9">
        <v>0.6747</v>
      </c>
      <c r="V59" s="9">
        <v>0.6796</v>
      </c>
      <c r="W59" s="9">
        <v>0.6807</v>
      </c>
      <c r="X59" s="9">
        <v>0.6845</v>
      </c>
      <c r="Y59" s="9">
        <v>0.6821</v>
      </c>
      <c r="Z59" s="9">
        <v>0.6752</v>
      </c>
      <c r="AA59" s="9">
        <v>0.6764</v>
      </c>
      <c r="AB59" s="9">
        <v>0.6684</v>
      </c>
      <c r="AC59" s="9">
        <v>0.6594</v>
      </c>
      <c r="AD59" s="9">
        <v>0.6482</v>
      </c>
      <c r="AE59" s="9">
        <v>0.6366</v>
      </c>
      <c r="AF59" s="9">
        <v>0.6374</v>
      </c>
      <c r="AG59" s="9">
        <v>0.6287</v>
      </c>
      <c r="AH59" s="9">
        <v>0.616</v>
      </c>
      <c r="AI59" s="9">
        <v>0.6182</v>
      </c>
      <c r="AJ59" s="9">
        <v>0.6088</v>
      </c>
      <c r="AK59" s="9">
        <v>0.6055</v>
      </c>
      <c r="AL59" s="9">
        <v>0.6019</v>
      </c>
      <c r="AM59" s="9">
        <v>0.6047</v>
      </c>
      <c r="AN59" s="9">
        <v>0.6003</v>
      </c>
      <c r="AO59" s="9">
        <v>0.5956</v>
      </c>
      <c r="AP59" s="9">
        <v>0.5997</v>
      </c>
      <c r="AQ59" s="9">
        <v>0.5975</v>
      </c>
      <c r="AR59" s="9">
        <v>0.5998</v>
      </c>
      <c r="AS59" s="9">
        <v>0.5992</v>
      </c>
      <c r="AT59" s="9">
        <v>0.5972</v>
      </c>
    </row>
    <row r="60" ht="14.25" customHeight="1">
      <c r="A60" s="2" t="s">
        <v>204</v>
      </c>
      <c r="B60" s="9">
        <v>0.6758</v>
      </c>
      <c r="C60" s="9">
        <v>0.6756</v>
      </c>
      <c r="D60" s="9">
        <v>0.6702</v>
      </c>
      <c r="E60" s="9">
        <v>0.6679</v>
      </c>
      <c r="F60" s="9">
        <v>0.6614</v>
      </c>
      <c r="G60" s="9">
        <v>0.6605</v>
      </c>
      <c r="H60" s="9">
        <v>0.6619</v>
      </c>
      <c r="I60" s="9">
        <v>0.6627</v>
      </c>
      <c r="J60" s="9">
        <v>0.6669</v>
      </c>
      <c r="K60" s="9">
        <v>0.6744</v>
      </c>
      <c r="L60" s="9">
        <v>0.6809</v>
      </c>
      <c r="M60" s="9">
        <v>0.6829</v>
      </c>
      <c r="N60" s="9">
        <v>0.678</v>
      </c>
      <c r="O60" s="9">
        <v>0.6728</v>
      </c>
      <c r="P60" s="9">
        <v>0.6682</v>
      </c>
      <c r="Q60" s="9">
        <v>0.6562</v>
      </c>
      <c r="R60" s="9">
        <v>0.6571</v>
      </c>
      <c r="S60" s="9">
        <v>0.6497</v>
      </c>
      <c r="T60" s="9">
        <v>0.6502</v>
      </c>
      <c r="U60" s="9">
        <v>0.65</v>
      </c>
      <c r="V60" s="9">
        <v>0.6554</v>
      </c>
      <c r="W60" s="9">
        <v>0.6597</v>
      </c>
      <c r="X60" s="9">
        <v>0.6604</v>
      </c>
      <c r="Y60" s="9">
        <v>0.6596</v>
      </c>
      <c r="Z60" s="9">
        <v>0.654</v>
      </c>
      <c r="AA60" s="9">
        <v>0.6549</v>
      </c>
      <c r="AB60" s="9">
        <v>0.6468</v>
      </c>
      <c r="AC60" s="9">
        <v>0.6404</v>
      </c>
      <c r="AD60" s="9">
        <v>0.6281</v>
      </c>
      <c r="AE60" s="9">
        <v>0.6207</v>
      </c>
      <c r="AF60" s="9">
        <v>0.6211</v>
      </c>
      <c r="AG60" s="9">
        <v>0.6129</v>
      </c>
      <c r="AH60" s="9">
        <v>0.6004</v>
      </c>
      <c r="AI60" s="9">
        <v>0.6015</v>
      </c>
      <c r="AJ60" s="9">
        <v>0.5927</v>
      </c>
      <c r="AK60" s="9">
        <v>0.5899</v>
      </c>
      <c r="AL60" s="9">
        <v>0.5876</v>
      </c>
      <c r="AM60" s="9">
        <v>0.5925</v>
      </c>
      <c r="AN60" s="9">
        <v>0.5895</v>
      </c>
      <c r="AO60" s="9">
        <v>0.5847</v>
      </c>
      <c r="AP60" s="9">
        <v>0.5892</v>
      </c>
      <c r="AQ60" s="9">
        <v>0.588</v>
      </c>
      <c r="AR60" s="9">
        <v>0.5901</v>
      </c>
      <c r="AS60" s="9">
        <v>0.5895</v>
      </c>
      <c r="AT60" s="9">
        <v>0.5881</v>
      </c>
    </row>
    <row r="61" ht="14.25" customHeight="1">
      <c r="A61" s="2" t="s">
        <v>205</v>
      </c>
      <c r="B61" s="9">
        <v>0.3799</v>
      </c>
      <c r="C61" s="9">
        <v>0.3865</v>
      </c>
      <c r="D61" s="9">
        <v>0.3913</v>
      </c>
      <c r="E61" s="9">
        <v>0.3858</v>
      </c>
      <c r="F61" s="9">
        <v>0.3846</v>
      </c>
      <c r="G61" s="9">
        <v>0.3798</v>
      </c>
      <c r="H61" s="9">
        <v>0.3796</v>
      </c>
      <c r="I61" s="9">
        <v>0.3775</v>
      </c>
      <c r="J61" s="9">
        <v>0.3756</v>
      </c>
      <c r="K61" s="9">
        <v>0.3876</v>
      </c>
      <c r="L61" s="9">
        <v>0.4056</v>
      </c>
      <c r="M61" s="9">
        <v>0.4218</v>
      </c>
      <c r="N61" s="9">
        <v>0.435</v>
      </c>
      <c r="O61" s="9">
        <v>0.4512</v>
      </c>
      <c r="P61" s="9">
        <v>0.468</v>
      </c>
      <c r="Q61" s="9">
        <v>0.4856</v>
      </c>
      <c r="R61" s="9">
        <v>0.4795</v>
      </c>
      <c r="S61" s="9">
        <v>0.4779</v>
      </c>
      <c r="T61" s="9">
        <v>0.4794</v>
      </c>
      <c r="U61" s="9">
        <v>0.4818</v>
      </c>
      <c r="V61" s="9">
        <v>0.4862</v>
      </c>
      <c r="W61" s="9">
        <v>0.4866</v>
      </c>
      <c r="X61" s="9">
        <v>0.494</v>
      </c>
      <c r="Y61" s="9">
        <v>0.5042</v>
      </c>
      <c r="Z61" s="9">
        <v>0.506</v>
      </c>
      <c r="AA61" s="9">
        <v>0.5152</v>
      </c>
      <c r="AB61" s="9">
        <v>0.5148</v>
      </c>
      <c r="AC61" s="9">
        <v>0.5209</v>
      </c>
      <c r="AD61" s="9">
        <v>0.5147</v>
      </c>
      <c r="AE61" s="9">
        <v>0.5077</v>
      </c>
      <c r="AF61" s="9">
        <v>0.5009</v>
      </c>
      <c r="AG61" s="9">
        <v>0.5013</v>
      </c>
      <c r="AH61" s="9">
        <v>0.5046</v>
      </c>
      <c r="AI61" s="9">
        <v>0.5019</v>
      </c>
      <c r="AJ61" s="9">
        <v>0.5077</v>
      </c>
      <c r="AK61" s="9">
        <v>0.5083</v>
      </c>
      <c r="AL61" s="9">
        <v>0.5006</v>
      </c>
      <c r="AM61" s="9">
        <v>0.4989</v>
      </c>
      <c r="AN61" s="9">
        <v>0.5028</v>
      </c>
      <c r="AO61" s="9">
        <v>0.5065</v>
      </c>
      <c r="AP61" s="9">
        <v>0.5064</v>
      </c>
      <c r="AQ61" s="9">
        <v>0.5054</v>
      </c>
      <c r="AR61" s="9">
        <v>0.5077</v>
      </c>
      <c r="AS61" s="9">
        <v>0.5052</v>
      </c>
      <c r="AT61" s="9">
        <v>0.5041</v>
      </c>
    </row>
    <row r="62" ht="14.25" customHeight="1">
      <c r="A62" s="2" t="s">
        <v>206</v>
      </c>
      <c r="B62" s="9">
        <v>0.3529</v>
      </c>
      <c r="C62" s="9">
        <v>0.3587</v>
      </c>
      <c r="D62" s="9">
        <v>0.3639</v>
      </c>
      <c r="E62" s="9">
        <v>0.3598</v>
      </c>
      <c r="F62" s="9">
        <v>0.3603</v>
      </c>
      <c r="G62" s="9">
        <v>0.3554</v>
      </c>
      <c r="H62" s="9">
        <v>0.3563</v>
      </c>
      <c r="I62" s="9">
        <v>0.3542</v>
      </c>
      <c r="J62" s="9">
        <v>0.3523</v>
      </c>
      <c r="K62" s="9">
        <v>0.3628</v>
      </c>
      <c r="L62" s="9">
        <v>0.3811</v>
      </c>
      <c r="M62" s="9">
        <v>0.3975</v>
      </c>
      <c r="N62" s="9">
        <v>0.4114</v>
      </c>
      <c r="O62" s="9">
        <v>0.4273</v>
      </c>
      <c r="P62" s="9">
        <v>0.4461</v>
      </c>
      <c r="Q62" s="9">
        <v>0.4668</v>
      </c>
      <c r="R62" s="9">
        <v>0.4594</v>
      </c>
      <c r="S62" s="9">
        <v>0.4573</v>
      </c>
      <c r="T62" s="9">
        <v>0.459</v>
      </c>
      <c r="U62" s="9">
        <v>0.4621</v>
      </c>
      <c r="V62" s="9">
        <v>0.4682</v>
      </c>
      <c r="W62" s="9">
        <v>0.4681</v>
      </c>
      <c r="X62" s="9">
        <v>0.476</v>
      </c>
      <c r="Y62" s="9">
        <v>0.4876</v>
      </c>
      <c r="Z62" s="9">
        <v>0.4883</v>
      </c>
      <c r="AA62" s="9">
        <v>0.4969</v>
      </c>
      <c r="AB62" s="9">
        <v>0.4973</v>
      </c>
      <c r="AC62" s="9">
        <v>0.5023</v>
      </c>
      <c r="AD62" s="9">
        <v>0.4996</v>
      </c>
      <c r="AE62" s="9">
        <v>0.4939</v>
      </c>
      <c r="AF62" s="9">
        <v>0.4869</v>
      </c>
      <c r="AG62" s="9">
        <v>0.488</v>
      </c>
      <c r="AH62" s="9">
        <v>0.4933</v>
      </c>
      <c r="AI62" s="9">
        <v>0.4892</v>
      </c>
      <c r="AJ62" s="9">
        <v>0.4968</v>
      </c>
      <c r="AK62" s="9">
        <v>0.4964</v>
      </c>
      <c r="AL62" s="9">
        <v>0.4883</v>
      </c>
      <c r="AM62" s="9">
        <v>0.4879</v>
      </c>
      <c r="AN62" s="9">
        <v>0.4917</v>
      </c>
      <c r="AO62" s="9">
        <v>0.4955</v>
      </c>
      <c r="AP62" s="9">
        <v>0.4961</v>
      </c>
      <c r="AQ62" s="9">
        <v>0.4958</v>
      </c>
      <c r="AR62" s="9">
        <v>0.4981</v>
      </c>
      <c r="AS62" s="9">
        <v>0.497</v>
      </c>
      <c r="AT62" s="9">
        <v>0.4957</v>
      </c>
    </row>
    <row r="63" ht="14.25" customHeight="1">
      <c r="A63" s="2" t="s">
        <v>207</v>
      </c>
      <c r="B63" s="9">
        <v>0.6731</v>
      </c>
      <c r="C63" s="9">
        <v>0.6731</v>
      </c>
      <c r="D63" s="9">
        <v>0.6731</v>
      </c>
      <c r="E63" s="9">
        <v>0.6731</v>
      </c>
      <c r="F63" s="9">
        <v>0.6731</v>
      </c>
      <c r="G63" s="9">
        <v>0.6731</v>
      </c>
      <c r="H63" s="9">
        <v>0.6731</v>
      </c>
      <c r="I63" s="9">
        <v>0.6731</v>
      </c>
      <c r="J63" s="9">
        <v>0.6731</v>
      </c>
      <c r="K63" s="9">
        <v>0.6731</v>
      </c>
      <c r="L63" s="9">
        <v>0.6731</v>
      </c>
      <c r="M63" s="9">
        <v>0.6731</v>
      </c>
      <c r="N63" s="9">
        <v>0.6731</v>
      </c>
      <c r="O63" s="9">
        <v>0.6731</v>
      </c>
      <c r="P63" s="9">
        <v>0.6731</v>
      </c>
      <c r="Q63" s="9">
        <v>0.6731</v>
      </c>
      <c r="R63" s="9">
        <v>0.6731</v>
      </c>
      <c r="S63" s="9">
        <v>0.6731</v>
      </c>
      <c r="T63" s="9">
        <v>0.6731</v>
      </c>
      <c r="U63" s="9">
        <v>0.6731</v>
      </c>
      <c r="V63" s="9">
        <v>0.6731</v>
      </c>
      <c r="W63" s="9">
        <v>0.6731</v>
      </c>
      <c r="X63" s="9">
        <v>0.6667</v>
      </c>
      <c r="Y63" s="9">
        <v>0.6604</v>
      </c>
      <c r="Z63" s="9">
        <v>0.6534</v>
      </c>
      <c r="AA63" s="9">
        <v>0.6465</v>
      </c>
      <c r="AB63" s="9">
        <v>0.6257</v>
      </c>
      <c r="AC63" s="9">
        <v>0.6674</v>
      </c>
      <c r="AD63" s="9">
        <v>0.6381</v>
      </c>
      <c r="AE63" s="9">
        <v>0.63</v>
      </c>
      <c r="AF63" s="9">
        <v>0.6428</v>
      </c>
      <c r="AG63" s="9">
        <v>0.6032</v>
      </c>
      <c r="AH63" s="9">
        <v>0.6169</v>
      </c>
      <c r="AI63" s="9">
        <v>0.5979</v>
      </c>
      <c r="AJ63" s="9">
        <v>0.5761</v>
      </c>
      <c r="AK63" s="9">
        <v>0.5654</v>
      </c>
      <c r="AL63" s="9">
        <v>0.5604</v>
      </c>
      <c r="AM63" s="9">
        <v>0.5734</v>
      </c>
      <c r="AN63" s="9">
        <v>0.5866</v>
      </c>
      <c r="AO63" s="9">
        <v>0.5882</v>
      </c>
      <c r="AP63" s="9">
        <v>0.6227</v>
      </c>
      <c r="AQ63" s="9">
        <v>0.6314</v>
      </c>
      <c r="AR63" s="9">
        <v>0.6125</v>
      </c>
      <c r="AS63" s="9">
        <v>0.6049</v>
      </c>
      <c r="AT63" s="9">
        <v>0.6049</v>
      </c>
    </row>
    <row r="64" ht="14.25" customHeight="1">
      <c r="A64" s="2" t="s">
        <v>208</v>
      </c>
      <c r="B64" s="9">
        <v>0.5099</v>
      </c>
      <c r="C64" s="9">
        <v>0.5099</v>
      </c>
      <c r="D64" s="9">
        <v>0.5099</v>
      </c>
      <c r="E64" s="9">
        <v>0.5099</v>
      </c>
      <c r="F64" s="9">
        <v>0.5099</v>
      </c>
      <c r="G64" s="9">
        <v>0.5099</v>
      </c>
      <c r="H64" s="9">
        <v>0.5099</v>
      </c>
      <c r="I64" s="9">
        <v>0.5099</v>
      </c>
      <c r="J64" s="9">
        <v>0.5099</v>
      </c>
      <c r="K64" s="9">
        <v>0.5099</v>
      </c>
      <c r="L64" s="9">
        <v>0.5099</v>
      </c>
      <c r="M64" s="9">
        <v>0.507</v>
      </c>
      <c r="N64" s="9">
        <v>0.5042</v>
      </c>
      <c r="O64" s="9">
        <v>0.5014</v>
      </c>
      <c r="P64" s="9">
        <v>0.4988</v>
      </c>
      <c r="Q64" s="9">
        <v>0.4962</v>
      </c>
      <c r="R64" s="9">
        <v>0.513</v>
      </c>
      <c r="S64" s="9">
        <v>0.529</v>
      </c>
      <c r="T64" s="9">
        <v>0.5441</v>
      </c>
      <c r="U64" s="9">
        <v>0.5585</v>
      </c>
      <c r="V64" s="9">
        <v>0.5575</v>
      </c>
      <c r="W64" s="9">
        <v>0.5564</v>
      </c>
      <c r="X64" s="9">
        <v>0.5554</v>
      </c>
      <c r="Y64" s="9">
        <v>0.5544</v>
      </c>
      <c r="Z64" s="9">
        <v>0.5534</v>
      </c>
      <c r="AA64" s="9">
        <v>0.5535</v>
      </c>
      <c r="AB64" s="9">
        <v>0.5536</v>
      </c>
      <c r="AC64" s="9">
        <v>0.5537</v>
      </c>
      <c r="AD64" s="9">
        <v>0.5538</v>
      </c>
      <c r="AE64" s="9">
        <v>0.5421</v>
      </c>
      <c r="AF64" s="9">
        <v>0.5305</v>
      </c>
      <c r="AG64" s="9">
        <v>0.5395</v>
      </c>
      <c r="AH64" s="9">
        <v>0.5485</v>
      </c>
      <c r="AI64" s="9">
        <v>0.5533</v>
      </c>
      <c r="AJ64" s="9">
        <v>0.5579</v>
      </c>
      <c r="AK64" s="9">
        <v>0.5624</v>
      </c>
      <c r="AL64" s="9">
        <v>0.5566</v>
      </c>
      <c r="AM64" s="9">
        <v>0.5509</v>
      </c>
      <c r="AN64" s="9">
        <v>0.5514</v>
      </c>
      <c r="AO64" s="9">
        <v>0.5518</v>
      </c>
      <c r="AP64" s="9">
        <v>0.5364</v>
      </c>
      <c r="AQ64" s="9">
        <v>0.5364</v>
      </c>
      <c r="AR64" s="9">
        <v>0.5364</v>
      </c>
      <c r="AS64" s="9">
        <v>0.5364</v>
      </c>
      <c r="AT64" s="9">
        <v>0.5364</v>
      </c>
    </row>
    <row r="65" ht="14.25" customHeight="1">
      <c r="A65" s="2" t="s">
        <v>209</v>
      </c>
      <c r="B65" s="9">
        <v>0.6725</v>
      </c>
      <c r="C65" s="9">
        <v>0.6725</v>
      </c>
      <c r="D65" s="9">
        <v>0.6725</v>
      </c>
      <c r="E65" s="9">
        <v>0.6725</v>
      </c>
      <c r="F65" s="9">
        <v>0.6725</v>
      </c>
      <c r="G65" s="9">
        <v>0.6725</v>
      </c>
      <c r="H65" s="9">
        <v>0.6725</v>
      </c>
      <c r="I65" s="9">
        <v>0.6725</v>
      </c>
      <c r="J65" s="9">
        <v>0.6725</v>
      </c>
      <c r="K65" s="9">
        <v>0.6725</v>
      </c>
      <c r="L65" s="9">
        <v>0.6725</v>
      </c>
      <c r="M65" s="9">
        <v>0.6725</v>
      </c>
      <c r="N65" s="9">
        <v>0.6725</v>
      </c>
      <c r="O65" s="9">
        <v>0.6725</v>
      </c>
      <c r="P65" s="9">
        <v>0.6725</v>
      </c>
      <c r="Q65" s="9">
        <v>0.6725</v>
      </c>
      <c r="R65" s="9">
        <v>0.6725</v>
      </c>
      <c r="S65" s="9">
        <v>0.6725</v>
      </c>
      <c r="T65" s="9">
        <v>0.6725</v>
      </c>
      <c r="U65" s="9">
        <v>0.6725</v>
      </c>
      <c r="V65" s="9">
        <v>0.6725</v>
      </c>
      <c r="W65" s="9">
        <v>0.6725</v>
      </c>
      <c r="X65" s="9">
        <v>0.6708</v>
      </c>
      <c r="Y65" s="9">
        <v>0.6565</v>
      </c>
      <c r="Z65" s="9">
        <v>0.6598</v>
      </c>
      <c r="AA65" s="9">
        <v>0.6772</v>
      </c>
      <c r="AB65" s="9">
        <v>0.6533</v>
      </c>
      <c r="AC65" s="9">
        <v>0.6615</v>
      </c>
      <c r="AD65" s="9">
        <v>0.6574</v>
      </c>
      <c r="AE65" s="9">
        <v>0.6532</v>
      </c>
      <c r="AF65" s="9">
        <v>0.6385</v>
      </c>
      <c r="AG65" s="9">
        <v>0.6306</v>
      </c>
      <c r="AH65" s="9">
        <v>0.6228</v>
      </c>
      <c r="AI65" s="9">
        <v>0.6683</v>
      </c>
      <c r="AJ65" s="9">
        <v>0.6659</v>
      </c>
      <c r="AK65" s="9">
        <v>0.6313</v>
      </c>
      <c r="AL65" s="9">
        <v>0.6498</v>
      </c>
      <c r="AM65" s="9">
        <v>0.6133</v>
      </c>
      <c r="AN65" s="9">
        <v>0.6136</v>
      </c>
      <c r="AO65" s="9">
        <v>0.6164</v>
      </c>
      <c r="AP65" s="9">
        <v>0.6412</v>
      </c>
      <c r="AQ65" s="9">
        <v>0.6047</v>
      </c>
      <c r="AR65" s="9">
        <v>0.5963</v>
      </c>
      <c r="AS65" s="9">
        <v>0.6053</v>
      </c>
      <c r="AT65" s="9">
        <v>0.6053</v>
      </c>
    </row>
    <row r="66" ht="14.25" customHeight="1">
      <c r="A66" s="2" t="s">
        <v>210</v>
      </c>
      <c r="B66" s="9">
        <v>0.5555</v>
      </c>
      <c r="C66" s="9">
        <v>0.5555</v>
      </c>
      <c r="D66" s="9">
        <v>0.5555</v>
      </c>
      <c r="E66" s="9">
        <v>0.5555</v>
      </c>
      <c r="F66" s="9">
        <v>0.5555</v>
      </c>
      <c r="G66" s="9">
        <v>0.5555</v>
      </c>
      <c r="H66" s="9">
        <v>0.5555</v>
      </c>
      <c r="I66" s="9">
        <v>0.5555</v>
      </c>
      <c r="J66" s="9">
        <v>0.5555</v>
      </c>
      <c r="K66" s="9">
        <v>0.5555</v>
      </c>
      <c r="L66" s="9">
        <v>0.5555</v>
      </c>
      <c r="M66" s="9">
        <v>0.5555</v>
      </c>
      <c r="N66" s="9">
        <v>0.5555</v>
      </c>
      <c r="O66" s="9">
        <v>0.5555</v>
      </c>
      <c r="P66" s="9">
        <v>0.5555</v>
      </c>
      <c r="Q66" s="9">
        <v>0.5555</v>
      </c>
      <c r="R66" s="9">
        <v>0.5555</v>
      </c>
      <c r="S66" s="9">
        <v>0.5555</v>
      </c>
      <c r="T66" s="9">
        <v>0.5555</v>
      </c>
      <c r="U66" s="9">
        <v>0.5555</v>
      </c>
      <c r="V66" s="9">
        <v>0.5555</v>
      </c>
      <c r="W66" s="9">
        <v>0.5555</v>
      </c>
      <c r="X66" s="9">
        <v>0.5555</v>
      </c>
      <c r="Y66" s="9">
        <v>0.5555</v>
      </c>
      <c r="Z66" s="9">
        <v>0.5555</v>
      </c>
      <c r="AA66" s="9">
        <v>0.5555</v>
      </c>
      <c r="AB66" s="9">
        <v>0.5555</v>
      </c>
      <c r="AC66" s="9">
        <v>0.5555</v>
      </c>
      <c r="AD66" s="9">
        <v>0.5555</v>
      </c>
      <c r="AE66" s="9">
        <v>0.5555</v>
      </c>
      <c r="AF66" s="9">
        <v>0.5555</v>
      </c>
      <c r="AG66" s="9">
        <v>0.5555</v>
      </c>
      <c r="AH66" s="9">
        <v>0.5555</v>
      </c>
      <c r="AI66" s="9">
        <v>0.5555</v>
      </c>
      <c r="AJ66" s="9">
        <v>0.5555</v>
      </c>
      <c r="AK66" s="9">
        <v>0.5555</v>
      </c>
      <c r="AL66" s="9">
        <v>0.5555</v>
      </c>
      <c r="AM66" s="9">
        <v>0.5555</v>
      </c>
      <c r="AN66" s="9">
        <v>0.5555</v>
      </c>
      <c r="AO66" s="9">
        <v>0.5555</v>
      </c>
      <c r="AP66" s="9">
        <v>0.5555</v>
      </c>
      <c r="AQ66" s="9">
        <v>0.5555</v>
      </c>
      <c r="AR66" s="9">
        <v>0.5555</v>
      </c>
      <c r="AS66" s="9">
        <v>0.5555</v>
      </c>
      <c r="AT66" s="9">
        <v>0.5555</v>
      </c>
    </row>
    <row r="67" ht="14.25" customHeight="1">
      <c r="A67" s="2" t="s">
        <v>211</v>
      </c>
      <c r="B67" s="9">
        <v>0.6485</v>
      </c>
      <c r="C67" s="9">
        <v>0.6485</v>
      </c>
      <c r="D67" s="9">
        <v>0.6485</v>
      </c>
      <c r="E67" s="9">
        <v>0.6485</v>
      </c>
      <c r="F67" s="9">
        <v>0.6485</v>
      </c>
      <c r="G67" s="9">
        <v>0.6485</v>
      </c>
      <c r="H67" s="9">
        <v>0.6485</v>
      </c>
      <c r="I67" s="9">
        <v>0.6485</v>
      </c>
      <c r="J67" s="9">
        <v>0.6485</v>
      </c>
      <c r="K67" s="9">
        <v>0.6485</v>
      </c>
      <c r="L67" s="9">
        <v>0.6485</v>
      </c>
      <c r="M67" s="9">
        <v>0.6485</v>
      </c>
      <c r="N67" s="9">
        <v>0.6485</v>
      </c>
      <c r="O67" s="9">
        <v>0.6485</v>
      </c>
      <c r="P67" s="9">
        <v>0.6485</v>
      </c>
      <c r="Q67" s="9">
        <v>0.6485</v>
      </c>
      <c r="R67" s="9">
        <v>0.6102</v>
      </c>
      <c r="S67" s="9">
        <v>0.5719</v>
      </c>
      <c r="T67" s="9">
        <v>0.5336</v>
      </c>
      <c r="U67" s="9">
        <v>0.4953</v>
      </c>
      <c r="V67" s="9">
        <v>0.4959</v>
      </c>
      <c r="W67" s="9">
        <v>0.4966</v>
      </c>
      <c r="X67" s="9">
        <v>0.4972</v>
      </c>
      <c r="Y67" s="9">
        <v>0.4979</v>
      </c>
      <c r="Z67" s="9">
        <v>0.4985</v>
      </c>
      <c r="AA67" s="9">
        <v>0.5026</v>
      </c>
      <c r="AB67" s="9">
        <v>0.5068</v>
      </c>
      <c r="AC67" s="9">
        <v>0.5109</v>
      </c>
      <c r="AD67" s="9">
        <v>0.5151</v>
      </c>
      <c r="AE67" s="9">
        <v>0.5192</v>
      </c>
      <c r="AF67" s="9">
        <v>0.5233</v>
      </c>
      <c r="AG67" s="9">
        <v>0.5258</v>
      </c>
      <c r="AH67" s="9">
        <v>0.5282</v>
      </c>
      <c r="AI67" s="9">
        <v>0.5306</v>
      </c>
      <c r="AJ67" s="9">
        <v>0.533</v>
      </c>
      <c r="AK67" s="9">
        <v>0.5354</v>
      </c>
      <c r="AL67" s="9">
        <v>0.5282</v>
      </c>
      <c r="AM67" s="9">
        <v>0.5209</v>
      </c>
      <c r="AN67" s="9">
        <v>0.5137</v>
      </c>
      <c r="AO67" s="9">
        <v>0.5064</v>
      </c>
      <c r="AP67" s="9">
        <v>0.4991</v>
      </c>
      <c r="AQ67" s="9">
        <v>0.4919</v>
      </c>
      <c r="AR67" s="9">
        <v>0.4919</v>
      </c>
      <c r="AS67" s="9">
        <v>0.4919</v>
      </c>
      <c r="AT67" s="9">
        <v>0.4919</v>
      </c>
    </row>
    <row r="68" ht="14.25" customHeight="1">
      <c r="A68" s="2" t="s">
        <v>212</v>
      </c>
      <c r="B68" s="9">
        <v>0.3321</v>
      </c>
      <c r="C68" s="9">
        <v>0.3322</v>
      </c>
      <c r="D68" s="9">
        <v>0.3323</v>
      </c>
      <c r="E68" s="9">
        <v>0.3322</v>
      </c>
      <c r="F68" s="9">
        <v>0.3324</v>
      </c>
      <c r="G68" s="9">
        <v>0.333</v>
      </c>
      <c r="H68" s="9">
        <v>0.3329</v>
      </c>
      <c r="I68" s="9">
        <v>0.3321</v>
      </c>
      <c r="J68" s="9">
        <v>0.333</v>
      </c>
      <c r="K68" s="9">
        <v>0.3818</v>
      </c>
      <c r="L68" s="9">
        <v>0.4355</v>
      </c>
      <c r="M68" s="9">
        <v>0.476</v>
      </c>
      <c r="N68" s="9">
        <v>0.4922</v>
      </c>
      <c r="O68" s="9">
        <v>0.5285</v>
      </c>
      <c r="P68" s="9">
        <v>0.5394</v>
      </c>
      <c r="Q68" s="9">
        <v>0.5391</v>
      </c>
      <c r="R68" s="9">
        <v>0.5469</v>
      </c>
      <c r="S68" s="9">
        <v>0.5433</v>
      </c>
      <c r="T68" s="9">
        <v>0.528</v>
      </c>
      <c r="U68" s="9">
        <v>0.5273</v>
      </c>
      <c r="V68" s="9">
        <v>0.5405</v>
      </c>
      <c r="W68" s="9">
        <v>0.5305</v>
      </c>
      <c r="X68" s="9">
        <v>0.5498</v>
      </c>
      <c r="Y68" s="9">
        <v>0.5626</v>
      </c>
      <c r="Z68" s="9">
        <v>0.5358</v>
      </c>
      <c r="AA68" s="9">
        <v>0.5562</v>
      </c>
      <c r="AB68" s="9">
        <v>0.5225</v>
      </c>
      <c r="AC68" s="9">
        <v>0.5013</v>
      </c>
      <c r="AD68" s="9">
        <v>0.4783</v>
      </c>
      <c r="AE68" s="9">
        <v>0.4627</v>
      </c>
      <c r="AF68" s="9">
        <v>0.486</v>
      </c>
      <c r="AG68" s="9">
        <v>0.4927</v>
      </c>
      <c r="AH68" s="9">
        <v>0.5024</v>
      </c>
      <c r="AI68" s="9">
        <v>0.5094</v>
      </c>
      <c r="AJ68" s="9">
        <v>0.5005</v>
      </c>
      <c r="AK68" s="9">
        <v>0.4767</v>
      </c>
      <c r="AL68" s="9">
        <v>0.4667</v>
      </c>
      <c r="AM68" s="9">
        <v>0.4616</v>
      </c>
      <c r="AN68" s="9">
        <v>0.4575</v>
      </c>
      <c r="AO68" s="9">
        <v>0.4999</v>
      </c>
      <c r="AP68" s="9">
        <v>0.4997</v>
      </c>
      <c r="AQ68" s="9">
        <v>0.5067</v>
      </c>
      <c r="AR68" s="9">
        <v>0.5172</v>
      </c>
      <c r="AS68" s="9">
        <v>0.5071</v>
      </c>
      <c r="AT68" s="9">
        <v>0.5071</v>
      </c>
    </row>
    <row r="69" ht="14.25" customHeight="1">
      <c r="A69" s="2" t="s">
        <v>213</v>
      </c>
      <c r="B69" s="9">
        <v>0.6485</v>
      </c>
      <c r="C69" s="9">
        <v>0.6485</v>
      </c>
      <c r="D69" s="9">
        <v>0.6485</v>
      </c>
      <c r="E69" s="9">
        <v>0.6485</v>
      </c>
      <c r="F69" s="9">
        <v>0.6485</v>
      </c>
      <c r="G69" s="9">
        <v>0.6485</v>
      </c>
      <c r="H69" s="9">
        <v>0.6485</v>
      </c>
      <c r="I69" s="9">
        <v>0.6485</v>
      </c>
      <c r="J69" s="9">
        <v>0.6485</v>
      </c>
      <c r="K69" s="9">
        <v>0.6485</v>
      </c>
      <c r="L69" s="9">
        <v>0.6485</v>
      </c>
      <c r="M69" s="9">
        <v>0.6485</v>
      </c>
      <c r="N69" s="9">
        <v>0.6485</v>
      </c>
      <c r="O69" s="9">
        <v>0.6485</v>
      </c>
      <c r="P69" s="9">
        <v>0.6485</v>
      </c>
      <c r="Q69" s="9">
        <v>0.6485</v>
      </c>
      <c r="R69" s="9">
        <v>0.6102</v>
      </c>
      <c r="S69" s="9">
        <v>0.5719</v>
      </c>
      <c r="T69" s="9">
        <v>0.5336</v>
      </c>
      <c r="U69" s="9">
        <v>0.4953</v>
      </c>
      <c r="V69" s="9">
        <v>0.4959</v>
      </c>
      <c r="W69" s="9">
        <v>0.4966</v>
      </c>
      <c r="X69" s="9">
        <v>0.4972</v>
      </c>
      <c r="Y69" s="9">
        <v>0.4979</v>
      </c>
      <c r="Z69" s="9">
        <v>0.4985</v>
      </c>
      <c r="AA69" s="9">
        <v>0.5026</v>
      </c>
      <c r="AB69" s="9">
        <v>0.5068</v>
      </c>
      <c r="AC69" s="9">
        <v>0.5109</v>
      </c>
      <c r="AD69" s="9">
        <v>0.5151</v>
      </c>
      <c r="AE69" s="9">
        <v>0.5192</v>
      </c>
      <c r="AF69" s="9">
        <v>0.5233</v>
      </c>
      <c r="AG69" s="9">
        <v>0.5258</v>
      </c>
      <c r="AH69" s="9">
        <v>0.5282</v>
      </c>
      <c r="AI69" s="9">
        <v>0.5306</v>
      </c>
      <c r="AJ69" s="9">
        <v>0.533</v>
      </c>
      <c r="AK69" s="9">
        <v>0.5354</v>
      </c>
      <c r="AL69" s="9">
        <v>0.5282</v>
      </c>
      <c r="AM69" s="9">
        <v>0.5209</v>
      </c>
      <c r="AN69" s="9">
        <v>0.5137</v>
      </c>
      <c r="AO69" s="9">
        <v>0.5064</v>
      </c>
      <c r="AP69" s="9">
        <v>0.4991</v>
      </c>
      <c r="AQ69" s="9">
        <v>0.4919</v>
      </c>
      <c r="AR69" s="9">
        <v>0.4919</v>
      </c>
      <c r="AS69" s="9">
        <v>0.4919</v>
      </c>
      <c r="AT69" s="9">
        <v>0.4919</v>
      </c>
    </row>
    <row r="70" ht="14.25" customHeight="1">
      <c r="A70" s="2" t="s">
        <v>214</v>
      </c>
      <c r="B70" s="9">
        <v>0.4582</v>
      </c>
      <c r="C70" s="9">
        <v>0.4596</v>
      </c>
      <c r="D70" s="9">
        <v>0.4616</v>
      </c>
      <c r="E70" s="9">
        <v>0.4624</v>
      </c>
      <c r="F70" s="9">
        <v>0.4651</v>
      </c>
      <c r="G70" s="9">
        <v>0.4679</v>
      </c>
      <c r="H70" s="9">
        <v>0.4713</v>
      </c>
      <c r="I70" s="9">
        <v>0.4741</v>
      </c>
      <c r="J70" s="9">
        <v>0.4767</v>
      </c>
      <c r="K70" s="9">
        <v>0.4843</v>
      </c>
      <c r="L70" s="9">
        <v>0.4915</v>
      </c>
      <c r="M70" s="9">
        <v>0.5024</v>
      </c>
      <c r="N70" s="9">
        <v>0.5072</v>
      </c>
      <c r="O70" s="9">
        <v>0.51</v>
      </c>
      <c r="P70" s="9">
        <v>0.5131</v>
      </c>
      <c r="Q70" s="9">
        <v>0.5107</v>
      </c>
      <c r="R70" s="9">
        <v>0.5115</v>
      </c>
      <c r="S70" s="9">
        <v>0.5125</v>
      </c>
      <c r="T70" s="9">
        <v>0.518</v>
      </c>
      <c r="U70" s="9">
        <v>0.5188</v>
      </c>
      <c r="V70" s="9">
        <v>0.5176</v>
      </c>
      <c r="W70" s="9">
        <v>0.5163</v>
      </c>
      <c r="X70" s="9">
        <v>0.5172</v>
      </c>
      <c r="Y70" s="9">
        <v>0.5143</v>
      </c>
      <c r="Z70" s="9">
        <v>0.5189</v>
      </c>
      <c r="AA70" s="9">
        <v>0.5221</v>
      </c>
      <c r="AB70" s="9">
        <v>0.5226</v>
      </c>
      <c r="AC70" s="9">
        <v>0.5254</v>
      </c>
      <c r="AD70" s="9">
        <v>0.5167</v>
      </c>
      <c r="AE70" s="9">
        <v>0.5177</v>
      </c>
      <c r="AF70" s="9">
        <v>0.5157</v>
      </c>
      <c r="AG70" s="9">
        <v>0.516</v>
      </c>
      <c r="AH70" s="9">
        <v>0.5172</v>
      </c>
      <c r="AI70" s="9">
        <v>0.5235</v>
      </c>
      <c r="AJ70" s="9">
        <v>0.5209</v>
      </c>
      <c r="AK70" s="9">
        <v>0.5198</v>
      </c>
      <c r="AL70" s="9">
        <v>0.5161</v>
      </c>
      <c r="AM70" s="9">
        <v>0.5124</v>
      </c>
      <c r="AN70" s="9">
        <v>0.51</v>
      </c>
      <c r="AO70" s="9">
        <v>0.5074</v>
      </c>
      <c r="AP70" s="9">
        <v>0.5078</v>
      </c>
      <c r="AQ70" s="9">
        <v>0.5081</v>
      </c>
      <c r="AR70" s="9">
        <v>0.5066</v>
      </c>
      <c r="AS70" s="9">
        <v>0.5051</v>
      </c>
      <c r="AT70" s="9">
        <v>0.5043</v>
      </c>
    </row>
    <row r="71" ht="14.25" customHeight="1">
      <c r="A71" s="2" t="s">
        <v>215</v>
      </c>
      <c r="B71" s="9">
        <v>0.4147</v>
      </c>
      <c r="C71" s="9">
        <v>0.416</v>
      </c>
      <c r="D71" s="9">
        <v>0.419</v>
      </c>
      <c r="E71" s="9">
        <v>0.4192</v>
      </c>
      <c r="F71" s="9">
        <v>0.4222</v>
      </c>
      <c r="G71" s="9">
        <v>0.4241</v>
      </c>
      <c r="H71" s="9">
        <v>0.4277</v>
      </c>
      <c r="I71" s="9">
        <v>0.4302</v>
      </c>
      <c r="J71" s="9">
        <v>0.4329</v>
      </c>
      <c r="K71" s="9">
        <v>0.4426</v>
      </c>
      <c r="L71" s="9">
        <v>0.4507</v>
      </c>
      <c r="M71" s="9">
        <v>0.464</v>
      </c>
      <c r="N71" s="9">
        <v>0.4706</v>
      </c>
      <c r="O71" s="9">
        <v>0.4738</v>
      </c>
      <c r="P71" s="9">
        <v>0.4791</v>
      </c>
      <c r="Q71" s="9">
        <v>0.4765</v>
      </c>
      <c r="R71" s="9">
        <v>0.4767</v>
      </c>
      <c r="S71" s="9">
        <v>0.478</v>
      </c>
      <c r="T71" s="9">
        <v>0.483</v>
      </c>
      <c r="U71" s="9">
        <v>0.4842</v>
      </c>
      <c r="V71" s="9">
        <v>0.4832</v>
      </c>
      <c r="W71" s="9">
        <v>0.4819</v>
      </c>
      <c r="X71" s="9">
        <v>0.4836</v>
      </c>
      <c r="Y71" s="9">
        <v>0.4807</v>
      </c>
      <c r="Z71" s="9">
        <v>0.4861</v>
      </c>
      <c r="AA71" s="9">
        <v>0.4887</v>
      </c>
      <c r="AB71" s="9">
        <v>0.4896</v>
      </c>
      <c r="AC71" s="9">
        <v>0.4923</v>
      </c>
      <c r="AD71" s="9">
        <v>0.4844</v>
      </c>
      <c r="AE71" s="9">
        <v>0.4845</v>
      </c>
      <c r="AF71" s="9">
        <v>0.4808</v>
      </c>
      <c r="AG71" s="9">
        <v>0.4816</v>
      </c>
      <c r="AH71" s="9">
        <v>0.4824</v>
      </c>
      <c r="AI71" s="9">
        <v>0.4889</v>
      </c>
      <c r="AJ71" s="9">
        <v>0.4855</v>
      </c>
      <c r="AK71" s="9">
        <v>0.4855</v>
      </c>
      <c r="AL71" s="9">
        <v>0.4816</v>
      </c>
      <c r="AM71" s="9">
        <v>0.4789</v>
      </c>
      <c r="AN71" s="9">
        <v>0.4775</v>
      </c>
      <c r="AO71" s="9">
        <v>0.4754</v>
      </c>
      <c r="AP71" s="9">
        <v>0.4755</v>
      </c>
      <c r="AQ71" s="9">
        <v>0.4756</v>
      </c>
      <c r="AR71" s="9">
        <v>0.4743</v>
      </c>
      <c r="AS71" s="9">
        <v>0.4735</v>
      </c>
      <c r="AT71" s="9">
        <v>0.4728</v>
      </c>
    </row>
    <row r="72" ht="14.25" customHeight="1">
      <c r="A72" s="2" t="s">
        <v>216</v>
      </c>
      <c r="B72" s="9">
        <v>0.4403</v>
      </c>
      <c r="C72" s="9">
        <v>0.4412</v>
      </c>
      <c r="D72" s="9">
        <v>0.4421</v>
      </c>
      <c r="E72" s="9">
        <v>0.443</v>
      </c>
      <c r="F72" s="9">
        <v>0.444</v>
      </c>
      <c r="G72" s="9">
        <v>0.4449</v>
      </c>
      <c r="H72" s="9">
        <v>0.4459</v>
      </c>
      <c r="I72" s="9">
        <v>0.4469</v>
      </c>
      <c r="J72" s="9">
        <v>0.4479</v>
      </c>
      <c r="K72" s="9">
        <v>0.449</v>
      </c>
      <c r="L72" s="9">
        <v>0.45</v>
      </c>
      <c r="M72" s="9">
        <v>0.4515</v>
      </c>
      <c r="N72" s="9">
        <v>0.453</v>
      </c>
      <c r="O72" s="9">
        <v>0.4544</v>
      </c>
      <c r="P72" s="9">
        <v>0.4558</v>
      </c>
      <c r="Q72" s="9">
        <v>0.4571</v>
      </c>
      <c r="R72" s="9">
        <v>0.4584</v>
      </c>
      <c r="S72" s="9">
        <v>0.4596</v>
      </c>
      <c r="T72" s="9">
        <v>0.4608</v>
      </c>
      <c r="U72" s="9">
        <v>0.462</v>
      </c>
      <c r="V72" s="9">
        <v>0.4631</v>
      </c>
      <c r="W72" s="9">
        <v>0.4719</v>
      </c>
      <c r="X72" s="9">
        <v>0.4805</v>
      </c>
      <c r="Y72" s="9">
        <v>0.489</v>
      </c>
      <c r="Z72" s="9">
        <v>0.4972</v>
      </c>
      <c r="AA72" s="9">
        <v>0.5052</v>
      </c>
      <c r="AB72" s="9">
        <v>0.5131</v>
      </c>
      <c r="AC72" s="9">
        <v>0.5207</v>
      </c>
      <c r="AD72" s="9">
        <v>0.5282</v>
      </c>
      <c r="AE72" s="9">
        <v>0.5356</v>
      </c>
      <c r="AF72" s="9">
        <v>0.5428</v>
      </c>
      <c r="AG72" s="9">
        <v>0.5447</v>
      </c>
      <c r="AH72" s="9">
        <v>0.5466</v>
      </c>
      <c r="AI72" s="9">
        <v>0.5483</v>
      </c>
      <c r="AJ72" s="9">
        <v>0.55</v>
      </c>
      <c r="AK72" s="9">
        <v>0.5516</v>
      </c>
      <c r="AL72" s="9">
        <v>0.5531</v>
      </c>
      <c r="AM72" s="9">
        <v>0.5546</v>
      </c>
      <c r="AN72" s="9">
        <v>0.556</v>
      </c>
      <c r="AO72" s="9">
        <v>0.5574</v>
      </c>
      <c r="AP72" s="9">
        <v>0.5587</v>
      </c>
      <c r="AQ72" s="9">
        <v>0.5587</v>
      </c>
      <c r="AR72" s="9">
        <v>0.5587</v>
      </c>
      <c r="AS72" s="9">
        <v>0.5587</v>
      </c>
      <c r="AT72" s="9">
        <v>0.5587</v>
      </c>
    </row>
    <row r="73" ht="14.25" customHeight="1">
      <c r="A73" s="2" t="s">
        <v>217</v>
      </c>
      <c r="B73" s="9">
        <v>0.3614</v>
      </c>
      <c r="C73" s="9">
        <v>0.3608</v>
      </c>
      <c r="D73" s="9">
        <v>0.3588</v>
      </c>
      <c r="E73" s="9">
        <v>0.3658</v>
      </c>
      <c r="F73" s="9">
        <v>0.3531</v>
      </c>
      <c r="G73" s="9">
        <v>0.3573</v>
      </c>
      <c r="H73" s="9">
        <v>0.3543</v>
      </c>
      <c r="I73" s="9">
        <v>0.3531</v>
      </c>
      <c r="J73" s="9">
        <v>0.366</v>
      </c>
      <c r="K73" s="9">
        <v>0.3495</v>
      </c>
      <c r="L73" s="9">
        <v>0.3384</v>
      </c>
      <c r="M73" s="9">
        <v>0.3284</v>
      </c>
      <c r="N73" s="9">
        <v>0.3264</v>
      </c>
      <c r="O73" s="9">
        <v>0.3309</v>
      </c>
      <c r="P73" s="9">
        <v>0.3623</v>
      </c>
      <c r="Q73" s="9">
        <v>0.3708</v>
      </c>
      <c r="R73" s="9">
        <v>0.3753</v>
      </c>
      <c r="S73" s="9">
        <v>0.3892</v>
      </c>
      <c r="T73" s="9">
        <v>0.3897</v>
      </c>
      <c r="U73" s="9">
        <v>0.3948</v>
      </c>
      <c r="V73" s="9">
        <v>0.4057</v>
      </c>
      <c r="W73" s="9">
        <v>0.3998</v>
      </c>
      <c r="X73" s="9">
        <v>0.3947</v>
      </c>
      <c r="Y73" s="9">
        <v>0.3918</v>
      </c>
      <c r="Z73" s="9">
        <v>0.401</v>
      </c>
      <c r="AA73" s="9">
        <v>0.3923</v>
      </c>
      <c r="AB73" s="9">
        <v>0.4045</v>
      </c>
      <c r="AC73" s="9">
        <v>0.4025</v>
      </c>
      <c r="AD73" s="9">
        <v>0.4182</v>
      </c>
      <c r="AE73" s="9">
        <v>0.4119</v>
      </c>
      <c r="AF73" s="9">
        <v>0.4189</v>
      </c>
      <c r="AG73" s="9">
        <v>0.4168</v>
      </c>
      <c r="AH73" s="9">
        <v>0.4095</v>
      </c>
      <c r="AI73" s="9">
        <v>0.4068</v>
      </c>
      <c r="AJ73" s="9">
        <v>0.4112</v>
      </c>
      <c r="AK73" s="9">
        <v>0.4194</v>
      </c>
      <c r="AL73" s="9">
        <v>0.4161</v>
      </c>
      <c r="AM73" s="9">
        <v>0.4194</v>
      </c>
      <c r="AN73" s="9">
        <v>0.418</v>
      </c>
      <c r="AO73" s="9">
        <v>0.4141</v>
      </c>
      <c r="AP73" s="9">
        <v>0.4141</v>
      </c>
      <c r="AQ73" s="9">
        <v>0.4107</v>
      </c>
      <c r="AR73" s="9">
        <v>0.4086</v>
      </c>
      <c r="AS73" s="9">
        <v>0.3925</v>
      </c>
      <c r="AT73" s="9">
        <v>0.3925</v>
      </c>
    </row>
    <row r="74" ht="14.25" customHeight="1">
      <c r="A74" s="2" t="s">
        <v>218</v>
      </c>
      <c r="B74" s="9">
        <v>0.4034</v>
      </c>
      <c r="C74" s="9">
        <v>0.4</v>
      </c>
      <c r="D74" s="9">
        <v>0.3972</v>
      </c>
      <c r="E74" s="9">
        <v>0.3977</v>
      </c>
      <c r="F74" s="9">
        <v>0.3999</v>
      </c>
      <c r="G74" s="9">
        <v>0.3994</v>
      </c>
      <c r="H74" s="9">
        <v>0.4039</v>
      </c>
      <c r="I74" s="9">
        <v>0.4056</v>
      </c>
      <c r="J74" s="9">
        <v>0.4062</v>
      </c>
      <c r="K74" s="9">
        <v>0.415</v>
      </c>
      <c r="L74" s="9">
        <v>0.4182</v>
      </c>
      <c r="M74" s="9">
        <v>0.4201</v>
      </c>
      <c r="N74" s="9">
        <v>0.4179</v>
      </c>
      <c r="O74" s="9">
        <v>0.4205</v>
      </c>
      <c r="P74" s="9">
        <v>0.4253</v>
      </c>
      <c r="Q74" s="9">
        <v>0.4255</v>
      </c>
      <c r="R74" s="9">
        <v>0.4337</v>
      </c>
      <c r="S74" s="9">
        <v>0.439</v>
      </c>
      <c r="T74" s="9">
        <v>0.4442</v>
      </c>
      <c r="U74" s="9">
        <v>0.4426</v>
      </c>
      <c r="V74" s="9">
        <v>0.444</v>
      </c>
      <c r="W74" s="9">
        <v>0.443</v>
      </c>
      <c r="X74" s="9">
        <v>0.4461</v>
      </c>
      <c r="Y74" s="9">
        <v>0.4504</v>
      </c>
      <c r="Z74" s="9">
        <v>0.4566</v>
      </c>
      <c r="AA74" s="9">
        <v>0.4557</v>
      </c>
      <c r="AB74" s="9">
        <v>0.4524</v>
      </c>
      <c r="AC74" s="9">
        <v>0.4611</v>
      </c>
      <c r="AD74" s="9">
        <v>0.4645</v>
      </c>
      <c r="AE74" s="9">
        <v>0.4508</v>
      </c>
      <c r="AF74" s="9">
        <v>0.4542</v>
      </c>
      <c r="AG74" s="9">
        <v>0.4526</v>
      </c>
      <c r="AH74" s="9">
        <v>0.4448</v>
      </c>
      <c r="AI74" s="9">
        <v>0.4415</v>
      </c>
      <c r="AJ74" s="9">
        <v>0.4404</v>
      </c>
      <c r="AK74" s="9">
        <v>0.4501</v>
      </c>
      <c r="AL74" s="9">
        <v>0.4486</v>
      </c>
      <c r="AM74" s="9">
        <v>0.4507</v>
      </c>
      <c r="AN74" s="9">
        <v>0.4567</v>
      </c>
      <c r="AO74" s="9">
        <v>0.4541</v>
      </c>
      <c r="AP74" s="9">
        <v>0.4525</v>
      </c>
      <c r="AQ74" s="9">
        <v>0.4611</v>
      </c>
      <c r="AR74" s="9">
        <v>0.4579</v>
      </c>
      <c r="AS74" s="9">
        <v>0.4564</v>
      </c>
      <c r="AT74" s="9">
        <v>0.4564</v>
      </c>
    </row>
    <row r="75" ht="14.25" customHeight="1">
      <c r="A75" s="2" t="s">
        <v>219</v>
      </c>
      <c r="B75" s="9">
        <v>0.4403</v>
      </c>
      <c r="C75" s="9">
        <v>0.4412</v>
      </c>
      <c r="D75" s="9">
        <v>0.4421</v>
      </c>
      <c r="E75" s="9">
        <v>0.443</v>
      </c>
      <c r="F75" s="9">
        <v>0.444</v>
      </c>
      <c r="G75" s="9">
        <v>0.4449</v>
      </c>
      <c r="H75" s="9">
        <v>0.4459</v>
      </c>
      <c r="I75" s="9">
        <v>0.4469</v>
      </c>
      <c r="J75" s="9">
        <v>0.4479</v>
      </c>
      <c r="K75" s="9">
        <v>0.449</v>
      </c>
      <c r="L75" s="9">
        <v>0.45</v>
      </c>
      <c r="M75" s="9">
        <v>0.4515</v>
      </c>
      <c r="N75" s="9">
        <v>0.453</v>
      </c>
      <c r="O75" s="9">
        <v>0.4544</v>
      </c>
      <c r="P75" s="9">
        <v>0.4558</v>
      </c>
      <c r="Q75" s="9">
        <v>0.4571</v>
      </c>
      <c r="R75" s="9">
        <v>0.4584</v>
      </c>
      <c r="S75" s="9">
        <v>0.4596</v>
      </c>
      <c r="T75" s="9">
        <v>0.4608</v>
      </c>
      <c r="U75" s="9">
        <v>0.462</v>
      </c>
      <c r="V75" s="9">
        <v>0.4631</v>
      </c>
      <c r="W75" s="9">
        <v>0.4719</v>
      </c>
      <c r="X75" s="9">
        <v>0.4805</v>
      </c>
      <c r="Y75" s="9">
        <v>0.489</v>
      </c>
      <c r="Z75" s="9">
        <v>0.4972</v>
      </c>
      <c r="AA75" s="9">
        <v>0.5052</v>
      </c>
      <c r="AB75" s="9">
        <v>0.5131</v>
      </c>
      <c r="AC75" s="9">
        <v>0.5207</v>
      </c>
      <c r="AD75" s="9">
        <v>0.5282</v>
      </c>
      <c r="AE75" s="9">
        <v>0.5356</v>
      </c>
      <c r="AF75" s="9">
        <v>0.5428</v>
      </c>
      <c r="AG75" s="9">
        <v>0.5447</v>
      </c>
      <c r="AH75" s="9">
        <v>0.5466</v>
      </c>
      <c r="AI75" s="9">
        <v>0.5483</v>
      </c>
      <c r="AJ75" s="9">
        <v>0.55</v>
      </c>
      <c r="AK75" s="9">
        <v>0.5516</v>
      </c>
      <c r="AL75" s="9">
        <v>0.5531</v>
      </c>
      <c r="AM75" s="9">
        <v>0.5546</v>
      </c>
      <c r="AN75" s="9">
        <v>0.556</v>
      </c>
      <c r="AO75" s="9">
        <v>0.5574</v>
      </c>
      <c r="AP75" s="9">
        <v>0.5587</v>
      </c>
      <c r="AQ75" s="9">
        <v>0.5587</v>
      </c>
      <c r="AR75" s="9">
        <v>0.5587</v>
      </c>
      <c r="AS75" s="9">
        <v>0.5587</v>
      </c>
      <c r="AT75" s="9">
        <v>0.5587</v>
      </c>
    </row>
    <row r="76" ht="14.25" customHeight="1">
      <c r="A76" s="2" t="s">
        <v>220</v>
      </c>
      <c r="B76" s="9">
        <v>0.599</v>
      </c>
      <c r="C76" s="9">
        <v>0.599</v>
      </c>
      <c r="D76" s="9">
        <v>0.599</v>
      </c>
      <c r="E76" s="9">
        <v>0.599</v>
      </c>
      <c r="F76" s="9">
        <v>0.599</v>
      </c>
      <c r="G76" s="9">
        <v>0.599</v>
      </c>
      <c r="H76" s="9">
        <v>0.599</v>
      </c>
      <c r="I76" s="9">
        <v>0.599</v>
      </c>
      <c r="J76" s="9">
        <v>0.599</v>
      </c>
      <c r="K76" s="9">
        <v>0.599</v>
      </c>
      <c r="L76" s="9">
        <v>0.599</v>
      </c>
      <c r="M76" s="9">
        <v>0.599</v>
      </c>
      <c r="N76" s="9">
        <v>0.599</v>
      </c>
      <c r="O76" s="9">
        <v>0.599</v>
      </c>
      <c r="P76" s="9">
        <v>0.599</v>
      </c>
      <c r="Q76" s="9">
        <v>0.599</v>
      </c>
      <c r="R76" s="9">
        <v>0.599</v>
      </c>
      <c r="S76" s="9">
        <v>0.599</v>
      </c>
      <c r="T76" s="9">
        <v>0.599</v>
      </c>
      <c r="U76" s="9">
        <v>0.599</v>
      </c>
      <c r="V76" s="9">
        <v>0.599</v>
      </c>
      <c r="W76" s="9">
        <v>0.599</v>
      </c>
      <c r="X76" s="9">
        <v>0.599</v>
      </c>
      <c r="Y76" s="9">
        <v>0.599</v>
      </c>
      <c r="Z76" s="9">
        <v>0.599</v>
      </c>
      <c r="AA76" s="9">
        <v>0.599</v>
      </c>
      <c r="AB76" s="9">
        <v>0.5944</v>
      </c>
      <c r="AC76" s="9">
        <v>0.5899</v>
      </c>
      <c r="AD76" s="9">
        <v>0.5853</v>
      </c>
      <c r="AE76" s="9">
        <v>0.5807</v>
      </c>
      <c r="AF76" s="9">
        <v>0.5761</v>
      </c>
      <c r="AG76" s="9">
        <v>0.5715</v>
      </c>
      <c r="AH76" s="9">
        <v>0.5669</v>
      </c>
      <c r="AI76" s="9">
        <v>0.5623</v>
      </c>
      <c r="AJ76" s="9">
        <v>0.5578</v>
      </c>
      <c r="AK76" s="9">
        <v>0.5532</v>
      </c>
      <c r="AL76" s="9">
        <v>0.5486</v>
      </c>
      <c r="AM76" s="9">
        <v>0.544</v>
      </c>
      <c r="AN76" s="9">
        <v>0.544</v>
      </c>
      <c r="AO76" s="9">
        <v>0.544</v>
      </c>
      <c r="AP76" s="9">
        <v>0.544</v>
      </c>
      <c r="AQ76" s="9">
        <v>0.544</v>
      </c>
      <c r="AR76" s="9">
        <v>0.544</v>
      </c>
      <c r="AS76" s="9">
        <v>0.544</v>
      </c>
      <c r="AT76" s="9">
        <v>0.544</v>
      </c>
    </row>
    <row r="77" ht="14.25" customHeight="1">
      <c r="A77" s="2" t="s">
        <v>221</v>
      </c>
      <c r="B77" s="9">
        <v>0.6484</v>
      </c>
      <c r="C77" s="9">
        <v>0.6484</v>
      </c>
      <c r="D77" s="9">
        <v>0.6484</v>
      </c>
      <c r="E77" s="9">
        <v>0.6484</v>
      </c>
      <c r="F77" s="9">
        <v>0.6484</v>
      </c>
      <c r="G77" s="9">
        <v>0.6484</v>
      </c>
      <c r="H77" s="9">
        <v>0.6484</v>
      </c>
      <c r="I77" s="9">
        <v>0.6484</v>
      </c>
      <c r="J77" s="9">
        <v>0.6484</v>
      </c>
      <c r="K77" s="9">
        <v>0.6484</v>
      </c>
      <c r="L77" s="9">
        <v>0.6484</v>
      </c>
      <c r="M77" s="9">
        <v>0.6484</v>
      </c>
      <c r="N77" s="9">
        <v>0.6484</v>
      </c>
      <c r="O77" s="9">
        <v>0.6484</v>
      </c>
      <c r="P77" s="9">
        <v>0.6484</v>
      </c>
      <c r="Q77" s="9">
        <v>0.6484</v>
      </c>
      <c r="R77" s="9">
        <v>0.6484</v>
      </c>
      <c r="S77" s="9">
        <v>0.6484</v>
      </c>
      <c r="T77" s="9">
        <v>0.6484</v>
      </c>
      <c r="U77" s="9">
        <v>0.6473</v>
      </c>
      <c r="V77" s="9">
        <v>0.6462</v>
      </c>
      <c r="W77" s="9">
        <v>0.6451</v>
      </c>
      <c r="X77" s="9">
        <v>0.644</v>
      </c>
      <c r="Y77" s="9">
        <v>0.6429</v>
      </c>
      <c r="Z77" s="9">
        <v>0.6396</v>
      </c>
      <c r="AA77" s="9">
        <v>0.6362</v>
      </c>
      <c r="AB77" s="9">
        <v>0.6329</v>
      </c>
      <c r="AC77" s="9">
        <v>0.6295</v>
      </c>
      <c r="AD77" s="9">
        <v>0.6262</v>
      </c>
      <c r="AE77" s="9">
        <v>0.6228</v>
      </c>
      <c r="AF77" s="9">
        <v>0.6194</v>
      </c>
      <c r="AG77" s="9">
        <v>0.6043</v>
      </c>
      <c r="AH77" s="9">
        <v>0.5892</v>
      </c>
      <c r="AI77" s="9">
        <v>0.5741</v>
      </c>
      <c r="AJ77" s="9">
        <v>0.559</v>
      </c>
      <c r="AK77" s="9">
        <v>0.5439</v>
      </c>
      <c r="AL77" s="9">
        <v>0.5489</v>
      </c>
      <c r="AM77" s="9">
        <v>0.5539</v>
      </c>
      <c r="AN77" s="9">
        <v>0.559</v>
      </c>
      <c r="AO77" s="9">
        <v>0.564</v>
      </c>
      <c r="AP77" s="9">
        <v>0.569</v>
      </c>
      <c r="AQ77" s="9">
        <v>0.569</v>
      </c>
      <c r="AR77" s="9">
        <v>0.569</v>
      </c>
      <c r="AS77" s="9">
        <v>0.569</v>
      </c>
      <c r="AT77" s="9">
        <v>0.569</v>
      </c>
    </row>
    <row r="78" ht="14.25" customHeight="1">
      <c r="A78" s="2" t="s">
        <v>222</v>
      </c>
      <c r="B78" s="9">
        <v>0.3026</v>
      </c>
      <c r="C78" s="9">
        <v>0.3009</v>
      </c>
      <c r="D78" s="9">
        <v>0.2993</v>
      </c>
      <c r="E78" s="9">
        <v>0.2977</v>
      </c>
      <c r="F78" s="9">
        <v>0.2961</v>
      </c>
      <c r="G78" s="9">
        <v>0.2946</v>
      </c>
      <c r="H78" s="9">
        <v>0.2937</v>
      </c>
      <c r="I78" s="9">
        <v>0.2929</v>
      </c>
      <c r="J78" s="9">
        <v>0.2921</v>
      </c>
      <c r="K78" s="9">
        <v>0.2953</v>
      </c>
      <c r="L78" s="9">
        <v>0.3092</v>
      </c>
      <c r="M78" s="9">
        <v>0.3509</v>
      </c>
      <c r="N78" s="9">
        <v>0.3924</v>
      </c>
      <c r="O78" s="9">
        <v>0.434</v>
      </c>
      <c r="P78" s="9">
        <v>0.4755</v>
      </c>
      <c r="Q78" s="9">
        <v>0.517</v>
      </c>
      <c r="R78" s="9">
        <v>0.5582</v>
      </c>
      <c r="S78" s="9">
        <v>0.5807</v>
      </c>
      <c r="T78" s="9">
        <v>0.6076</v>
      </c>
      <c r="U78" s="9">
        <v>0.5823</v>
      </c>
      <c r="V78" s="9">
        <v>0.584</v>
      </c>
      <c r="W78" s="9">
        <v>0.5812</v>
      </c>
      <c r="X78" s="9">
        <v>0.5574</v>
      </c>
      <c r="Y78" s="9">
        <v>0.5519</v>
      </c>
      <c r="Z78" s="9">
        <v>0.5478</v>
      </c>
      <c r="AA78" s="9">
        <v>0.5624</v>
      </c>
      <c r="AB78" s="9">
        <v>0.5612</v>
      </c>
      <c r="AC78" s="9">
        <v>0.5802</v>
      </c>
      <c r="AD78" s="9">
        <v>0.5739</v>
      </c>
      <c r="AE78" s="9">
        <v>0.5541</v>
      </c>
      <c r="AF78" s="9">
        <v>0.5652</v>
      </c>
      <c r="AG78" s="9">
        <v>0.6019</v>
      </c>
      <c r="AH78" s="9">
        <v>0.564</v>
      </c>
      <c r="AI78" s="9">
        <v>0.6004</v>
      </c>
      <c r="AJ78" s="9">
        <v>0.5617</v>
      </c>
      <c r="AK78" s="9">
        <v>0.5623</v>
      </c>
      <c r="AL78" s="9">
        <v>0.5797</v>
      </c>
      <c r="AM78" s="9">
        <v>0.5874</v>
      </c>
      <c r="AN78" s="9">
        <v>0.5805</v>
      </c>
      <c r="AO78" s="9">
        <v>0.5845</v>
      </c>
      <c r="AP78" s="9">
        <v>0.5845</v>
      </c>
      <c r="AQ78" s="9">
        <v>0.5845</v>
      </c>
      <c r="AR78" s="9">
        <v>0.5845</v>
      </c>
      <c r="AS78" s="9">
        <v>0.5845</v>
      </c>
      <c r="AT78" s="9">
        <v>0.5845</v>
      </c>
    </row>
    <row r="79" ht="14.25" customHeight="1">
      <c r="A79" s="2" t="s">
        <v>409</v>
      </c>
      <c r="B79" s="9">
        <v>0.2662</v>
      </c>
      <c r="C79" s="9">
        <v>0.2641</v>
      </c>
      <c r="D79" s="9">
        <v>0.262</v>
      </c>
      <c r="E79" s="9">
        <v>0.2599</v>
      </c>
      <c r="F79" s="9">
        <v>0.2627</v>
      </c>
      <c r="G79" s="9">
        <v>0.2655</v>
      </c>
      <c r="H79" s="9">
        <v>0.2646</v>
      </c>
      <c r="I79" s="9">
        <v>0.2636</v>
      </c>
      <c r="J79" s="9">
        <v>0.2626</v>
      </c>
      <c r="K79" s="9">
        <v>0.2626</v>
      </c>
      <c r="L79" s="9">
        <v>0.2626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</row>
    <row r="80" ht="14.25" customHeight="1">
      <c r="A80" s="2" t="s">
        <v>223</v>
      </c>
      <c r="B80" s="9">
        <v>0.3829</v>
      </c>
      <c r="C80" s="9">
        <v>0.379</v>
      </c>
      <c r="D80" s="9">
        <v>0.3764</v>
      </c>
      <c r="E80" s="9">
        <v>0.3802</v>
      </c>
      <c r="F80" s="9">
        <v>0.3802</v>
      </c>
      <c r="G80" s="9">
        <v>0.3805</v>
      </c>
      <c r="H80" s="9">
        <v>0.3863</v>
      </c>
      <c r="I80" s="9">
        <v>0.3948</v>
      </c>
      <c r="J80" s="9">
        <v>0.406</v>
      </c>
      <c r="K80" s="9">
        <v>0.4172</v>
      </c>
      <c r="L80" s="9">
        <v>0.4185</v>
      </c>
      <c r="M80" s="9">
        <v>0.407</v>
      </c>
      <c r="N80" s="9">
        <v>0.4017</v>
      </c>
      <c r="O80" s="9">
        <v>0.3965</v>
      </c>
      <c r="P80" s="9">
        <v>0.3931</v>
      </c>
      <c r="Q80" s="9">
        <v>0.3892</v>
      </c>
      <c r="R80" s="9">
        <v>0.4011</v>
      </c>
      <c r="S80" s="9">
        <v>0.4042</v>
      </c>
      <c r="T80" s="9">
        <v>0.4233</v>
      </c>
      <c r="U80" s="9">
        <v>0.4206</v>
      </c>
      <c r="V80" s="9">
        <v>0.421</v>
      </c>
      <c r="W80" s="9">
        <v>0.4211</v>
      </c>
      <c r="X80" s="9">
        <v>0.4308</v>
      </c>
      <c r="Y80" s="9">
        <v>0.4194</v>
      </c>
      <c r="Z80" s="9">
        <v>0.4302</v>
      </c>
      <c r="AA80" s="9">
        <v>0.458</v>
      </c>
      <c r="AB80" s="9">
        <v>0.4568</v>
      </c>
      <c r="AC80" s="9">
        <v>0.4779</v>
      </c>
      <c r="AD80" s="9">
        <v>0.4709</v>
      </c>
      <c r="AE80" s="9">
        <v>0.4755</v>
      </c>
      <c r="AF80" s="9">
        <v>0.471</v>
      </c>
      <c r="AG80" s="9">
        <v>0.4742</v>
      </c>
      <c r="AH80" s="9">
        <v>0.4732</v>
      </c>
      <c r="AI80" s="9">
        <v>0.4915</v>
      </c>
      <c r="AJ80" s="9">
        <v>0.493</v>
      </c>
      <c r="AK80" s="9">
        <v>0.4918</v>
      </c>
      <c r="AL80" s="9">
        <v>0.4879</v>
      </c>
      <c r="AM80" s="9">
        <v>0.4852</v>
      </c>
      <c r="AN80" s="9">
        <v>0.4824</v>
      </c>
      <c r="AO80" s="9">
        <v>0.4833</v>
      </c>
      <c r="AP80" s="9">
        <v>0.483</v>
      </c>
      <c r="AQ80" s="9">
        <v>0.4827</v>
      </c>
      <c r="AR80" s="9">
        <v>0.4844</v>
      </c>
      <c r="AS80" s="9">
        <v>0.4845</v>
      </c>
      <c r="AT80" s="9">
        <v>0.4845</v>
      </c>
    </row>
    <row r="81" ht="14.25" customHeight="1">
      <c r="A81" s="2" t="s">
        <v>224</v>
      </c>
      <c r="B81" s="9">
        <v>0.5293</v>
      </c>
      <c r="C81" s="9">
        <v>0.5293</v>
      </c>
      <c r="D81" s="9">
        <v>0.5293</v>
      </c>
      <c r="E81" s="9">
        <v>0.5293</v>
      </c>
      <c r="F81" s="9">
        <v>0.5293</v>
      </c>
      <c r="G81" s="9">
        <v>0.5293</v>
      </c>
      <c r="H81" s="9">
        <v>0.5293</v>
      </c>
      <c r="I81" s="9">
        <v>0.5293</v>
      </c>
      <c r="J81" s="9">
        <v>0.5387</v>
      </c>
      <c r="K81" s="9">
        <v>0.5464</v>
      </c>
      <c r="L81" s="9">
        <v>0.5541</v>
      </c>
      <c r="M81" s="9">
        <v>0.5619</v>
      </c>
      <c r="N81" s="9">
        <v>0.5624</v>
      </c>
      <c r="O81" s="9">
        <v>0.563</v>
      </c>
      <c r="P81" s="9">
        <v>0.5635</v>
      </c>
      <c r="Q81" s="9">
        <v>0.5641</v>
      </c>
      <c r="R81" s="9">
        <v>0.5646</v>
      </c>
      <c r="S81" s="9">
        <v>0.5652</v>
      </c>
      <c r="T81" s="9">
        <v>0.5658</v>
      </c>
      <c r="U81" s="9">
        <v>0.5703</v>
      </c>
      <c r="V81" s="9">
        <v>0.5748</v>
      </c>
      <c r="W81" s="9">
        <v>0.5793</v>
      </c>
      <c r="X81" s="9">
        <v>0.5838</v>
      </c>
      <c r="Y81" s="9">
        <v>0.5883</v>
      </c>
      <c r="Z81" s="9">
        <v>0.5928</v>
      </c>
      <c r="AA81" s="9">
        <v>0.5973</v>
      </c>
      <c r="AB81" s="9">
        <v>0.5962</v>
      </c>
      <c r="AC81" s="9">
        <v>0.5951</v>
      </c>
      <c r="AD81" s="9">
        <v>0.594</v>
      </c>
      <c r="AE81" s="9">
        <v>0.5928</v>
      </c>
      <c r="AF81" s="9">
        <v>0.5917</v>
      </c>
      <c r="AG81" s="9">
        <v>0.5906</v>
      </c>
      <c r="AH81" s="9">
        <v>0.5895</v>
      </c>
      <c r="AI81" s="9">
        <v>0.5915</v>
      </c>
      <c r="AJ81" s="9">
        <v>0.5935</v>
      </c>
      <c r="AK81" s="9">
        <v>0.5955</v>
      </c>
      <c r="AL81" s="9">
        <v>0.5975</v>
      </c>
      <c r="AM81" s="9">
        <v>0.5975</v>
      </c>
      <c r="AN81" s="9">
        <v>0.5975</v>
      </c>
      <c r="AO81" s="9">
        <v>0.5975</v>
      </c>
      <c r="AP81" s="9">
        <v>0.5975</v>
      </c>
      <c r="AQ81" s="9">
        <v>0.5975</v>
      </c>
      <c r="AR81" s="9">
        <v>0.5975</v>
      </c>
      <c r="AS81" s="9">
        <v>0.5975</v>
      </c>
      <c r="AT81" s="9">
        <v>0.5975</v>
      </c>
    </row>
    <row r="82" ht="14.25" customHeight="1">
      <c r="A82" s="2" t="s">
        <v>225</v>
      </c>
      <c r="B82" s="9">
        <v>0.4447</v>
      </c>
      <c r="C82" s="9">
        <v>0.4462</v>
      </c>
      <c r="D82" s="9">
        <v>0.4474</v>
      </c>
      <c r="E82" s="9">
        <v>0.4467</v>
      </c>
      <c r="F82" s="9">
        <v>0.4511</v>
      </c>
      <c r="G82" s="9">
        <v>0.4558</v>
      </c>
      <c r="H82" s="9">
        <v>0.4511</v>
      </c>
      <c r="I82" s="9">
        <v>0.4493</v>
      </c>
      <c r="J82" s="9">
        <v>0.4446</v>
      </c>
      <c r="K82" s="9">
        <v>0.4448</v>
      </c>
      <c r="L82" s="9">
        <v>0.4437</v>
      </c>
      <c r="M82" s="9">
        <v>0.4412</v>
      </c>
      <c r="N82" s="9">
        <v>0.45</v>
      </c>
      <c r="O82" s="9">
        <v>0.4578</v>
      </c>
      <c r="P82" s="9">
        <v>0.4658</v>
      </c>
      <c r="Q82" s="9">
        <v>0.463</v>
      </c>
      <c r="R82" s="9">
        <v>0.4639</v>
      </c>
      <c r="S82" s="9">
        <v>0.4717</v>
      </c>
      <c r="T82" s="9">
        <v>0.4714</v>
      </c>
      <c r="U82" s="9">
        <v>0.472</v>
      </c>
      <c r="V82" s="9">
        <v>0.4786</v>
      </c>
      <c r="W82" s="9">
        <v>0.476</v>
      </c>
      <c r="X82" s="9">
        <v>0.471</v>
      </c>
      <c r="Y82" s="9">
        <v>0.4747</v>
      </c>
      <c r="Z82" s="9">
        <v>0.4829</v>
      </c>
      <c r="AA82" s="9">
        <v>0.4832</v>
      </c>
      <c r="AB82" s="9">
        <v>0.4881</v>
      </c>
      <c r="AC82" s="9">
        <v>0.486</v>
      </c>
      <c r="AD82" s="9">
        <v>0.4697</v>
      </c>
      <c r="AE82" s="9">
        <v>0.4627</v>
      </c>
      <c r="AF82" s="9">
        <v>0.481</v>
      </c>
      <c r="AG82" s="9">
        <v>0.4817</v>
      </c>
      <c r="AH82" s="9">
        <v>0.4774</v>
      </c>
      <c r="AI82" s="9">
        <v>0.4812</v>
      </c>
      <c r="AJ82" s="9">
        <v>0.4848</v>
      </c>
      <c r="AK82" s="9">
        <v>0.484</v>
      </c>
      <c r="AL82" s="9">
        <v>0.4836</v>
      </c>
      <c r="AM82" s="9">
        <v>0.4829</v>
      </c>
      <c r="AN82" s="9">
        <v>0.4811</v>
      </c>
      <c r="AO82" s="9">
        <v>0.478</v>
      </c>
      <c r="AP82" s="9">
        <v>0.4784</v>
      </c>
      <c r="AQ82" s="9">
        <v>0.4829</v>
      </c>
      <c r="AR82" s="9">
        <v>0.4833</v>
      </c>
      <c r="AS82" s="9">
        <v>0.4833</v>
      </c>
      <c r="AT82" s="9">
        <v>0.4833</v>
      </c>
    </row>
    <row r="83" ht="14.25" customHeight="1">
      <c r="A83" s="2" t="s">
        <v>226</v>
      </c>
      <c r="B83" s="9">
        <v>0.4882</v>
      </c>
      <c r="C83" s="9">
        <v>0.506</v>
      </c>
      <c r="D83" s="9">
        <v>0.4994</v>
      </c>
      <c r="E83" s="9">
        <v>0.4847</v>
      </c>
      <c r="F83" s="9">
        <v>0.4812</v>
      </c>
      <c r="G83" s="9">
        <v>0.4905</v>
      </c>
      <c r="H83" s="9">
        <v>0.4758</v>
      </c>
      <c r="I83" s="9">
        <v>0.4664</v>
      </c>
      <c r="J83" s="9">
        <v>0.486</v>
      </c>
      <c r="K83" s="9">
        <v>0.4755</v>
      </c>
      <c r="L83" s="9">
        <v>0.4813</v>
      </c>
      <c r="M83" s="9">
        <v>0.4711</v>
      </c>
      <c r="N83" s="9">
        <v>0.4634</v>
      </c>
      <c r="O83" s="9">
        <v>0.4839</v>
      </c>
      <c r="P83" s="9">
        <v>0.4972</v>
      </c>
      <c r="Q83" s="9">
        <v>0.4991</v>
      </c>
      <c r="R83" s="9">
        <v>0.5032</v>
      </c>
      <c r="S83" s="9">
        <v>0.5234</v>
      </c>
      <c r="T83" s="9">
        <v>0.531</v>
      </c>
      <c r="U83" s="9">
        <v>0.533</v>
      </c>
      <c r="V83" s="9">
        <v>0.5434</v>
      </c>
      <c r="W83" s="9">
        <v>0.5397</v>
      </c>
      <c r="X83" s="9">
        <v>0.5118</v>
      </c>
      <c r="Y83" s="9">
        <v>0.4963</v>
      </c>
      <c r="Z83" s="9">
        <v>0.5007</v>
      </c>
      <c r="AA83" s="9">
        <v>0.5067</v>
      </c>
      <c r="AB83" s="9">
        <v>0.4866</v>
      </c>
      <c r="AC83" s="9">
        <v>0.4757</v>
      </c>
      <c r="AD83" s="9">
        <v>0.4502</v>
      </c>
      <c r="AE83" s="9">
        <v>0.4478</v>
      </c>
      <c r="AF83" s="9">
        <v>0.4669</v>
      </c>
      <c r="AG83" s="9">
        <v>0.4556</v>
      </c>
      <c r="AH83" s="9">
        <v>0.4585</v>
      </c>
      <c r="AI83" s="9">
        <v>0.4635</v>
      </c>
      <c r="AJ83" s="9">
        <v>0.4878</v>
      </c>
      <c r="AK83" s="9">
        <v>0.4856</v>
      </c>
      <c r="AL83" s="9">
        <v>0.4725</v>
      </c>
      <c r="AM83" s="9">
        <v>0.4642</v>
      </c>
      <c r="AN83" s="9">
        <v>0.4507</v>
      </c>
      <c r="AO83" s="9">
        <v>0.4475</v>
      </c>
      <c r="AP83" s="9">
        <v>0.4475</v>
      </c>
      <c r="AQ83" s="9">
        <v>0.4508</v>
      </c>
      <c r="AR83" s="9">
        <v>0.4557</v>
      </c>
      <c r="AS83" s="9">
        <v>0.4517</v>
      </c>
      <c r="AT83" s="9">
        <v>0.4517</v>
      </c>
    </row>
    <row r="84" ht="14.25" customHeight="1">
      <c r="A84" s="2" t="s">
        <v>227</v>
      </c>
      <c r="B84" s="9">
        <v>0.4403</v>
      </c>
      <c r="C84" s="9">
        <v>0.4412</v>
      </c>
      <c r="D84" s="9">
        <v>0.4421</v>
      </c>
      <c r="E84" s="9">
        <v>0.443</v>
      </c>
      <c r="F84" s="9">
        <v>0.444</v>
      </c>
      <c r="G84" s="9">
        <v>0.4449</v>
      </c>
      <c r="H84" s="9">
        <v>0.4459</v>
      </c>
      <c r="I84" s="9">
        <v>0.4469</v>
      </c>
      <c r="J84" s="9">
        <v>0.4479</v>
      </c>
      <c r="K84" s="9">
        <v>0.449</v>
      </c>
      <c r="L84" s="9">
        <v>0.45</v>
      </c>
      <c r="M84" s="9">
        <v>0.4515</v>
      </c>
      <c r="N84" s="9">
        <v>0.453</v>
      </c>
      <c r="O84" s="9">
        <v>0.4544</v>
      </c>
      <c r="P84" s="9">
        <v>0.4558</v>
      </c>
      <c r="Q84" s="9">
        <v>0.4571</v>
      </c>
      <c r="R84" s="9">
        <v>0.4584</v>
      </c>
      <c r="S84" s="9">
        <v>0.4596</v>
      </c>
      <c r="T84" s="9">
        <v>0.4608</v>
      </c>
      <c r="U84" s="9">
        <v>0.462</v>
      </c>
      <c r="V84" s="9">
        <v>0.4631</v>
      </c>
      <c r="W84" s="9">
        <v>0.4719</v>
      </c>
      <c r="X84" s="9">
        <v>0.4805</v>
      </c>
      <c r="Y84" s="9">
        <v>0.489</v>
      </c>
      <c r="Z84" s="9">
        <v>0.4972</v>
      </c>
      <c r="AA84" s="9">
        <v>0.5052</v>
      </c>
      <c r="AB84" s="9">
        <v>0.5131</v>
      </c>
      <c r="AC84" s="9">
        <v>0.5207</v>
      </c>
      <c r="AD84" s="9">
        <v>0.5282</v>
      </c>
      <c r="AE84" s="9">
        <v>0.5356</v>
      </c>
      <c r="AF84" s="9">
        <v>0.5428</v>
      </c>
      <c r="AG84" s="9">
        <v>0.5447</v>
      </c>
      <c r="AH84" s="9">
        <v>0.5466</v>
      </c>
      <c r="AI84" s="9">
        <v>0.5483</v>
      </c>
      <c r="AJ84" s="9">
        <v>0.55</v>
      </c>
      <c r="AK84" s="9">
        <v>0.5516</v>
      </c>
      <c r="AL84" s="9">
        <v>0.5531</v>
      </c>
      <c r="AM84" s="9">
        <v>0.5546</v>
      </c>
      <c r="AN84" s="9">
        <v>0.556</v>
      </c>
      <c r="AO84" s="9">
        <v>0.5574</v>
      </c>
      <c r="AP84" s="9">
        <v>0.5587</v>
      </c>
      <c r="AQ84" s="9">
        <v>0.5587</v>
      </c>
      <c r="AR84" s="9">
        <v>0.5587</v>
      </c>
      <c r="AS84" s="9">
        <v>0.5587</v>
      </c>
      <c r="AT84" s="9">
        <v>0.5587</v>
      </c>
    </row>
    <row r="85" ht="14.25" customHeight="1">
      <c r="A85" s="2" t="s">
        <v>228</v>
      </c>
      <c r="B85" s="9">
        <v>0.6852</v>
      </c>
      <c r="C85" s="9">
        <v>0.6854</v>
      </c>
      <c r="D85" s="9">
        <v>0.6857</v>
      </c>
      <c r="E85" s="9">
        <v>0.6859</v>
      </c>
      <c r="F85" s="9">
        <v>0.6861</v>
      </c>
      <c r="G85" s="9">
        <v>0.6863</v>
      </c>
      <c r="H85" s="9">
        <v>0.6866</v>
      </c>
      <c r="I85" s="9">
        <v>0.6868</v>
      </c>
      <c r="J85" s="9">
        <v>0.6871</v>
      </c>
      <c r="K85" s="9">
        <v>0.6877</v>
      </c>
      <c r="L85" s="9">
        <v>0.6879</v>
      </c>
      <c r="M85" s="9">
        <v>0.6868</v>
      </c>
      <c r="N85" s="9">
        <v>0.6859</v>
      </c>
      <c r="O85" s="9">
        <v>0.6851</v>
      </c>
      <c r="P85" s="9">
        <v>0.6842</v>
      </c>
      <c r="Q85" s="9">
        <v>0.6834</v>
      </c>
      <c r="R85" s="9">
        <v>0.6826</v>
      </c>
      <c r="S85" s="9">
        <v>0.6818</v>
      </c>
      <c r="T85" s="9">
        <v>0.681</v>
      </c>
      <c r="U85" s="9">
        <v>0.6802</v>
      </c>
      <c r="V85" s="9">
        <v>0.6794</v>
      </c>
      <c r="W85" s="9">
        <v>0.6781</v>
      </c>
      <c r="X85" s="9">
        <v>0.6768</v>
      </c>
      <c r="Y85" s="9">
        <v>0.6756</v>
      </c>
      <c r="Z85" s="9">
        <v>0.6745</v>
      </c>
      <c r="AA85" s="9">
        <v>0.6734</v>
      </c>
      <c r="AB85" s="9">
        <v>0.6724</v>
      </c>
      <c r="AC85" s="9">
        <v>0.6714</v>
      </c>
      <c r="AD85" s="9">
        <v>0.6704</v>
      </c>
      <c r="AE85" s="9">
        <v>0.6695</v>
      </c>
      <c r="AF85" s="9">
        <v>0.6687</v>
      </c>
      <c r="AG85" s="9">
        <v>0.6601</v>
      </c>
      <c r="AH85" s="9">
        <v>0.6516</v>
      </c>
      <c r="AI85" s="9">
        <v>0.6431</v>
      </c>
      <c r="AJ85" s="9">
        <v>0.6347</v>
      </c>
      <c r="AK85" s="9">
        <v>0.6264</v>
      </c>
      <c r="AL85" s="9">
        <v>0.6182</v>
      </c>
      <c r="AM85" s="9">
        <v>0.6099</v>
      </c>
      <c r="AN85" s="9">
        <v>0.6018</v>
      </c>
      <c r="AO85" s="9">
        <v>0.5937</v>
      </c>
      <c r="AP85" s="9">
        <v>0.5868</v>
      </c>
      <c r="AQ85" s="9">
        <v>0.5868</v>
      </c>
      <c r="AR85" s="9">
        <v>0.5868</v>
      </c>
      <c r="AS85" s="9">
        <v>0.5868</v>
      </c>
      <c r="AT85" s="9">
        <v>0.5868</v>
      </c>
    </row>
    <row r="86" ht="14.25" customHeight="1">
      <c r="A86" s="2" t="s">
        <v>229</v>
      </c>
      <c r="B86" s="9">
        <v>0.682</v>
      </c>
      <c r="C86" s="9">
        <v>0.682</v>
      </c>
      <c r="D86" s="9">
        <v>0.682</v>
      </c>
      <c r="E86" s="9">
        <v>0.682</v>
      </c>
      <c r="F86" s="9">
        <v>0.682</v>
      </c>
      <c r="G86" s="9">
        <v>0.682</v>
      </c>
      <c r="H86" s="9">
        <v>0.682</v>
      </c>
      <c r="I86" s="9">
        <v>0.682</v>
      </c>
      <c r="J86" s="9">
        <v>0.682</v>
      </c>
      <c r="K86" s="9">
        <v>0.682</v>
      </c>
      <c r="L86" s="9">
        <v>0.682</v>
      </c>
      <c r="M86" s="9">
        <v>0.682</v>
      </c>
      <c r="N86" s="9">
        <v>0.682</v>
      </c>
      <c r="O86" s="9">
        <v>0.682</v>
      </c>
      <c r="P86" s="9">
        <v>0.682</v>
      </c>
      <c r="Q86" s="9">
        <v>0.682</v>
      </c>
      <c r="R86" s="9">
        <v>0.682</v>
      </c>
      <c r="S86" s="9">
        <v>0.682</v>
      </c>
      <c r="T86" s="9">
        <v>0.682</v>
      </c>
      <c r="U86" s="9">
        <v>0.682</v>
      </c>
      <c r="V86" s="9">
        <v>0.682</v>
      </c>
      <c r="W86" s="9">
        <v>0.6903</v>
      </c>
      <c r="X86" s="9">
        <v>0.6885</v>
      </c>
      <c r="Y86" s="9">
        <v>0.6848</v>
      </c>
      <c r="Z86" s="9">
        <v>0.6817</v>
      </c>
      <c r="AA86" s="9">
        <v>0.6794</v>
      </c>
      <c r="AB86" s="9">
        <v>0.6749</v>
      </c>
      <c r="AC86" s="9">
        <v>0.6812</v>
      </c>
      <c r="AD86" s="9">
        <v>0.6744</v>
      </c>
      <c r="AE86" s="9">
        <v>0.6684</v>
      </c>
      <c r="AF86" s="9">
        <v>0.6678</v>
      </c>
      <c r="AG86" s="9">
        <v>0.6616</v>
      </c>
      <c r="AH86" s="9">
        <v>0.656</v>
      </c>
      <c r="AI86" s="9">
        <v>0.6594</v>
      </c>
      <c r="AJ86" s="9">
        <v>0.6552</v>
      </c>
      <c r="AK86" s="9">
        <v>0.6514</v>
      </c>
      <c r="AL86" s="9">
        <v>0.6525</v>
      </c>
      <c r="AM86" s="9">
        <v>0.653</v>
      </c>
      <c r="AN86" s="9">
        <v>0.655</v>
      </c>
      <c r="AO86" s="9">
        <v>0.6523</v>
      </c>
      <c r="AP86" s="9">
        <v>0.6739</v>
      </c>
      <c r="AQ86" s="9">
        <v>0.6609</v>
      </c>
      <c r="AR86" s="9">
        <v>0.6502</v>
      </c>
      <c r="AS86" s="9">
        <v>0.6505</v>
      </c>
      <c r="AT86" s="9">
        <v>0.6505</v>
      </c>
    </row>
    <row r="87" ht="14.25" customHeight="1">
      <c r="A87" s="2" t="s">
        <v>230</v>
      </c>
      <c r="B87" s="9">
        <v>0.4447</v>
      </c>
      <c r="C87" s="9">
        <v>0.4462</v>
      </c>
      <c r="D87" s="9">
        <v>0.4474</v>
      </c>
      <c r="E87" s="9">
        <v>0.4467</v>
      </c>
      <c r="F87" s="9">
        <v>0.4511</v>
      </c>
      <c r="G87" s="9">
        <v>0.4558</v>
      </c>
      <c r="H87" s="9">
        <v>0.4511</v>
      </c>
      <c r="I87" s="9">
        <v>0.4493</v>
      </c>
      <c r="J87" s="9">
        <v>0.4446</v>
      </c>
      <c r="K87" s="9">
        <v>0.4448</v>
      </c>
      <c r="L87" s="9">
        <v>0.4437</v>
      </c>
      <c r="M87" s="9">
        <v>0.4412</v>
      </c>
      <c r="N87" s="9">
        <v>0.45</v>
      </c>
      <c r="O87" s="9">
        <v>0.4578</v>
      </c>
      <c r="P87" s="9">
        <v>0.4658</v>
      </c>
      <c r="Q87" s="9">
        <v>0.463</v>
      </c>
      <c r="R87" s="9">
        <v>0.4639</v>
      </c>
      <c r="S87" s="9">
        <v>0.4717</v>
      </c>
      <c r="T87" s="9">
        <v>0.4714</v>
      </c>
      <c r="U87" s="9">
        <v>0.472</v>
      </c>
      <c r="V87" s="9">
        <v>0.4786</v>
      </c>
      <c r="W87" s="9">
        <v>0.476</v>
      </c>
      <c r="X87" s="9">
        <v>0.471</v>
      </c>
      <c r="Y87" s="9">
        <v>0.4747</v>
      </c>
      <c r="Z87" s="9">
        <v>0.4829</v>
      </c>
      <c r="AA87" s="9">
        <v>0.4832</v>
      </c>
      <c r="AB87" s="9">
        <v>0.4881</v>
      </c>
      <c r="AC87" s="9">
        <v>0.486</v>
      </c>
      <c r="AD87" s="9">
        <v>0.4697</v>
      </c>
      <c r="AE87" s="9">
        <v>0.4627</v>
      </c>
      <c r="AF87" s="9">
        <v>0.481</v>
      </c>
      <c r="AG87" s="9">
        <v>0.4817</v>
      </c>
      <c r="AH87" s="9">
        <v>0.4774</v>
      </c>
      <c r="AI87" s="9">
        <v>0.4812</v>
      </c>
      <c r="AJ87" s="9">
        <v>0.4848</v>
      </c>
      <c r="AK87" s="9">
        <v>0.484</v>
      </c>
      <c r="AL87" s="9">
        <v>0.4836</v>
      </c>
      <c r="AM87" s="9">
        <v>0.4829</v>
      </c>
      <c r="AN87" s="9">
        <v>0.4811</v>
      </c>
      <c r="AO87" s="9">
        <v>0.478</v>
      </c>
      <c r="AP87" s="9">
        <v>0.4784</v>
      </c>
      <c r="AQ87" s="9">
        <v>0.4829</v>
      </c>
      <c r="AR87" s="9">
        <v>0.4833</v>
      </c>
      <c r="AS87" s="9">
        <v>0.4833</v>
      </c>
      <c r="AT87" s="9">
        <v>0.4833</v>
      </c>
    </row>
    <row r="88" ht="14.25" customHeight="1">
      <c r="A88" s="2" t="s">
        <v>231</v>
      </c>
      <c r="B88" s="9">
        <v>0.5991</v>
      </c>
      <c r="C88" s="9">
        <v>0.5991</v>
      </c>
      <c r="D88" s="9">
        <v>0.5991</v>
      </c>
      <c r="E88" s="9">
        <v>0.5991</v>
      </c>
      <c r="F88" s="9">
        <v>0.5991</v>
      </c>
      <c r="G88" s="9">
        <v>0.5991</v>
      </c>
      <c r="H88" s="9">
        <v>0.5991</v>
      </c>
      <c r="I88" s="9">
        <v>0.5991</v>
      </c>
      <c r="J88" s="9">
        <v>0.5991</v>
      </c>
      <c r="K88" s="9">
        <v>0.5991</v>
      </c>
      <c r="L88" s="9">
        <v>0.5991</v>
      </c>
      <c r="M88" s="9">
        <v>0.5991</v>
      </c>
      <c r="N88" s="9">
        <v>0.6104</v>
      </c>
      <c r="O88" s="9">
        <v>0.6216</v>
      </c>
      <c r="P88" s="9">
        <v>0.6329</v>
      </c>
      <c r="Q88" s="9">
        <v>0.6299</v>
      </c>
      <c r="R88" s="9">
        <v>0.6269</v>
      </c>
      <c r="S88" s="9">
        <v>0.6239</v>
      </c>
      <c r="T88" s="9">
        <v>0.6209</v>
      </c>
      <c r="U88" s="9">
        <v>0.618</v>
      </c>
      <c r="V88" s="9">
        <v>0.615</v>
      </c>
      <c r="W88" s="9">
        <v>0.612</v>
      </c>
      <c r="X88" s="9">
        <v>0.609</v>
      </c>
      <c r="Y88" s="9">
        <v>0.6003</v>
      </c>
      <c r="Z88" s="9">
        <v>0.5915</v>
      </c>
      <c r="AA88" s="9">
        <v>0.5828</v>
      </c>
      <c r="AB88" s="9">
        <v>0.574</v>
      </c>
      <c r="AC88" s="9">
        <v>0.5653</v>
      </c>
      <c r="AD88" s="9">
        <v>0.5557</v>
      </c>
      <c r="AE88" s="9">
        <v>0.5462</v>
      </c>
      <c r="AF88" s="9">
        <v>0.5366</v>
      </c>
      <c r="AG88" s="9">
        <v>0.5271</v>
      </c>
      <c r="AH88" s="9">
        <v>0.5175</v>
      </c>
      <c r="AI88" s="9">
        <v>0.5097</v>
      </c>
      <c r="AJ88" s="9">
        <v>0.5019</v>
      </c>
      <c r="AK88" s="9">
        <v>0.4941</v>
      </c>
      <c r="AL88" s="9">
        <v>0.4863</v>
      </c>
      <c r="AM88" s="9">
        <v>0.4785</v>
      </c>
      <c r="AN88" s="9">
        <v>0.4707</v>
      </c>
      <c r="AO88" s="9">
        <v>0.4707</v>
      </c>
      <c r="AP88" s="9">
        <v>0.4707</v>
      </c>
      <c r="AQ88" s="9">
        <v>0.4707</v>
      </c>
      <c r="AR88" s="9">
        <v>0.4707</v>
      </c>
      <c r="AS88" s="9">
        <v>0.4707</v>
      </c>
      <c r="AT88" s="9">
        <v>0.4707</v>
      </c>
    </row>
    <row r="89" ht="14.25" customHeight="1">
      <c r="A89" s="2" t="s">
        <v>232</v>
      </c>
      <c r="B89" s="9">
        <v>0.7023</v>
      </c>
      <c r="C89" s="9">
        <v>0.7023</v>
      </c>
      <c r="D89" s="9">
        <v>0.7023</v>
      </c>
      <c r="E89" s="9">
        <v>0.7023</v>
      </c>
      <c r="F89" s="9">
        <v>0.7023</v>
      </c>
      <c r="G89" s="9">
        <v>0.7023</v>
      </c>
      <c r="H89" s="9">
        <v>0.7023</v>
      </c>
      <c r="I89" s="9">
        <v>0.7023</v>
      </c>
      <c r="J89" s="9">
        <v>0.7023</v>
      </c>
      <c r="K89" s="9">
        <v>0.7023</v>
      </c>
      <c r="L89" s="9">
        <v>0.7023</v>
      </c>
      <c r="M89" s="9">
        <v>0.7023</v>
      </c>
      <c r="N89" s="9">
        <v>0.6587</v>
      </c>
      <c r="O89" s="9">
        <v>0.615</v>
      </c>
      <c r="P89" s="9">
        <v>0.6065</v>
      </c>
      <c r="Q89" s="9">
        <v>0.5979</v>
      </c>
      <c r="R89" s="9">
        <v>0.5894</v>
      </c>
      <c r="S89" s="9">
        <v>0.5808</v>
      </c>
      <c r="T89" s="9">
        <v>0.5722</v>
      </c>
      <c r="U89" s="9">
        <v>0.5637</v>
      </c>
      <c r="V89" s="9">
        <v>0.5551</v>
      </c>
      <c r="W89" s="9">
        <v>0.5465</v>
      </c>
      <c r="X89" s="9">
        <v>0.538</v>
      </c>
      <c r="Y89" s="9">
        <v>0.5551</v>
      </c>
      <c r="Z89" s="9">
        <v>0.5723</v>
      </c>
      <c r="AA89" s="9">
        <v>0.5894</v>
      </c>
      <c r="AB89" s="9">
        <v>0.6066</v>
      </c>
      <c r="AC89" s="9">
        <v>0.6238</v>
      </c>
      <c r="AD89" s="9">
        <v>0.6409</v>
      </c>
      <c r="AE89" s="9">
        <v>0.6581</v>
      </c>
      <c r="AF89" s="9">
        <v>0.6753</v>
      </c>
      <c r="AG89" s="9">
        <v>0.6572</v>
      </c>
      <c r="AH89" s="9">
        <v>0.6391</v>
      </c>
      <c r="AI89" s="9">
        <v>0.621</v>
      </c>
      <c r="AJ89" s="9">
        <v>0.6029</v>
      </c>
      <c r="AK89" s="9">
        <v>0.5849</v>
      </c>
      <c r="AL89" s="9">
        <v>0.5668</v>
      </c>
      <c r="AM89" s="9">
        <v>0.5487</v>
      </c>
      <c r="AN89" s="9">
        <v>0.5306</v>
      </c>
      <c r="AO89" s="9">
        <v>0.5249</v>
      </c>
      <c r="AP89" s="9">
        <v>0.5191</v>
      </c>
      <c r="AQ89" s="9">
        <v>0.5134</v>
      </c>
      <c r="AR89" s="9">
        <v>0.5134</v>
      </c>
      <c r="AS89" s="9">
        <v>0.5134</v>
      </c>
      <c r="AT89" s="9">
        <v>0.5134</v>
      </c>
    </row>
    <row r="90" ht="14.25" customHeight="1">
      <c r="A90" s="2" t="s">
        <v>233</v>
      </c>
      <c r="B90" s="9">
        <v>0.682</v>
      </c>
      <c r="C90" s="9">
        <v>0.682</v>
      </c>
      <c r="D90" s="9">
        <v>0.682</v>
      </c>
      <c r="E90" s="9">
        <v>0.682</v>
      </c>
      <c r="F90" s="9">
        <v>0.682</v>
      </c>
      <c r="G90" s="9">
        <v>0.682</v>
      </c>
      <c r="H90" s="9">
        <v>0.682</v>
      </c>
      <c r="I90" s="9">
        <v>0.682</v>
      </c>
      <c r="J90" s="9">
        <v>0.682</v>
      </c>
      <c r="K90" s="9">
        <v>0.682</v>
      </c>
      <c r="L90" s="9">
        <v>0.682</v>
      </c>
      <c r="M90" s="9">
        <v>0.682</v>
      </c>
      <c r="N90" s="9">
        <v>0.682</v>
      </c>
      <c r="O90" s="9">
        <v>0.682</v>
      </c>
      <c r="P90" s="9">
        <v>0.682</v>
      </c>
      <c r="Q90" s="9">
        <v>0.682</v>
      </c>
      <c r="R90" s="9">
        <v>0.682</v>
      </c>
      <c r="S90" s="9">
        <v>0.682</v>
      </c>
      <c r="T90" s="9">
        <v>0.682</v>
      </c>
      <c r="U90" s="9">
        <v>0.682</v>
      </c>
      <c r="V90" s="9">
        <v>0.682</v>
      </c>
      <c r="W90" s="9">
        <v>0.6903</v>
      </c>
      <c r="X90" s="9">
        <v>0.6885</v>
      </c>
      <c r="Y90" s="9">
        <v>0.6848</v>
      </c>
      <c r="Z90" s="9">
        <v>0.6817</v>
      </c>
      <c r="AA90" s="9">
        <v>0.6794</v>
      </c>
      <c r="AB90" s="9">
        <v>0.6749</v>
      </c>
      <c r="AC90" s="9">
        <v>0.6812</v>
      </c>
      <c r="AD90" s="9">
        <v>0.6744</v>
      </c>
      <c r="AE90" s="9">
        <v>0.6684</v>
      </c>
      <c r="AF90" s="9">
        <v>0.6678</v>
      </c>
      <c r="AG90" s="9">
        <v>0.6616</v>
      </c>
      <c r="AH90" s="9">
        <v>0.656</v>
      </c>
      <c r="AI90" s="9">
        <v>0.6594</v>
      </c>
      <c r="AJ90" s="9">
        <v>0.6552</v>
      </c>
      <c r="AK90" s="9">
        <v>0.6514</v>
      </c>
      <c r="AL90" s="9">
        <v>0.6525</v>
      </c>
      <c r="AM90" s="9">
        <v>0.653</v>
      </c>
      <c r="AN90" s="9">
        <v>0.655</v>
      </c>
      <c r="AO90" s="9">
        <v>0.6523</v>
      </c>
      <c r="AP90" s="9">
        <v>0.6739</v>
      </c>
      <c r="AQ90" s="9">
        <v>0.6609</v>
      </c>
      <c r="AR90" s="9">
        <v>0.6502</v>
      </c>
      <c r="AS90" s="9">
        <v>0.6505</v>
      </c>
      <c r="AT90" s="9">
        <v>0.6505</v>
      </c>
    </row>
    <row r="91" ht="14.25" customHeight="1">
      <c r="A91" s="2" t="s">
        <v>234</v>
      </c>
      <c r="B91" s="9">
        <v>0.682</v>
      </c>
      <c r="C91" s="9">
        <v>0.682</v>
      </c>
      <c r="D91" s="9">
        <v>0.682</v>
      </c>
      <c r="E91" s="9">
        <v>0.682</v>
      </c>
      <c r="F91" s="9">
        <v>0.682</v>
      </c>
      <c r="G91" s="9">
        <v>0.682</v>
      </c>
      <c r="H91" s="9">
        <v>0.682</v>
      </c>
      <c r="I91" s="9">
        <v>0.682</v>
      </c>
      <c r="J91" s="9">
        <v>0.682</v>
      </c>
      <c r="K91" s="9">
        <v>0.682</v>
      </c>
      <c r="L91" s="9">
        <v>0.682</v>
      </c>
      <c r="M91" s="9">
        <v>0.682</v>
      </c>
      <c r="N91" s="9">
        <v>0.682</v>
      </c>
      <c r="O91" s="9">
        <v>0.682</v>
      </c>
      <c r="P91" s="9">
        <v>0.682</v>
      </c>
      <c r="Q91" s="9">
        <v>0.682</v>
      </c>
      <c r="R91" s="9">
        <v>0.682</v>
      </c>
      <c r="S91" s="9">
        <v>0.682</v>
      </c>
      <c r="T91" s="9">
        <v>0.682</v>
      </c>
      <c r="U91" s="9">
        <v>0.682</v>
      </c>
      <c r="V91" s="9">
        <v>0.682</v>
      </c>
      <c r="W91" s="9">
        <v>0.6903</v>
      </c>
      <c r="X91" s="9">
        <v>0.6885</v>
      </c>
      <c r="Y91" s="9">
        <v>0.6848</v>
      </c>
      <c r="Z91" s="9">
        <v>0.6817</v>
      </c>
      <c r="AA91" s="9">
        <v>0.6794</v>
      </c>
      <c r="AB91" s="9">
        <v>0.6749</v>
      </c>
      <c r="AC91" s="9">
        <v>0.6812</v>
      </c>
      <c r="AD91" s="9">
        <v>0.6744</v>
      </c>
      <c r="AE91" s="9">
        <v>0.6684</v>
      </c>
      <c r="AF91" s="9">
        <v>0.6678</v>
      </c>
      <c r="AG91" s="9">
        <v>0.6616</v>
      </c>
      <c r="AH91" s="9">
        <v>0.656</v>
      </c>
      <c r="AI91" s="9">
        <v>0.6594</v>
      </c>
      <c r="AJ91" s="9">
        <v>0.6552</v>
      </c>
      <c r="AK91" s="9">
        <v>0.6514</v>
      </c>
      <c r="AL91" s="9">
        <v>0.6525</v>
      </c>
      <c r="AM91" s="9">
        <v>0.653</v>
      </c>
      <c r="AN91" s="9">
        <v>0.655</v>
      </c>
      <c r="AO91" s="9">
        <v>0.6523</v>
      </c>
      <c r="AP91" s="9">
        <v>0.6739</v>
      </c>
      <c r="AQ91" s="9">
        <v>0.6609</v>
      </c>
      <c r="AR91" s="9">
        <v>0.6502</v>
      </c>
      <c r="AS91" s="9">
        <v>0.6505</v>
      </c>
      <c r="AT91" s="9">
        <v>0.6505</v>
      </c>
    </row>
    <row r="92" ht="14.25" customHeight="1">
      <c r="A92" s="2" t="s">
        <v>235</v>
      </c>
      <c r="B92" s="9">
        <v>0.682</v>
      </c>
      <c r="C92" s="9">
        <v>0.682</v>
      </c>
      <c r="D92" s="9">
        <v>0.682</v>
      </c>
      <c r="E92" s="9">
        <v>0.682</v>
      </c>
      <c r="F92" s="9">
        <v>0.682</v>
      </c>
      <c r="G92" s="9">
        <v>0.682</v>
      </c>
      <c r="H92" s="9">
        <v>0.682</v>
      </c>
      <c r="I92" s="9">
        <v>0.682</v>
      </c>
      <c r="J92" s="9">
        <v>0.682</v>
      </c>
      <c r="K92" s="9">
        <v>0.682</v>
      </c>
      <c r="L92" s="9">
        <v>0.682</v>
      </c>
      <c r="M92" s="9">
        <v>0.682</v>
      </c>
      <c r="N92" s="9">
        <v>0.682</v>
      </c>
      <c r="O92" s="9">
        <v>0.682</v>
      </c>
      <c r="P92" s="9">
        <v>0.682</v>
      </c>
      <c r="Q92" s="9">
        <v>0.682</v>
      </c>
      <c r="R92" s="9">
        <v>0.682</v>
      </c>
      <c r="S92" s="9">
        <v>0.682</v>
      </c>
      <c r="T92" s="9">
        <v>0.682</v>
      </c>
      <c r="U92" s="9">
        <v>0.682</v>
      </c>
      <c r="V92" s="9">
        <v>0.682</v>
      </c>
      <c r="W92" s="9">
        <v>0.6903</v>
      </c>
      <c r="X92" s="9">
        <v>0.6885</v>
      </c>
      <c r="Y92" s="9">
        <v>0.6848</v>
      </c>
      <c r="Z92" s="9">
        <v>0.6817</v>
      </c>
      <c r="AA92" s="9">
        <v>0.6794</v>
      </c>
      <c r="AB92" s="9">
        <v>0.6749</v>
      </c>
      <c r="AC92" s="9">
        <v>0.6812</v>
      </c>
      <c r="AD92" s="9">
        <v>0.6744</v>
      </c>
      <c r="AE92" s="9">
        <v>0.6684</v>
      </c>
      <c r="AF92" s="9">
        <v>0.6678</v>
      </c>
      <c r="AG92" s="9">
        <v>0.6616</v>
      </c>
      <c r="AH92" s="9">
        <v>0.656</v>
      </c>
      <c r="AI92" s="9">
        <v>0.6594</v>
      </c>
      <c r="AJ92" s="9">
        <v>0.6552</v>
      </c>
      <c r="AK92" s="9">
        <v>0.6514</v>
      </c>
      <c r="AL92" s="9">
        <v>0.6525</v>
      </c>
      <c r="AM92" s="9">
        <v>0.653</v>
      </c>
      <c r="AN92" s="9">
        <v>0.655</v>
      </c>
      <c r="AO92" s="9">
        <v>0.6523</v>
      </c>
      <c r="AP92" s="9">
        <v>0.6739</v>
      </c>
      <c r="AQ92" s="9">
        <v>0.6609</v>
      </c>
      <c r="AR92" s="9">
        <v>0.6502</v>
      </c>
      <c r="AS92" s="9">
        <v>0.6505</v>
      </c>
      <c r="AT92" s="9">
        <v>0.6505</v>
      </c>
    </row>
    <row r="93" ht="14.25" customHeight="1">
      <c r="A93" s="2" t="s">
        <v>236</v>
      </c>
      <c r="B93" s="9">
        <v>0.4796</v>
      </c>
      <c r="C93" s="9">
        <v>0.4796</v>
      </c>
      <c r="D93" s="9">
        <v>0.4878</v>
      </c>
      <c r="E93" s="9">
        <v>0.4945</v>
      </c>
      <c r="F93" s="9">
        <v>0.5002</v>
      </c>
      <c r="G93" s="9">
        <v>0.5053</v>
      </c>
      <c r="H93" s="9">
        <v>0.5099</v>
      </c>
      <c r="I93" s="9">
        <v>0.5229</v>
      </c>
      <c r="J93" s="9">
        <v>0.5317</v>
      </c>
      <c r="K93" s="9">
        <v>0.5381</v>
      </c>
      <c r="L93" s="9">
        <v>0.543</v>
      </c>
      <c r="M93" s="9">
        <v>0.5468</v>
      </c>
      <c r="N93" s="9">
        <v>0.5415</v>
      </c>
      <c r="O93" s="9">
        <v>0.5374</v>
      </c>
      <c r="P93" s="9">
        <v>0.534</v>
      </c>
      <c r="Q93" s="9">
        <v>0.5312</v>
      </c>
      <c r="R93" s="9">
        <v>0.5287</v>
      </c>
      <c r="S93" s="9">
        <v>0.5345</v>
      </c>
      <c r="T93" s="9">
        <v>0.5401</v>
      </c>
      <c r="U93" s="9">
        <v>0.5456</v>
      </c>
      <c r="V93" s="9">
        <v>0.5509</v>
      </c>
      <c r="W93" s="9">
        <v>0.5554</v>
      </c>
      <c r="X93" s="9">
        <v>0.5675</v>
      </c>
      <c r="Y93" s="9">
        <v>0.5781</v>
      </c>
      <c r="Z93" s="9">
        <v>0.5881</v>
      </c>
      <c r="AA93" s="9">
        <v>0.5975</v>
      </c>
      <c r="AB93" s="9">
        <v>0.6062</v>
      </c>
      <c r="AC93" s="9">
        <v>0.6066</v>
      </c>
      <c r="AD93" s="9">
        <v>0.607</v>
      </c>
      <c r="AE93" s="9">
        <v>0.6073</v>
      </c>
      <c r="AF93" s="9">
        <v>0.6076</v>
      </c>
      <c r="AG93" s="9">
        <v>0.6079</v>
      </c>
      <c r="AH93" s="9">
        <v>0.6045</v>
      </c>
      <c r="AI93" s="9">
        <v>0.6011</v>
      </c>
      <c r="AJ93" s="9">
        <v>0.5978</v>
      </c>
      <c r="AK93" s="9">
        <v>0.5947</v>
      </c>
      <c r="AL93" s="9">
        <v>0.5917</v>
      </c>
      <c r="AM93" s="9">
        <v>0.5917</v>
      </c>
      <c r="AN93" s="9">
        <v>0.5917</v>
      </c>
      <c r="AO93" s="9">
        <v>0.5917</v>
      </c>
      <c r="AP93" s="9">
        <v>0.5917</v>
      </c>
      <c r="AQ93" s="9">
        <v>0.5917</v>
      </c>
      <c r="AR93" s="9">
        <v>0.5917</v>
      </c>
      <c r="AS93" s="9">
        <v>0.5917</v>
      </c>
      <c r="AT93" s="9">
        <v>0.5917</v>
      </c>
    </row>
    <row r="94" ht="14.25" customHeight="1">
      <c r="A94" s="2" t="s">
        <v>237</v>
      </c>
      <c r="B94" s="9">
        <v>0.1811</v>
      </c>
      <c r="C94" s="9">
        <v>0.1722</v>
      </c>
      <c r="D94" s="9">
        <v>0.167</v>
      </c>
      <c r="E94" s="9">
        <v>0.1472</v>
      </c>
      <c r="F94" s="9">
        <v>0.1247</v>
      </c>
      <c r="G94" s="9">
        <v>0.1287</v>
      </c>
      <c r="H94" s="9">
        <v>0.1318</v>
      </c>
      <c r="I94" s="9">
        <v>0.1502</v>
      </c>
      <c r="J94" s="9">
        <v>0.168</v>
      </c>
      <c r="K94" s="9">
        <v>0.2132</v>
      </c>
      <c r="L94" s="9">
        <v>0.2426</v>
      </c>
      <c r="M94" s="9">
        <v>0.29</v>
      </c>
      <c r="N94" s="9">
        <v>0.3255</v>
      </c>
      <c r="O94" s="9">
        <v>0.3322</v>
      </c>
      <c r="P94" s="9">
        <v>0.3405</v>
      </c>
      <c r="Q94" s="9">
        <v>0.32</v>
      </c>
      <c r="R94" s="9">
        <v>0.3046</v>
      </c>
      <c r="S94" s="9">
        <v>0.323</v>
      </c>
      <c r="T94" s="9">
        <v>0.3277</v>
      </c>
      <c r="U94" s="9">
        <v>0.3506</v>
      </c>
      <c r="V94" s="9">
        <v>0.3529</v>
      </c>
      <c r="W94" s="9">
        <v>0.3713</v>
      </c>
      <c r="X94" s="9">
        <v>0.3889</v>
      </c>
      <c r="Y94" s="9">
        <v>0.3941</v>
      </c>
      <c r="Z94" s="9">
        <v>0.3798</v>
      </c>
      <c r="AA94" s="9">
        <v>0.4006</v>
      </c>
      <c r="AB94" s="9">
        <v>0.4164</v>
      </c>
      <c r="AC94" s="9">
        <v>0.4239</v>
      </c>
      <c r="AD94" s="9">
        <v>0.4123</v>
      </c>
      <c r="AE94" s="9">
        <v>0.4157</v>
      </c>
      <c r="AF94" s="9">
        <v>0.4105</v>
      </c>
      <c r="AG94" s="9">
        <v>0.406</v>
      </c>
      <c r="AH94" s="9">
        <v>0.3986</v>
      </c>
      <c r="AI94" s="9">
        <v>0.4131</v>
      </c>
      <c r="AJ94" s="9">
        <v>0.4108</v>
      </c>
      <c r="AK94" s="9">
        <v>0.4129</v>
      </c>
      <c r="AL94" s="9">
        <v>0.4107</v>
      </c>
      <c r="AM94" s="9">
        <v>0.414</v>
      </c>
      <c r="AN94" s="9">
        <v>0.4141</v>
      </c>
      <c r="AO94" s="9">
        <v>0.4175</v>
      </c>
      <c r="AP94" s="9">
        <v>0.4165</v>
      </c>
      <c r="AQ94" s="9">
        <v>0.4155</v>
      </c>
      <c r="AR94" s="9">
        <v>0.4207</v>
      </c>
      <c r="AS94" s="9">
        <v>0.4186</v>
      </c>
      <c r="AT94" s="9">
        <v>0.4186</v>
      </c>
    </row>
    <row r="95" ht="14.25" customHeight="1">
      <c r="A95" s="2" t="s">
        <v>238</v>
      </c>
      <c r="B95" s="9">
        <v>0.3919</v>
      </c>
      <c r="C95" s="9">
        <v>0.392</v>
      </c>
      <c r="D95" s="9">
        <v>0.3922</v>
      </c>
      <c r="E95" s="9">
        <v>0.3924</v>
      </c>
      <c r="F95" s="9">
        <v>0.3923</v>
      </c>
      <c r="G95" s="9">
        <v>0.3922</v>
      </c>
      <c r="H95" s="9">
        <v>0.392</v>
      </c>
      <c r="I95" s="9">
        <v>0.3918</v>
      </c>
      <c r="J95" s="9">
        <v>0.3918</v>
      </c>
      <c r="K95" s="9">
        <v>0.392</v>
      </c>
      <c r="L95" s="9">
        <v>0.392</v>
      </c>
      <c r="M95" s="9">
        <v>0.3917</v>
      </c>
      <c r="N95" s="9">
        <v>0.3922</v>
      </c>
      <c r="O95" s="9">
        <v>0.3923</v>
      </c>
      <c r="P95" s="9">
        <v>0.3922</v>
      </c>
      <c r="Q95" s="9">
        <v>0.3902</v>
      </c>
      <c r="R95" s="9">
        <v>0.3906</v>
      </c>
      <c r="S95" s="9">
        <v>0.3919</v>
      </c>
      <c r="T95" s="9">
        <v>0.3935</v>
      </c>
      <c r="U95" s="9">
        <v>0.3952</v>
      </c>
      <c r="V95" s="9">
        <v>0.3934</v>
      </c>
      <c r="W95" s="9">
        <v>0.4079</v>
      </c>
      <c r="X95" s="9">
        <v>0.4123</v>
      </c>
      <c r="Y95" s="9">
        <v>0.4043</v>
      </c>
      <c r="Z95" s="9">
        <v>0.3907</v>
      </c>
      <c r="AA95" s="9">
        <v>0.3895</v>
      </c>
      <c r="AB95" s="9">
        <v>0.3995</v>
      </c>
      <c r="AC95" s="9">
        <v>0.4212</v>
      </c>
      <c r="AD95" s="9">
        <v>0.3662</v>
      </c>
      <c r="AE95" s="9">
        <v>0.3549</v>
      </c>
      <c r="AF95" s="9">
        <v>0.3505</v>
      </c>
      <c r="AG95" s="9">
        <v>0.353</v>
      </c>
      <c r="AH95" s="9">
        <v>0.353</v>
      </c>
      <c r="AI95" s="9">
        <v>0.3704</v>
      </c>
      <c r="AJ95" s="9">
        <v>0.3684</v>
      </c>
      <c r="AK95" s="9">
        <v>0.3683</v>
      </c>
      <c r="AL95" s="9">
        <v>0.3632</v>
      </c>
      <c r="AM95" s="9">
        <v>0.3556</v>
      </c>
      <c r="AN95" s="9">
        <v>0.3438</v>
      </c>
      <c r="AO95" s="9">
        <v>0.3423</v>
      </c>
      <c r="AP95" s="9">
        <v>0.3423</v>
      </c>
      <c r="AQ95" s="9">
        <v>0.3479</v>
      </c>
      <c r="AR95" s="9">
        <v>0.3415</v>
      </c>
      <c r="AS95" s="9">
        <v>0.3417</v>
      </c>
      <c r="AT95" s="9">
        <v>0.3417</v>
      </c>
    </row>
    <row r="96" ht="14.25" customHeight="1">
      <c r="A96" s="2" t="s">
        <v>239</v>
      </c>
      <c r="B96" s="9">
        <v>0.4064</v>
      </c>
      <c r="C96" s="9">
        <v>0.4009</v>
      </c>
      <c r="D96" s="9">
        <v>0.3966</v>
      </c>
      <c r="E96" s="9">
        <v>0.4405</v>
      </c>
      <c r="F96" s="9">
        <v>0.425</v>
      </c>
      <c r="G96" s="9">
        <v>0.4369</v>
      </c>
      <c r="H96" s="9">
        <v>0.4393</v>
      </c>
      <c r="I96" s="9">
        <v>0.4344</v>
      </c>
      <c r="J96" s="9">
        <v>0.4418</v>
      </c>
      <c r="K96" s="9">
        <v>0.4417</v>
      </c>
      <c r="L96" s="9">
        <v>0.4262</v>
      </c>
      <c r="M96" s="9">
        <v>0.4304</v>
      </c>
      <c r="N96" s="9">
        <v>0.4375</v>
      </c>
      <c r="O96" s="9">
        <v>0.4514</v>
      </c>
      <c r="P96" s="9">
        <v>0.463</v>
      </c>
      <c r="Q96" s="9">
        <v>0.463</v>
      </c>
      <c r="R96" s="9">
        <v>0.4596</v>
      </c>
      <c r="S96" s="9">
        <v>0.4658</v>
      </c>
      <c r="T96" s="9">
        <v>0.4697</v>
      </c>
      <c r="U96" s="9">
        <v>0.4715</v>
      </c>
      <c r="V96" s="9">
        <v>0.4744</v>
      </c>
      <c r="W96" s="9">
        <v>0.4841</v>
      </c>
      <c r="X96" s="9">
        <v>0.4939</v>
      </c>
      <c r="Y96" s="9">
        <v>0.5038</v>
      </c>
      <c r="Z96" s="9">
        <v>0.514</v>
      </c>
      <c r="AA96" s="9">
        <v>0.5242</v>
      </c>
      <c r="AB96" s="9">
        <v>0.5346</v>
      </c>
      <c r="AC96" s="9">
        <v>0.5453</v>
      </c>
      <c r="AD96" s="9">
        <v>0.5562</v>
      </c>
      <c r="AE96" s="9">
        <v>0.5673</v>
      </c>
      <c r="AF96" s="9">
        <v>0.5786</v>
      </c>
      <c r="AG96" s="9">
        <v>0.5928</v>
      </c>
      <c r="AH96" s="9">
        <v>0.5993</v>
      </c>
      <c r="AI96" s="9">
        <v>0.6009</v>
      </c>
      <c r="AJ96" s="9">
        <v>0.607</v>
      </c>
      <c r="AK96" s="9">
        <v>0.6118</v>
      </c>
      <c r="AL96" s="9">
        <v>0.6228</v>
      </c>
      <c r="AM96" s="9">
        <v>0.6271</v>
      </c>
      <c r="AN96" s="9">
        <v>0.6172</v>
      </c>
      <c r="AO96" s="9">
        <v>0.612</v>
      </c>
      <c r="AP96" s="9">
        <v>0.5992</v>
      </c>
      <c r="AQ96" s="9">
        <v>0.6012</v>
      </c>
      <c r="AR96" s="9">
        <v>0.6089</v>
      </c>
      <c r="AS96" s="9">
        <v>0.6089</v>
      </c>
      <c r="AT96" s="9">
        <v>0.6089</v>
      </c>
    </row>
    <row r="97" ht="14.25" customHeight="1">
      <c r="A97" s="2" t="s">
        <v>240</v>
      </c>
      <c r="B97" s="9">
        <v>0.5041</v>
      </c>
      <c r="C97" s="9">
        <v>0.5041</v>
      </c>
      <c r="D97" s="9">
        <v>0.5041</v>
      </c>
      <c r="E97" s="9">
        <v>0.5041</v>
      </c>
      <c r="F97" s="9">
        <v>0.5041</v>
      </c>
      <c r="G97" s="9">
        <v>0.5156</v>
      </c>
      <c r="H97" s="9">
        <v>0.5261</v>
      </c>
      <c r="I97" s="9">
        <v>0.5357</v>
      </c>
      <c r="J97" s="9">
        <v>0.5391</v>
      </c>
      <c r="K97" s="9">
        <v>0.5421</v>
      </c>
      <c r="L97" s="9">
        <v>0.5447</v>
      </c>
      <c r="M97" s="9">
        <v>0.5498</v>
      </c>
      <c r="N97" s="9">
        <v>0.5541</v>
      </c>
      <c r="O97" s="9">
        <v>0.5577</v>
      </c>
      <c r="P97" s="9">
        <v>0.5666</v>
      </c>
      <c r="Q97" s="9">
        <v>0.5735</v>
      </c>
      <c r="R97" s="9">
        <v>0.5788</v>
      </c>
      <c r="S97" s="9">
        <v>0.5306</v>
      </c>
      <c r="T97" s="9">
        <v>0.478</v>
      </c>
      <c r="U97" s="9">
        <v>0.4699</v>
      </c>
      <c r="V97" s="9">
        <v>0.472</v>
      </c>
      <c r="W97" s="9">
        <v>0.4831</v>
      </c>
      <c r="X97" s="9">
        <v>0.4846</v>
      </c>
      <c r="Y97" s="9">
        <v>0.4859</v>
      </c>
      <c r="Z97" s="9">
        <v>0.5025</v>
      </c>
      <c r="AA97" s="9">
        <v>0.5141</v>
      </c>
      <c r="AB97" s="9">
        <v>0.5037</v>
      </c>
      <c r="AC97" s="9">
        <v>0.514</v>
      </c>
      <c r="AD97" s="9">
        <v>0.5649</v>
      </c>
      <c r="AE97" s="9">
        <v>0.5769</v>
      </c>
      <c r="AF97" s="9">
        <v>0.5277</v>
      </c>
      <c r="AG97" s="9">
        <v>0.5429</v>
      </c>
      <c r="AH97" s="9">
        <v>0.5338</v>
      </c>
      <c r="AI97" s="9">
        <v>0.5256</v>
      </c>
      <c r="AJ97" s="9">
        <v>0.5258</v>
      </c>
      <c r="AK97" s="9">
        <v>0.5396</v>
      </c>
      <c r="AL97" s="9">
        <v>0.5264</v>
      </c>
      <c r="AM97" s="9">
        <v>0.5185</v>
      </c>
      <c r="AN97" s="9">
        <v>0.5784</v>
      </c>
      <c r="AO97" s="9">
        <v>0.5784</v>
      </c>
      <c r="AP97" s="9">
        <v>0.5784</v>
      </c>
      <c r="AQ97" s="9">
        <v>0.5784</v>
      </c>
      <c r="AR97" s="9">
        <v>0.5784</v>
      </c>
      <c r="AS97" s="9">
        <v>0.5784</v>
      </c>
      <c r="AT97" s="9">
        <v>0.5784</v>
      </c>
    </row>
    <row r="98" ht="14.25" customHeight="1">
      <c r="A98" s="2" t="s">
        <v>241</v>
      </c>
      <c r="B98" s="9">
        <v>0.6402</v>
      </c>
      <c r="C98" s="9">
        <v>0.6402</v>
      </c>
      <c r="D98" s="9">
        <v>0.6402</v>
      </c>
      <c r="E98" s="9">
        <v>0.6402</v>
      </c>
      <c r="F98" s="9">
        <v>0.6402</v>
      </c>
      <c r="G98" s="9">
        <v>0.6402</v>
      </c>
      <c r="H98" s="9">
        <v>0.6402</v>
      </c>
      <c r="I98" s="9">
        <v>0.6314</v>
      </c>
      <c r="J98" s="9">
        <v>0.6224</v>
      </c>
      <c r="K98" s="9">
        <v>0.613</v>
      </c>
      <c r="L98" s="9">
        <v>0.6034</v>
      </c>
      <c r="M98" s="9">
        <v>0.6022</v>
      </c>
      <c r="N98" s="9">
        <v>0.601</v>
      </c>
      <c r="O98" s="9">
        <v>0.5999</v>
      </c>
      <c r="P98" s="9">
        <v>0.5988</v>
      </c>
      <c r="Q98" s="9">
        <v>0.6023</v>
      </c>
      <c r="R98" s="9">
        <v>0.6058</v>
      </c>
      <c r="S98" s="9">
        <v>0.6091</v>
      </c>
      <c r="T98" s="9">
        <v>0.6152</v>
      </c>
      <c r="U98" s="9">
        <v>0.6322</v>
      </c>
      <c r="V98" s="9">
        <v>0.6348</v>
      </c>
      <c r="W98" s="9">
        <v>0.6166</v>
      </c>
      <c r="X98" s="9">
        <v>0.6177</v>
      </c>
      <c r="Y98" s="9">
        <v>0.6241</v>
      </c>
      <c r="Z98" s="9">
        <v>0.6235</v>
      </c>
      <c r="AA98" s="9">
        <v>0.6192</v>
      </c>
      <c r="AB98" s="9">
        <v>0.6186</v>
      </c>
      <c r="AC98" s="9">
        <v>0.6274</v>
      </c>
      <c r="AD98" s="9">
        <v>0.5806</v>
      </c>
      <c r="AE98" s="9">
        <v>0.5843</v>
      </c>
      <c r="AF98" s="9">
        <v>0.5912</v>
      </c>
      <c r="AG98" s="9">
        <v>0.5513</v>
      </c>
      <c r="AH98" s="9">
        <v>0.5857</v>
      </c>
      <c r="AI98" s="9">
        <v>0.5528</v>
      </c>
      <c r="AJ98" s="9">
        <v>0.5618</v>
      </c>
      <c r="AK98" s="9">
        <v>0.5437</v>
      </c>
      <c r="AL98" s="9">
        <v>0.5362</v>
      </c>
      <c r="AM98" s="9">
        <v>0.5605</v>
      </c>
      <c r="AN98" s="9">
        <v>0.562</v>
      </c>
      <c r="AO98" s="9">
        <v>0.5506</v>
      </c>
      <c r="AP98" s="9">
        <v>0.533</v>
      </c>
      <c r="AQ98" s="9">
        <v>0.5286</v>
      </c>
      <c r="AR98" s="9">
        <v>0.5182</v>
      </c>
      <c r="AS98" s="9">
        <v>0.5309</v>
      </c>
      <c r="AT98" s="9">
        <v>0.5309</v>
      </c>
    </row>
    <row r="99" ht="14.25" customHeight="1">
      <c r="A99" s="2" t="s">
        <v>242</v>
      </c>
      <c r="B99" s="9">
        <v>0.6241</v>
      </c>
      <c r="C99" s="9">
        <v>0.6241</v>
      </c>
      <c r="D99" s="9">
        <v>0.6241</v>
      </c>
      <c r="E99" s="9">
        <v>0.6241</v>
      </c>
      <c r="F99" s="9">
        <v>0.6241</v>
      </c>
      <c r="G99" s="9">
        <v>0.6241</v>
      </c>
      <c r="H99" s="9">
        <v>0.6241</v>
      </c>
      <c r="I99" s="9">
        <v>0.6241</v>
      </c>
      <c r="J99" s="9">
        <v>0.6241</v>
      </c>
      <c r="K99" s="9">
        <v>0.6241</v>
      </c>
      <c r="L99" s="9">
        <v>0.6241</v>
      </c>
      <c r="M99" s="9">
        <v>0.6241</v>
      </c>
      <c r="N99" s="9">
        <v>0.6241</v>
      </c>
      <c r="O99" s="9">
        <v>0.6241</v>
      </c>
      <c r="P99" s="9">
        <v>0.6241</v>
      </c>
      <c r="Q99" s="9">
        <v>0.6241</v>
      </c>
      <c r="R99" s="9">
        <v>0.6241</v>
      </c>
      <c r="S99" s="9">
        <v>0.6241</v>
      </c>
      <c r="T99" s="9">
        <v>0.6241</v>
      </c>
      <c r="U99" s="9">
        <v>0.6241</v>
      </c>
      <c r="V99" s="9">
        <v>0.6241</v>
      </c>
      <c r="W99" s="9">
        <v>0.6241</v>
      </c>
      <c r="X99" s="9">
        <v>0.6241</v>
      </c>
      <c r="Y99" s="9">
        <v>0.6241</v>
      </c>
      <c r="Z99" s="9">
        <v>0.6241</v>
      </c>
      <c r="AA99" s="9">
        <v>0.6241</v>
      </c>
      <c r="AB99" s="9">
        <v>0.6241</v>
      </c>
      <c r="AC99" s="9">
        <v>0.6241</v>
      </c>
      <c r="AD99" s="9">
        <v>0.6196</v>
      </c>
      <c r="AE99" s="9">
        <v>0.6155</v>
      </c>
      <c r="AF99" s="9">
        <v>0.6116</v>
      </c>
      <c r="AG99" s="9">
        <v>0.6081</v>
      </c>
      <c r="AH99" s="9">
        <v>0.5972</v>
      </c>
      <c r="AI99" s="9">
        <v>0.5455</v>
      </c>
      <c r="AJ99" s="9">
        <v>0.5637</v>
      </c>
      <c r="AK99" s="9">
        <v>0.5823</v>
      </c>
      <c r="AL99" s="9">
        <v>0.6015</v>
      </c>
      <c r="AM99" s="9">
        <v>0.6211</v>
      </c>
      <c r="AN99" s="9">
        <v>0.6414</v>
      </c>
      <c r="AO99" s="9">
        <v>0.6621</v>
      </c>
      <c r="AP99" s="9">
        <v>0.6835</v>
      </c>
      <c r="AQ99" s="9">
        <v>0.7055</v>
      </c>
      <c r="AR99" s="9">
        <v>0.7281</v>
      </c>
      <c r="AS99" s="9">
        <v>0.7495</v>
      </c>
      <c r="AT99" s="9">
        <v>0.7721</v>
      </c>
    </row>
    <row r="100" ht="14.25" customHeight="1">
      <c r="A100" s="2" t="s">
        <v>243</v>
      </c>
      <c r="B100" s="9">
        <v>0.3902</v>
      </c>
      <c r="C100" s="9">
        <v>0.3858</v>
      </c>
      <c r="D100" s="9">
        <v>0.4037</v>
      </c>
      <c r="E100" s="9">
        <v>0.4123</v>
      </c>
      <c r="F100" s="9">
        <v>0.3946</v>
      </c>
      <c r="G100" s="9">
        <v>0.3883</v>
      </c>
      <c r="H100" s="9">
        <v>0.3809</v>
      </c>
      <c r="I100" s="9">
        <v>0.3971</v>
      </c>
      <c r="J100" s="9">
        <v>0.3838</v>
      </c>
      <c r="K100" s="9">
        <v>0.3783</v>
      </c>
      <c r="L100" s="9">
        <v>0.39</v>
      </c>
      <c r="M100" s="9">
        <v>0.4012</v>
      </c>
      <c r="N100" s="9">
        <v>0.3973</v>
      </c>
      <c r="O100" s="9">
        <v>0.411</v>
      </c>
      <c r="P100" s="9">
        <v>0.419</v>
      </c>
      <c r="Q100" s="9">
        <v>0.4159</v>
      </c>
      <c r="R100" s="9">
        <v>0.3938</v>
      </c>
      <c r="S100" s="9">
        <v>0.3955</v>
      </c>
      <c r="T100" s="9">
        <v>0.4156</v>
      </c>
      <c r="U100" s="9">
        <v>0.4252</v>
      </c>
      <c r="V100" s="9">
        <v>0.4391</v>
      </c>
      <c r="W100" s="9">
        <v>0.4296</v>
      </c>
      <c r="X100" s="9">
        <v>0.4235</v>
      </c>
      <c r="Y100" s="9">
        <v>0.4363</v>
      </c>
      <c r="Z100" s="9">
        <v>0.4445</v>
      </c>
      <c r="AA100" s="9">
        <v>0.4456</v>
      </c>
      <c r="AB100" s="9">
        <v>0.4541</v>
      </c>
      <c r="AC100" s="9">
        <v>0.4561</v>
      </c>
      <c r="AD100" s="9">
        <v>0.427</v>
      </c>
      <c r="AE100" s="9">
        <v>0.4146</v>
      </c>
      <c r="AF100" s="9">
        <v>0.4208</v>
      </c>
      <c r="AG100" s="9">
        <v>0.424</v>
      </c>
      <c r="AH100" s="9">
        <v>0.4166</v>
      </c>
      <c r="AI100" s="9">
        <v>0.433</v>
      </c>
      <c r="AJ100" s="9">
        <v>0.4421</v>
      </c>
      <c r="AK100" s="9">
        <v>0.455</v>
      </c>
      <c r="AL100" s="9">
        <v>0.4498</v>
      </c>
      <c r="AM100" s="9">
        <v>0.437</v>
      </c>
      <c r="AN100" s="9">
        <v>0.442</v>
      </c>
      <c r="AO100" s="9">
        <v>0.4483</v>
      </c>
      <c r="AP100" s="9">
        <v>0.4483</v>
      </c>
      <c r="AQ100" s="9">
        <v>0.4494</v>
      </c>
      <c r="AR100" s="9">
        <v>0.4498</v>
      </c>
      <c r="AS100" s="9">
        <v>0.4497</v>
      </c>
      <c r="AT100" s="9">
        <v>0.4497</v>
      </c>
    </row>
    <row r="101" ht="14.25" customHeight="1">
      <c r="A101" s="2" t="s">
        <v>244</v>
      </c>
      <c r="B101" s="9">
        <v>0.4447</v>
      </c>
      <c r="C101" s="9">
        <v>0.4462</v>
      </c>
      <c r="D101" s="9">
        <v>0.4474</v>
      </c>
      <c r="E101" s="9">
        <v>0.4467</v>
      </c>
      <c r="F101" s="9">
        <v>0.4511</v>
      </c>
      <c r="G101" s="9">
        <v>0.4558</v>
      </c>
      <c r="H101" s="9">
        <v>0.4511</v>
      </c>
      <c r="I101" s="9">
        <v>0.4493</v>
      </c>
      <c r="J101" s="9">
        <v>0.4446</v>
      </c>
      <c r="K101" s="9">
        <v>0.4448</v>
      </c>
      <c r="L101" s="9">
        <v>0.4437</v>
      </c>
      <c r="M101" s="9">
        <v>0.4412</v>
      </c>
      <c r="N101" s="9">
        <v>0.45</v>
      </c>
      <c r="O101" s="9">
        <v>0.4578</v>
      </c>
      <c r="P101" s="9">
        <v>0.4658</v>
      </c>
      <c r="Q101" s="9">
        <v>0.463</v>
      </c>
      <c r="R101" s="9">
        <v>0.4639</v>
      </c>
      <c r="S101" s="9">
        <v>0.4717</v>
      </c>
      <c r="T101" s="9">
        <v>0.4714</v>
      </c>
      <c r="U101" s="9">
        <v>0.472</v>
      </c>
      <c r="V101" s="9">
        <v>0.4786</v>
      </c>
      <c r="W101" s="9">
        <v>0.476</v>
      </c>
      <c r="X101" s="9">
        <v>0.471</v>
      </c>
      <c r="Y101" s="9">
        <v>0.4747</v>
      </c>
      <c r="Z101" s="9">
        <v>0.4829</v>
      </c>
      <c r="AA101" s="9">
        <v>0.4832</v>
      </c>
      <c r="AB101" s="9">
        <v>0.4881</v>
      </c>
      <c r="AC101" s="9">
        <v>0.486</v>
      </c>
      <c r="AD101" s="9">
        <v>0.4697</v>
      </c>
      <c r="AE101" s="9">
        <v>0.4627</v>
      </c>
      <c r="AF101" s="9">
        <v>0.481</v>
      </c>
      <c r="AG101" s="9">
        <v>0.4817</v>
      </c>
      <c r="AH101" s="9">
        <v>0.4774</v>
      </c>
      <c r="AI101" s="9">
        <v>0.4812</v>
      </c>
      <c r="AJ101" s="9">
        <v>0.4848</v>
      </c>
      <c r="AK101" s="9">
        <v>0.484</v>
      </c>
      <c r="AL101" s="9">
        <v>0.4836</v>
      </c>
      <c r="AM101" s="9">
        <v>0.4829</v>
      </c>
      <c r="AN101" s="9">
        <v>0.4811</v>
      </c>
      <c r="AO101" s="9">
        <v>0.478</v>
      </c>
      <c r="AP101" s="9">
        <v>0.4784</v>
      </c>
      <c r="AQ101" s="9">
        <v>0.4829</v>
      </c>
      <c r="AR101" s="9">
        <v>0.4833</v>
      </c>
      <c r="AS101" s="9">
        <v>0.4833</v>
      </c>
      <c r="AT101" s="9">
        <v>0.4833</v>
      </c>
    </row>
    <row r="102" ht="14.25" customHeight="1">
      <c r="A102" s="2" t="s">
        <v>245</v>
      </c>
      <c r="B102" s="9">
        <v>0.5726</v>
      </c>
      <c r="C102" s="9">
        <v>0.5724</v>
      </c>
      <c r="D102" s="9">
        <v>0.5721</v>
      </c>
      <c r="E102" s="9">
        <v>0.5719</v>
      </c>
      <c r="F102" s="9">
        <v>0.5717</v>
      </c>
      <c r="G102" s="9">
        <v>0.5714</v>
      </c>
      <c r="H102" s="9">
        <v>0.5712</v>
      </c>
      <c r="I102" s="9">
        <v>0.5722</v>
      </c>
      <c r="J102" s="9">
        <v>0.5732</v>
      </c>
      <c r="K102" s="9">
        <v>0.574</v>
      </c>
      <c r="L102" s="9">
        <v>0.5748</v>
      </c>
      <c r="M102" s="9">
        <v>0.5756</v>
      </c>
      <c r="N102" s="9">
        <v>0.5763</v>
      </c>
      <c r="O102" s="9">
        <v>0.5787</v>
      </c>
      <c r="P102" s="9">
        <v>0.581</v>
      </c>
      <c r="Q102" s="9">
        <v>0.5831</v>
      </c>
      <c r="R102" s="9">
        <v>0.5852</v>
      </c>
      <c r="S102" s="9">
        <v>0.5872</v>
      </c>
      <c r="T102" s="9">
        <v>0.5888</v>
      </c>
      <c r="U102" s="9">
        <v>0.5904</v>
      </c>
      <c r="V102" s="9">
        <v>0.5919</v>
      </c>
      <c r="W102" s="9">
        <v>0.5935</v>
      </c>
      <c r="X102" s="9">
        <v>0.5982</v>
      </c>
      <c r="Y102" s="9">
        <v>0.6029</v>
      </c>
      <c r="Z102" s="9">
        <v>0.6075</v>
      </c>
      <c r="AA102" s="9">
        <v>0.6119</v>
      </c>
      <c r="AB102" s="9">
        <v>0.6122</v>
      </c>
      <c r="AC102" s="9">
        <v>0.6124</v>
      </c>
      <c r="AD102" s="9">
        <v>0.6131</v>
      </c>
      <c r="AE102" s="9">
        <v>0.6138</v>
      </c>
      <c r="AF102" s="9">
        <v>0.6145</v>
      </c>
      <c r="AG102" s="9">
        <v>0.6115</v>
      </c>
      <c r="AH102" s="9">
        <v>0.6085</v>
      </c>
      <c r="AI102" s="9">
        <v>0.598</v>
      </c>
      <c r="AJ102" s="9">
        <v>0.5879</v>
      </c>
      <c r="AK102" s="9">
        <v>0.5842</v>
      </c>
      <c r="AL102" s="9">
        <v>0.5806</v>
      </c>
      <c r="AM102" s="9">
        <v>0.5806</v>
      </c>
      <c r="AN102" s="9">
        <v>0.5806</v>
      </c>
      <c r="AO102" s="9">
        <v>0.5806</v>
      </c>
      <c r="AP102" s="9">
        <v>0.5806</v>
      </c>
      <c r="AQ102" s="9">
        <v>0.5806</v>
      </c>
      <c r="AR102" s="9">
        <v>0.5806</v>
      </c>
      <c r="AS102" s="9">
        <v>0.5806</v>
      </c>
      <c r="AT102" s="9">
        <v>0.5806</v>
      </c>
    </row>
    <row r="103" ht="14.25" customHeight="1">
      <c r="A103" s="2" t="s">
        <v>246</v>
      </c>
      <c r="B103" s="9">
        <v>0.3128</v>
      </c>
      <c r="C103" s="9">
        <v>0.3091</v>
      </c>
      <c r="D103" s="9">
        <v>0.3249</v>
      </c>
      <c r="E103" s="9">
        <v>0.3232</v>
      </c>
      <c r="F103" s="9">
        <v>0.332</v>
      </c>
      <c r="G103" s="9">
        <v>0.3354</v>
      </c>
      <c r="H103" s="9">
        <v>0.3478</v>
      </c>
      <c r="I103" s="9">
        <v>0.3554</v>
      </c>
      <c r="J103" s="9">
        <v>0.3505</v>
      </c>
      <c r="K103" s="9">
        <v>0.3633</v>
      </c>
      <c r="L103" s="9">
        <v>0.366</v>
      </c>
      <c r="M103" s="9">
        <v>0.366</v>
      </c>
      <c r="N103" s="9">
        <v>0.3596</v>
      </c>
      <c r="O103" s="9">
        <v>0.3618</v>
      </c>
      <c r="P103" s="9">
        <v>0.3797</v>
      </c>
      <c r="Q103" s="9">
        <v>0.3548</v>
      </c>
      <c r="R103" s="9">
        <v>0.3588</v>
      </c>
      <c r="S103" s="9">
        <v>0.3606</v>
      </c>
      <c r="T103" s="9">
        <v>0.3694</v>
      </c>
      <c r="U103" s="9">
        <v>0.3674</v>
      </c>
      <c r="V103" s="9">
        <v>0.3758</v>
      </c>
      <c r="W103" s="9">
        <v>0.3779</v>
      </c>
      <c r="X103" s="9">
        <v>0.3968</v>
      </c>
      <c r="Y103" s="9">
        <v>0.3766</v>
      </c>
      <c r="Z103" s="9">
        <v>0.4071</v>
      </c>
      <c r="AA103" s="9">
        <v>0.3958</v>
      </c>
      <c r="AB103" s="9">
        <v>0.4065</v>
      </c>
      <c r="AC103" s="9">
        <v>0.4086</v>
      </c>
      <c r="AD103" s="9">
        <v>0.4066</v>
      </c>
      <c r="AE103" s="9">
        <v>0.4033</v>
      </c>
      <c r="AF103" s="9">
        <v>0.4118</v>
      </c>
      <c r="AG103" s="9">
        <v>0.4142</v>
      </c>
      <c r="AH103" s="9">
        <v>0.4085</v>
      </c>
      <c r="AI103" s="9">
        <v>0.4199</v>
      </c>
      <c r="AJ103" s="9">
        <v>0.4166</v>
      </c>
      <c r="AK103" s="9">
        <v>0.4292</v>
      </c>
      <c r="AL103" s="9">
        <v>0.4396</v>
      </c>
      <c r="AM103" s="9">
        <v>0.4434</v>
      </c>
      <c r="AN103" s="9">
        <v>0.4456</v>
      </c>
      <c r="AO103" s="9">
        <v>0.444</v>
      </c>
      <c r="AP103" s="9">
        <v>0.444</v>
      </c>
      <c r="AQ103" s="9">
        <v>0.4348</v>
      </c>
      <c r="AR103" s="9">
        <v>0.4334</v>
      </c>
      <c r="AS103" s="9">
        <v>0.434</v>
      </c>
      <c r="AT103" s="9">
        <v>0.434</v>
      </c>
    </row>
    <row r="104" ht="14.25" customHeight="1">
      <c r="A104" s="2" t="s">
        <v>247</v>
      </c>
      <c r="B104" s="9">
        <v>0.682</v>
      </c>
      <c r="C104" s="9">
        <v>0.682</v>
      </c>
      <c r="D104" s="9">
        <v>0.682</v>
      </c>
      <c r="E104" s="9">
        <v>0.682</v>
      </c>
      <c r="F104" s="9">
        <v>0.682</v>
      </c>
      <c r="G104" s="9">
        <v>0.682</v>
      </c>
      <c r="H104" s="9">
        <v>0.682</v>
      </c>
      <c r="I104" s="9">
        <v>0.682</v>
      </c>
      <c r="J104" s="9">
        <v>0.682</v>
      </c>
      <c r="K104" s="9">
        <v>0.682</v>
      </c>
      <c r="L104" s="9">
        <v>0.682</v>
      </c>
      <c r="M104" s="9">
        <v>0.682</v>
      </c>
      <c r="N104" s="9">
        <v>0.682</v>
      </c>
      <c r="O104" s="9">
        <v>0.682</v>
      </c>
      <c r="P104" s="9">
        <v>0.682</v>
      </c>
      <c r="Q104" s="9">
        <v>0.682</v>
      </c>
      <c r="R104" s="9">
        <v>0.682</v>
      </c>
      <c r="S104" s="9">
        <v>0.682</v>
      </c>
      <c r="T104" s="9">
        <v>0.682</v>
      </c>
      <c r="U104" s="9">
        <v>0.682</v>
      </c>
      <c r="V104" s="9">
        <v>0.682</v>
      </c>
      <c r="W104" s="9">
        <v>0.6903</v>
      </c>
      <c r="X104" s="9">
        <v>0.6885</v>
      </c>
      <c r="Y104" s="9">
        <v>0.6848</v>
      </c>
      <c r="Z104" s="9">
        <v>0.6817</v>
      </c>
      <c r="AA104" s="9">
        <v>0.6794</v>
      </c>
      <c r="AB104" s="9">
        <v>0.6749</v>
      </c>
      <c r="AC104" s="9">
        <v>0.6812</v>
      </c>
      <c r="AD104" s="9">
        <v>0.6744</v>
      </c>
      <c r="AE104" s="9">
        <v>0.6684</v>
      </c>
      <c r="AF104" s="9">
        <v>0.6678</v>
      </c>
      <c r="AG104" s="9">
        <v>0.6616</v>
      </c>
      <c r="AH104" s="9">
        <v>0.656</v>
      </c>
      <c r="AI104" s="9">
        <v>0.6594</v>
      </c>
      <c r="AJ104" s="9">
        <v>0.6552</v>
      </c>
      <c r="AK104" s="9">
        <v>0.6514</v>
      </c>
      <c r="AL104" s="9">
        <v>0.6525</v>
      </c>
      <c r="AM104" s="9">
        <v>0.653</v>
      </c>
      <c r="AN104" s="9">
        <v>0.655</v>
      </c>
      <c r="AO104" s="9">
        <v>0.6523</v>
      </c>
      <c r="AP104" s="9">
        <v>0.6739</v>
      </c>
      <c r="AQ104" s="9">
        <v>0.6609</v>
      </c>
      <c r="AR104" s="9">
        <v>0.6502</v>
      </c>
      <c r="AS104" s="9">
        <v>0.6505</v>
      </c>
      <c r="AT104" s="9">
        <v>0.6505</v>
      </c>
    </row>
    <row r="105" ht="14.25" customHeight="1">
      <c r="A105" s="2" t="s">
        <v>248</v>
      </c>
      <c r="B105" s="9">
        <v>0.4478</v>
      </c>
      <c r="C105" s="9">
        <v>0.4422</v>
      </c>
      <c r="D105" s="9">
        <v>0.4403</v>
      </c>
      <c r="E105" s="9">
        <v>0.4438</v>
      </c>
      <c r="F105" s="9">
        <v>0.4477</v>
      </c>
      <c r="G105" s="9">
        <v>0.4561</v>
      </c>
      <c r="H105" s="9">
        <v>0.4632</v>
      </c>
      <c r="I105" s="9">
        <v>0.4786</v>
      </c>
      <c r="J105" s="9">
        <v>0.4849</v>
      </c>
      <c r="K105" s="9">
        <v>0.4907</v>
      </c>
      <c r="L105" s="9">
        <v>0.4929</v>
      </c>
      <c r="M105" s="9">
        <v>0.4814</v>
      </c>
      <c r="N105" s="9">
        <v>0.4467</v>
      </c>
      <c r="O105" s="9">
        <v>0.4523</v>
      </c>
      <c r="P105" s="9">
        <v>0.456</v>
      </c>
      <c r="Q105" s="9">
        <v>0.467</v>
      </c>
      <c r="R105" s="9">
        <v>0.478</v>
      </c>
      <c r="S105" s="9">
        <v>0.4766</v>
      </c>
      <c r="T105" s="9">
        <v>0.4793</v>
      </c>
      <c r="U105" s="9">
        <v>0.4854</v>
      </c>
      <c r="V105" s="9">
        <v>0.497</v>
      </c>
      <c r="W105" s="9">
        <v>0.5079</v>
      </c>
      <c r="X105" s="9">
        <v>0.5176</v>
      </c>
      <c r="Y105" s="9">
        <v>0.5245</v>
      </c>
      <c r="Z105" s="9">
        <v>0.5335</v>
      </c>
      <c r="AA105" s="9">
        <v>0.5344</v>
      </c>
      <c r="AB105" s="9">
        <v>0.5351</v>
      </c>
      <c r="AC105" s="9">
        <v>0.5367</v>
      </c>
      <c r="AD105" s="9">
        <v>0.5277</v>
      </c>
      <c r="AE105" s="9">
        <v>0.5073</v>
      </c>
      <c r="AF105" s="9">
        <v>0.5078</v>
      </c>
      <c r="AG105" s="9">
        <v>0.5054</v>
      </c>
      <c r="AH105" s="9">
        <v>0.5065</v>
      </c>
      <c r="AI105" s="9">
        <v>0.509</v>
      </c>
      <c r="AJ105" s="9">
        <v>0.5086</v>
      </c>
      <c r="AK105" s="9">
        <v>0.51</v>
      </c>
      <c r="AL105" s="9">
        <v>0.5091</v>
      </c>
      <c r="AM105" s="9">
        <v>0.5086</v>
      </c>
      <c r="AN105" s="9">
        <v>0.5086</v>
      </c>
      <c r="AO105" s="9">
        <v>0.5086</v>
      </c>
      <c r="AP105" s="9">
        <v>0.5086</v>
      </c>
      <c r="AQ105" s="9">
        <v>0.5086</v>
      </c>
      <c r="AR105" s="9">
        <v>0.5086</v>
      </c>
      <c r="AS105" s="9">
        <v>0.5086</v>
      </c>
      <c r="AT105" s="9">
        <v>0.5086</v>
      </c>
    </row>
    <row r="106" ht="14.25" customHeight="1">
      <c r="A106" s="2" t="s">
        <v>249</v>
      </c>
      <c r="B106" s="9">
        <v>0.4447</v>
      </c>
      <c r="C106" s="9">
        <v>0.4462</v>
      </c>
      <c r="D106" s="9">
        <v>0.4474</v>
      </c>
      <c r="E106" s="9">
        <v>0.4467</v>
      </c>
      <c r="F106" s="9">
        <v>0.4511</v>
      </c>
      <c r="G106" s="9">
        <v>0.4558</v>
      </c>
      <c r="H106" s="9">
        <v>0.4511</v>
      </c>
      <c r="I106" s="9">
        <v>0.4493</v>
      </c>
      <c r="J106" s="9">
        <v>0.4446</v>
      </c>
      <c r="K106" s="9">
        <v>0.4448</v>
      </c>
      <c r="L106" s="9">
        <v>0.4437</v>
      </c>
      <c r="M106" s="9">
        <v>0.4412</v>
      </c>
      <c r="N106" s="9">
        <v>0.45</v>
      </c>
      <c r="O106" s="9">
        <v>0.4578</v>
      </c>
      <c r="P106" s="9">
        <v>0.4658</v>
      </c>
      <c r="Q106" s="9">
        <v>0.463</v>
      </c>
      <c r="R106" s="9">
        <v>0.4639</v>
      </c>
      <c r="S106" s="9">
        <v>0.4717</v>
      </c>
      <c r="T106" s="9">
        <v>0.4714</v>
      </c>
      <c r="U106" s="9">
        <v>0.472</v>
      </c>
      <c r="V106" s="9">
        <v>0.4786</v>
      </c>
      <c r="W106" s="9">
        <v>0.476</v>
      </c>
      <c r="X106" s="9">
        <v>0.471</v>
      </c>
      <c r="Y106" s="9">
        <v>0.4747</v>
      </c>
      <c r="Z106" s="9">
        <v>0.4829</v>
      </c>
      <c r="AA106" s="9">
        <v>0.4832</v>
      </c>
      <c r="AB106" s="9">
        <v>0.4881</v>
      </c>
      <c r="AC106" s="9">
        <v>0.486</v>
      </c>
      <c r="AD106" s="9">
        <v>0.4697</v>
      </c>
      <c r="AE106" s="9">
        <v>0.4627</v>
      </c>
      <c r="AF106" s="9">
        <v>0.481</v>
      </c>
      <c r="AG106" s="9">
        <v>0.4817</v>
      </c>
      <c r="AH106" s="9">
        <v>0.4774</v>
      </c>
      <c r="AI106" s="9">
        <v>0.4812</v>
      </c>
      <c r="AJ106" s="9">
        <v>0.4848</v>
      </c>
      <c r="AK106" s="9">
        <v>0.484</v>
      </c>
      <c r="AL106" s="9">
        <v>0.4836</v>
      </c>
      <c r="AM106" s="9">
        <v>0.4829</v>
      </c>
      <c r="AN106" s="9">
        <v>0.4811</v>
      </c>
      <c r="AO106" s="9">
        <v>0.478</v>
      </c>
      <c r="AP106" s="9">
        <v>0.4784</v>
      </c>
      <c r="AQ106" s="9">
        <v>0.4829</v>
      </c>
      <c r="AR106" s="9">
        <v>0.4833</v>
      </c>
      <c r="AS106" s="9">
        <v>0.4833</v>
      </c>
      <c r="AT106" s="9">
        <v>0.4833</v>
      </c>
    </row>
    <row r="107" ht="14.25" customHeight="1">
      <c r="A107" s="2" t="s">
        <v>250</v>
      </c>
      <c r="B107" s="9">
        <v>0.5587</v>
      </c>
      <c r="C107" s="9">
        <v>0.5587</v>
      </c>
      <c r="D107" s="9">
        <v>0.5587</v>
      </c>
      <c r="E107" s="9">
        <v>0.5587</v>
      </c>
      <c r="F107" s="9">
        <v>0.5587</v>
      </c>
      <c r="G107" s="9">
        <v>0.5587</v>
      </c>
      <c r="H107" s="9">
        <v>0.5587</v>
      </c>
      <c r="I107" s="9">
        <v>0.5654</v>
      </c>
      <c r="J107" s="9">
        <v>0.573</v>
      </c>
      <c r="K107" s="9">
        <v>0.5819</v>
      </c>
      <c r="L107" s="9">
        <v>0.5922</v>
      </c>
      <c r="M107" s="9">
        <v>0.6044</v>
      </c>
      <c r="N107" s="9">
        <v>0.6191</v>
      </c>
      <c r="O107" s="9">
        <v>0.6035</v>
      </c>
      <c r="P107" s="9">
        <v>0.5876</v>
      </c>
      <c r="Q107" s="9">
        <v>0.5714</v>
      </c>
      <c r="R107" s="9">
        <v>0.5549</v>
      </c>
      <c r="S107" s="9">
        <v>0.5382</v>
      </c>
      <c r="T107" s="9">
        <v>0.5467</v>
      </c>
      <c r="U107" s="9">
        <v>0.5546</v>
      </c>
      <c r="V107" s="9">
        <v>0.5621</v>
      </c>
      <c r="W107" s="9">
        <v>0.5691</v>
      </c>
      <c r="X107" s="9">
        <v>0.5757</v>
      </c>
      <c r="Y107" s="9">
        <v>0.5807</v>
      </c>
      <c r="Z107" s="9">
        <v>0.5854</v>
      </c>
      <c r="AA107" s="9">
        <v>0.5898</v>
      </c>
      <c r="AB107" s="9">
        <v>0.5939</v>
      </c>
      <c r="AC107" s="9">
        <v>0.5922</v>
      </c>
      <c r="AD107" s="9">
        <v>0.5906</v>
      </c>
      <c r="AE107" s="9">
        <v>0.5912</v>
      </c>
      <c r="AF107" s="9">
        <v>0.5919</v>
      </c>
      <c r="AG107" s="9">
        <v>0.5696</v>
      </c>
      <c r="AH107" s="9">
        <v>0.5667</v>
      </c>
      <c r="AI107" s="9">
        <v>0.5637</v>
      </c>
      <c r="AJ107" s="9">
        <v>0.5637</v>
      </c>
      <c r="AK107" s="9">
        <v>0.5637</v>
      </c>
      <c r="AL107" s="9">
        <v>0.5637</v>
      </c>
      <c r="AM107" s="9">
        <v>0.5637</v>
      </c>
      <c r="AN107" s="9">
        <v>0.5637</v>
      </c>
      <c r="AO107" s="9">
        <v>0.5637</v>
      </c>
      <c r="AP107" s="9">
        <v>0.5637</v>
      </c>
      <c r="AQ107" s="9">
        <v>0.5637</v>
      </c>
      <c r="AR107" s="9">
        <v>0.5637</v>
      </c>
      <c r="AS107" s="9">
        <v>0.5637</v>
      </c>
      <c r="AT107" s="9">
        <v>0.5637</v>
      </c>
    </row>
    <row r="108" ht="14.25" customHeight="1">
      <c r="A108" s="2" t="s">
        <v>251</v>
      </c>
      <c r="B108" s="9">
        <v>0.3026</v>
      </c>
      <c r="C108" s="9">
        <v>0.3009</v>
      </c>
      <c r="D108" s="9">
        <v>0.2993</v>
      </c>
      <c r="E108" s="9">
        <v>0.2977</v>
      </c>
      <c r="F108" s="9">
        <v>0.2961</v>
      </c>
      <c r="G108" s="9">
        <v>0.2946</v>
      </c>
      <c r="H108" s="9">
        <v>0.2937</v>
      </c>
      <c r="I108" s="9">
        <v>0.2929</v>
      </c>
      <c r="J108" s="9">
        <v>0.2921</v>
      </c>
      <c r="K108" s="9">
        <v>0.2953</v>
      </c>
      <c r="L108" s="9">
        <v>0.3092</v>
      </c>
      <c r="M108" s="9">
        <v>0.3499</v>
      </c>
      <c r="N108" s="9">
        <v>0.3905</v>
      </c>
      <c r="O108" s="9">
        <v>0.4315</v>
      </c>
      <c r="P108" s="9">
        <v>0.4462</v>
      </c>
      <c r="Q108" s="9">
        <v>0.4819</v>
      </c>
      <c r="R108" s="9">
        <v>0.5152</v>
      </c>
      <c r="S108" s="9">
        <v>0.5211</v>
      </c>
      <c r="T108" s="9">
        <v>0.5358</v>
      </c>
      <c r="U108" s="9">
        <v>0.5367</v>
      </c>
      <c r="V108" s="9">
        <v>0.5408</v>
      </c>
      <c r="W108" s="9">
        <v>0.5468</v>
      </c>
      <c r="X108" s="9">
        <v>0.552</v>
      </c>
      <c r="Y108" s="9">
        <v>0.5364</v>
      </c>
      <c r="Z108" s="9">
        <v>0.4844</v>
      </c>
      <c r="AA108" s="9">
        <v>0.5115</v>
      </c>
      <c r="AB108" s="9">
        <v>0.5144</v>
      </c>
      <c r="AC108" s="9">
        <v>0.4932</v>
      </c>
      <c r="AD108" s="9">
        <v>0.5005</v>
      </c>
      <c r="AE108" s="9">
        <v>0.515</v>
      </c>
      <c r="AF108" s="9">
        <v>0.5077</v>
      </c>
      <c r="AG108" s="9">
        <v>0.4816</v>
      </c>
      <c r="AH108" s="9">
        <v>0.4865</v>
      </c>
      <c r="AI108" s="9">
        <v>0.4839</v>
      </c>
      <c r="AJ108" s="9">
        <v>0.467</v>
      </c>
      <c r="AK108" s="9">
        <v>0.4434</v>
      </c>
      <c r="AL108" s="9">
        <v>0.4934</v>
      </c>
      <c r="AM108" s="9">
        <v>0.4959</v>
      </c>
      <c r="AN108" s="9">
        <v>0.4991</v>
      </c>
      <c r="AO108" s="9">
        <v>0.4991</v>
      </c>
      <c r="AP108" s="9">
        <v>0.4991</v>
      </c>
      <c r="AQ108" s="9">
        <v>0.4991</v>
      </c>
      <c r="AR108" s="9">
        <v>0.4991</v>
      </c>
      <c r="AS108" s="9">
        <v>0.4991</v>
      </c>
      <c r="AT108" s="9">
        <v>0.4991</v>
      </c>
    </row>
    <row r="109" ht="14.25" customHeight="1">
      <c r="A109" s="2" t="s">
        <v>252</v>
      </c>
      <c r="B109" s="9">
        <v>0.7364</v>
      </c>
      <c r="C109" s="9">
        <v>0.7364</v>
      </c>
      <c r="D109" s="9">
        <v>0.7364</v>
      </c>
      <c r="E109" s="9">
        <v>0.7364</v>
      </c>
      <c r="F109" s="9">
        <v>0.7364</v>
      </c>
      <c r="G109" s="9">
        <v>0.7364</v>
      </c>
      <c r="H109" s="9">
        <v>0.7364</v>
      </c>
      <c r="I109" s="9">
        <v>0.7364</v>
      </c>
      <c r="J109" s="9">
        <v>0.7364</v>
      </c>
      <c r="K109" s="9">
        <v>0.7364</v>
      </c>
      <c r="L109" s="9">
        <v>0.7364</v>
      </c>
      <c r="M109" s="9">
        <v>0.7364</v>
      </c>
      <c r="N109" s="9">
        <v>0.7364</v>
      </c>
      <c r="O109" s="9">
        <v>0.6714</v>
      </c>
      <c r="P109" s="9">
        <v>0.6065</v>
      </c>
      <c r="Q109" s="9">
        <v>0.614</v>
      </c>
      <c r="R109" s="9">
        <v>0.6216</v>
      </c>
      <c r="S109" s="9">
        <v>0.6291</v>
      </c>
      <c r="T109" s="9">
        <v>0.6304</v>
      </c>
      <c r="U109" s="9">
        <v>0.6317</v>
      </c>
      <c r="V109" s="9">
        <v>0.633</v>
      </c>
      <c r="W109" s="9">
        <v>0.6343</v>
      </c>
      <c r="X109" s="9">
        <v>0.6357</v>
      </c>
      <c r="Y109" s="9">
        <v>0.637</v>
      </c>
      <c r="Z109" s="9">
        <v>0.6383</v>
      </c>
      <c r="AA109" s="9">
        <v>0.6396</v>
      </c>
      <c r="AB109" s="9">
        <v>0.6339</v>
      </c>
      <c r="AC109" s="9">
        <v>0.6283</v>
      </c>
      <c r="AD109" s="9">
        <v>0.6226</v>
      </c>
      <c r="AE109" s="9">
        <v>0.6169</v>
      </c>
      <c r="AF109" s="9">
        <v>0.6112</v>
      </c>
      <c r="AG109" s="9">
        <v>0.6055</v>
      </c>
      <c r="AH109" s="9">
        <v>0.5999</v>
      </c>
      <c r="AI109" s="9">
        <v>0.5942</v>
      </c>
      <c r="AJ109" s="9">
        <v>0.5885</v>
      </c>
      <c r="AK109" s="9">
        <v>0.5828</v>
      </c>
      <c r="AL109" s="9">
        <v>0.5744</v>
      </c>
      <c r="AM109" s="9">
        <v>0.566</v>
      </c>
      <c r="AN109" s="9">
        <v>0.5576</v>
      </c>
      <c r="AO109" s="9">
        <v>0.5492</v>
      </c>
      <c r="AP109" s="9">
        <v>0.5408</v>
      </c>
      <c r="AQ109" s="9">
        <v>0.5753</v>
      </c>
      <c r="AR109" s="9">
        <v>0.5592</v>
      </c>
      <c r="AS109" s="9">
        <v>0.5592</v>
      </c>
      <c r="AT109" s="9">
        <v>0.5592</v>
      </c>
    </row>
    <row r="110" ht="14.25" customHeight="1">
      <c r="A110" s="2" t="s">
        <v>253</v>
      </c>
      <c r="B110" s="9">
        <v>0.4403</v>
      </c>
      <c r="C110" s="9">
        <v>0.4412</v>
      </c>
      <c r="D110" s="9">
        <v>0.4421</v>
      </c>
      <c r="E110" s="9">
        <v>0.443</v>
      </c>
      <c r="F110" s="9">
        <v>0.444</v>
      </c>
      <c r="G110" s="9">
        <v>0.4449</v>
      </c>
      <c r="H110" s="9">
        <v>0.4459</v>
      </c>
      <c r="I110" s="9">
        <v>0.4469</v>
      </c>
      <c r="J110" s="9">
        <v>0.4479</v>
      </c>
      <c r="K110" s="9">
        <v>0.449</v>
      </c>
      <c r="L110" s="9">
        <v>0.45</v>
      </c>
      <c r="M110" s="9">
        <v>0.4515</v>
      </c>
      <c r="N110" s="9">
        <v>0.453</v>
      </c>
      <c r="O110" s="9">
        <v>0.4544</v>
      </c>
      <c r="P110" s="9">
        <v>0.4558</v>
      </c>
      <c r="Q110" s="9">
        <v>0.4571</v>
      </c>
      <c r="R110" s="9">
        <v>0.4584</v>
      </c>
      <c r="S110" s="9">
        <v>0.4596</v>
      </c>
      <c r="T110" s="9">
        <v>0.4608</v>
      </c>
      <c r="U110" s="9">
        <v>0.462</v>
      </c>
      <c r="V110" s="9">
        <v>0.4631</v>
      </c>
      <c r="W110" s="9">
        <v>0.4719</v>
      </c>
      <c r="X110" s="9">
        <v>0.4805</v>
      </c>
      <c r="Y110" s="9">
        <v>0.489</v>
      </c>
      <c r="Z110" s="9">
        <v>0.4972</v>
      </c>
      <c r="AA110" s="9">
        <v>0.5052</v>
      </c>
      <c r="AB110" s="9">
        <v>0.5131</v>
      </c>
      <c r="AC110" s="9">
        <v>0.5207</v>
      </c>
      <c r="AD110" s="9">
        <v>0.5282</v>
      </c>
      <c r="AE110" s="9">
        <v>0.5356</v>
      </c>
      <c r="AF110" s="9">
        <v>0.5428</v>
      </c>
      <c r="AG110" s="9">
        <v>0.5447</v>
      </c>
      <c r="AH110" s="9">
        <v>0.5466</v>
      </c>
      <c r="AI110" s="9">
        <v>0.5483</v>
      </c>
      <c r="AJ110" s="9">
        <v>0.55</v>
      </c>
      <c r="AK110" s="9">
        <v>0.5516</v>
      </c>
      <c r="AL110" s="9">
        <v>0.5531</v>
      </c>
      <c r="AM110" s="9">
        <v>0.5546</v>
      </c>
      <c r="AN110" s="9">
        <v>0.556</v>
      </c>
      <c r="AO110" s="9">
        <v>0.5574</v>
      </c>
      <c r="AP110" s="9">
        <v>0.5587</v>
      </c>
      <c r="AQ110" s="9">
        <v>0.5587</v>
      </c>
      <c r="AR110" s="9">
        <v>0.5587</v>
      </c>
      <c r="AS110" s="9">
        <v>0.5587</v>
      </c>
      <c r="AT110" s="9">
        <v>0.5587</v>
      </c>
    </row>
    <row r="111" ht="14.25" customHeight="1">
      <c r="A111" s="2" t="s">
        <v>254</v>
      </c>
      <c r="B111" s="9">
        <v>0.3936</v>
      </c>
      <c r="C111" s="9">
        <v>0.3936</v>
      </c>
      <c r="D111" s="9">
        <v>0.3936</v>
      </c>
      <c r="E111" s="9">
        <v>0.3901</v>
      </c>
      <c r="F111" s="9">
        <v>0.3892</v>
      </c>
      <c r="G111" s="9">
        <v>0.3842</v>
      </c>
      <c r="H111" s="9">
        <v>0.379</v>
      </c>
      <c r="I111" s="9">
        <v>0.3736</v>
      </c>
      <c r="J111" s="9">
        <v>0.3679</v>
      </c>
      <c r="K111" s="9">
        <v>0.3503</v>
      </c>
      <c r="L111" s="9">
        <v>0.3426</v>
      </c>
      <c r="M111" s="9">
        <v>0.3439</v>
      </c>
      <c r="N111" s="9">
        <v>0.3406</v>
      </c>
      <c r="O111" s="9">
        <v>0.3319</v>
      </c>
      <c r="P111" s="9">
        <v>0.3417</v>
      </c>
      <c r="Q111" s="9">
        <v>0.3384</v>
      </c>
      <c r="R111" s="9">
        <v>0.3626</v>
      </c>
      <c r="S111" s="9">
        <v>0.3459</v>
      </c>
      <c r="T111" s="9">
        <v>0.3525</v>
      </c>
      <c r="U111" s="9">
        <v>0.3624</v>
      </c>
      <c r="V111" s="9">
        <v>0.3734</v>
      </c>
      <c r="W111" s="9">
        <v>0.3844</v>
      </c>
      <c r="X111" s="9">
        <v>0.4007</v>
      </c>
      <c r="Y111" s="9">
        <v>0.4074</v>
      </c>
      <c r="Z111" s="9">
        <v>0.4187</v>
      </c>
      <c r="AA111" s="9">
        <v>0.4298</v>
      </c>
      <c r="AB111" s="9">
        <v>0.4602</v>
      </c>
      <c r="AC111" s="9">
        <v>0.4725</v>
      </c>
      <c r="AD111" s="9">
        <v>0.4786</v>
      </c>
      <c r="AE111" s="9">
        <v>0.4723</v>
      </c>
      <c r="AF111" s="9">
        <v>0.4884</v>
      </c>
      <c r="AG111" s="9">
        <v>0.4826</v>
      </c>
      <c r="AH111" s="9">
        <v>0.4761</v>
      </c>
      <c r="AI111" s="9">
        <v>0.4645</v>
      </c>
      <c r="AJ111" s="9">
        <v>0.4681</v>
      </c>
      <c r="AK111" s="9">
        <v>0.4742</v>
      </c>
      <c r="AL111" s="9">
        <v>0.4842</v>
      </c>
      <c r="AM111" s="9">
        <v>0.4946</v>
      </c>
      <c r="AN111" s="9">
        <v>0.4915</v>
      </c>
      <c r="AO111" s="9">
        <v>0.4856</v>
      </c>
      <c r="AP111" s="9">
        <v>0.4987</v>
      </c>
      <c r="AQ111" s="9">
        <v>0.4953</v>
      </c>
      <c r="AR111" s="9">
        <v>0.491</v>
      </c>
      <c r="AS111" s="9">
        <v>0.491</v>
      </c>
      <c r="AT111" s="9">
        <v>0.491</v>
      </c>
    </row>
    <row r="112" ht="14.25" customHeight="1">
      <c r="A112" s="2" t="s">
        <v>255</v>
      </c>
      <c r="B112" s="9">
        <v>0.4835</v>
      </c>
      <c r="C112" s="9">
        <v>0.4835</v>
      </c>
      <c r="D112" s="9">
        <v>0.4835</v>
      </c>
      <c r="E112" s="9">
        <v>0.4835</v>
      </c>
      <c r="F112" s="9">
        <v>0.4835</v>
      </c>
      <c r="G112" s="9">
        <v>0.4835</v>
      </c>
      <c r="H112" s="9">
        <v>0.4835</v>
      </c>
      <c r="I112" s="9">
        <v>0.4835</v>
      </c>
      <c r="J112" s="9">
        <v>0.4835</v>
      </c>
      <c r="K112" s="9">
        <v>0.4835</v>
      </c>
      <c r="L112" s="9">
        <v>0.4835</v>
      </c>
      <c r="M112" s="9">
        <v>0.4835</v>
      </c>
      <c r="N112" s="9">
        <v>0.4835</v>
      </c>
      <c r="O112" s="9">
        <v>0.4835</v>
      </c>
      <c r="P112" s="9">
        <v>0.4835</v>
      </c>
      <c r="Q112" s="9">
        <v>0.4835</v>
      </c>
      <c r="R112" s="9">
        <v>0.4835</v>
      </c>
      <c r="S112" s="9">
        <v>0.4835</v>
      </c>
      <c r="T112" s="9">
        <v>0.4835</v>
      </c>
      <c r="U112" s="9">
        <v>0.4835</v>
      </c>
      <c r="V112" s="9">
        <v>0.4818</v>
      </c>
      <c r="W112" s="9">
        <v>0.4829</v>
      </c>
      <c r="X112" s="9">
        <v>0.4829</v>
      </c>
      <c r="Y112" s="9">
        <v>0.4839</v>
      </c>
      <c r="Z112" s="9">
        <v>0.4848</v>
      </c>
      <c r="AA112" s="9">
        <v>0.4875</v>
      </c>
      <c r="AB112" s="9">
        <v>0.4821</v>
      </c>
      <c r="AC112" s="9">
        <v>0.4814</v>
      </c>
      <c r="AD112" s="9">
        <v>0.4928</v>
      </c>
      <c r="AE112" s="9">
        <v>0.4877</v>
      </c>
      <c r="AF112" s="9">
        <v>0.4964</v>
      </c>
      <c r="AG112" s="9">
        <v>0.4769</v>
      </c>
      <c r="AH112" s="9">
        <v>0.4785</v>
      </c>
      <c r="AI112" s="9">
        <v>0.4673</v>
      </c>
      <c r="AJ112" s="9">
        <v>0.4749</v>
      </c>
      <c r="AK112" s="9">
        <v>0.4709</v>
      </c>
      <c r="AL112" s="9">
        <v>0.4709</v>
      </c>
      <c r="AM112" s="9">
        <v>0.4783</v>
      </c>
      <c r="AN112" s="9">
        <v>0.477</v>
      </c>
      <c r="AO112" s="9">
        <v>0.4741</v>
      </c>
      <c r="AP112" s="9">
        <v>0.474</v>
      </c>
      <c r="AQ112" s="9">
        <v>0.4738</v>
      </c>
      <c r="AR112" s="9">
        <v>0.4755</v>
      </c>
      <c r="AS112" s="9">
        <v>0.4745</v>
      </c>
      <c r="AT112" s="9">
        <v>0.4745</v>
      </c>
    </row>
    <row r="113" ht="14.25" customHeight="1">
      <c r="A113" s="2" t="s">
        <v>256</v>
      </c>
      <c r="B113" s="9">
        <v>0.6283</v>
      </c>
      <c r="C113" s="9">
        <v>0.6283</v>
      </c>
      <c r="D113" s="9">
        <v>0.6283</v>
      </c>
      <c r="E113" s="9">
        <v>0.6283</v>
      </c>
      <c r="F113" s="9">
        <v>0.6283</v>
      </c>
      <c r="G113" s="9">
        <v>0.6283</v>
      </c>
      <c r="H113" s="9">
        <v>0.6283</v>
      </c>
      <c r="I113" s="9">
        <v>0.6283</v>
      </c>
      <c r="J113" s="9">
        <v>0.6283</v>
      </c>
      <c r="K113" s="9">
        <v>0.6283</v>
      </c>
      <c r="L113" s="9">
        <v>0.6283</v>
      </c>
      <c r="M113" s="9">
        <v>0.6283</v>
      </c>
      <c r="N113" s="9">
        <v>0.6283</v>
      </c>
      <c r="O113" s="9">
        <v>0.6283</v>
      </c>
      <c r="P113" s="9">
        <v>0.6283</v>
      </c>
      <c r="Q113" s="9">
        <v>0.6283</v>
      </c>
      <c r="R113" s="9">
        <v>0.6283</v>
      </c>
      <c r="S113" s="9">
        <v>0.6283</v>
      </c>
      <c r="T113" s="9">
        <v>0.6283</v>
      </c>
      <c r="U113" s="9">
        <v>0.6283</v>
      </c>
      <c r="V113" s="9">
        <v>0.6283</v>
      </c>
      <c r="W113" s="9">
        <v>0.6283</v>
      </c>
      <c r="X113" s="9">
        <v>0.6283</v>
      </c>
      <c r="Y113" s="9">
        <v>0.6283</v>
      </c>
      <c r="Z113" s="9">
        <v>0.6283</v>
      </c>
      <c r="AA113" s="9">
        <v>0.6283</v>
      </c>
      <c r="AB113" s="9">
        <v>0.6283</v>
      </c>
      <c r="AC113" s="9">
        <v>0.6283</v>
      </c>
      <c r="AD113" s="9">
        <v>0.6273</v>
      </c>
      <c r="AE113" s="9">
        <v>0.6262</v>
      </c>
      <c r="AF113" s="9">
        <v>0.625</v>
      </c>
      <c r="AG113" s="9">
        <v>0.6236</v>
      </c>
      <c r="AH113" s="9">
        <v>0.622</v>
      </c>
      <c r="AI113" s="9">
        <v>0.6203</v>
      </c>
      <c r="AJ113" s="9">
        <v>0.5121</v>
      </c>
      <c r="AK113" s="9">
        <v>0.5121</v>
      </c>
      <c r="AL113" s="9">
        <v>0.5121</v>
      </c>
      <c r="AM113" s="9">
        <v>0.5121</v>
      </c>
      <c r="AN113" s="9">
        <v>0.5121</v>
      </c>
      <c r="AO113" s="9">
        <v>0.5121</v>
      </c>
      <c r="AP113" s="9">
        <v>0.5121</v>
      </c>
      <c r="AQ113" s="9">
        <v>0.5121</v>
      </c>
      <c r="AR113" s="9">
        <v>0.5121</v>
      </c>
      <c r="AS113" s="9">
        <v>0.5121</v>
      </c>
      <c r="AT113" s="9">
        <v>0.5121</v>
      </c>
    </row>
    <row r="114" ht="14.25" customHeight="1">
      <c r="A114" s="2" t="s">
        <v>257</v>
      </c>
      <c r="B114" s="9">
        <v>0.3026</v>
      </c>
      <c r="C114" s="9">
        <v>0.3009</v>
      </c>
      <c r="D114" s="9">
        <v>0.2993</v>
      </c>
      <c r="E114" s="9">
        <v>0.2977</v>
      </c>
      <c r="F114" s="9">
        <v>0.2961</v>
      </c>
      <c r="G114" s="9">
        <v>0.2946</v>
      </c>
      <c r="H114" s="9">
        <v>0.2937</v>
      </c>
      <c r="I114" s="9">
        <v>0.2929</v>
      </c>
      <c r="J114" s="9">
        <v>0.2921</v>
      </c>
      <c r="K114" s="9">
        <v>0.2953</v>
      </c>
      <c r="L114" s="9">
        <v>0.3092</v>
      </c>
      <c r="M114" s="9">
        <v>0.3358</v>
      </c>
      <c r="N114" s="9">
        <v>0.3623</v>
      </c>
      <c r="O114" s="9">
        <v>0.3889</v>
      </c>
      <c r="P114" s="9">
        <v>0.4154</v>
      </c>
      <c r="Q114" s="9">
        <v>0.4418</v>
      </c>
      <c r="R114" s="9">
        <v>0.4683</v>
      </c>
      <c r="S114" s="9">
        <v>0.4948</v>
      </c>
      <c r="T114" s="9">
        <v>0.5211</v>
      </c>
      <c r="U114" s="9">
        <v>0.4874</v>
      </c>
      <c r="V114" s="9">
        <v>0.4606</v>
      </c>
      <c r="W114" s="9">
        <v>0.4699</v>
      </c>
      <c r="X114" s="9">
        <v>0.4701</v>
      </c>
      <c r="Y114" s="9">
        <v>0.4561</v>
      </c>
      <c r="Z114" s="9">
        <v>0.5251</v>
      </c>
      <c r="AA114" s="9">
        <v>0.5135</v>
      </c>
      <c r="AB114" s="9">
        <v>0.5388</v>
      </c>
      <c r="AC114" s="9">
        <v>0.5015</v>
      </c>
      <c r="AD114" s="9">
        <v>0.4909</v>
      </c>
      <c r="AE114" s="9">
        <v>0.4882</v>
      </c>
      <c r="AF114" s="9">
        <v>0.4859</v>
      </c>
      <c r="AG114" s="9">
        <v>0.4578</v>
      </c>
      <c r="AH114" s="9">
        <v>0.453</v>
      </c>
      <c r="AI114" s="9">
        <v>0.456</v>
      </c>
      <c r="AJ114" s="9">
        <v>0.4347</v>
      </c>
      <c r="AK114" s="9">
        <v>0.4598</v>
      </c>
      <c r="AL114" s="9">
        <v>0.449</v>
      </c>
      <c r="AM114" s="9">
        <v>0.4671</v>
      </c>
      <c r="AN114" s="9">
        <v>0.473</v>
      </c>
      <c r="AO114" s="9">
        <v>0.5029</v>
      </c>
      <c r="AP114" s="9">
        <v>0.5029</v>
      </c>
      <c r="AQ114" s="9">
        <v>0.5029</v>
      </c>
      <c r="AR114" s="9">
        <v>0.5029</v>
      </c>
      <c r="AS114" s="9">
        <v>0.5029</v>
      </c>
      <c r="AT114" s="9">
        <v>0.5029</v>
      </c>
    </row>
    <row r="115" ht="14.25" customHeight="1">
      <c r="A115" s="2" t="s">
        <v>258</v>
      </c>
      <c r="B115" s="9">
        <v>0.5494</v>
      </c>
      <c r="C115" s="9">
        <v>0.5494</v>
      </c>
      <c r="D115" s="9">
        <v>0.5494</v>
      </c>
      <c r="E115" s="9">
        <v>0.5494</v>
      </c>
      <c r="F115" s="9">
        <v>0.5494</v>
      </c>
      <c r="G115" s="9">
        <v>0.5494</v>
      </c>
      <c r="H115" s="9">
        <v>0.5494</v>
      </c>
      <c r="I115" s="9">
        <v>0.5494</v>
      </c>
      <c r="J115" s="9">
        <v>0.5494</v>
      </c>
      <c r="K115" s="9">
        <v>0.5494</v>
      </c>
      <c r="L115" s="9">
        <v>0.5494</v>
      </c>
      <c r="M115" s="9">
        <v>0.5494</v>
      </c>
      <c r="N115" s="9">
        <v>0.5494</v>
      </c>
      <c r="O115" s="9">
        <v>0.5522</v>
      </c>
      <c r="P115" s="9">
        <v>0.5561</v>
      </c>
      <c r="Q115" s="9">
        <v>0.5588</v>
      </c>
      <c r="R115" s="9">
        <v>0.5603</v>
      </c>
      <c r="S115" s="9">
        <v>0.5623</v>
      </c>
      <c r="T115" s="9">
        <v>0.5587</v>
      </c>
      <c r="U115" s="9">
        <v>0.5551</v>
      </c>
      <c r="V115" s="9">
        <v>0.5569</v>
      </c>
      <c r="W115" s="9">
        <v>0.5565</v>
      </c>
      <c r="X115" s="9">
        <v>0.552</v>
      </c>
      <c r="Y115" s="9">
        <v>0.5524</v>
      </c>
      <c r="Z115" s="9">
        <v>0.5564</v>
      </c>
      <c r="AA115" s="9">
        <v>0.5579</v>
      </c>
      <c r="AB115" s="9">
        <v>0.5584</v>
      </c>
      <c r="AC115" s="9">
        <v>0.5601</v>
      </c>
      <c r="AD115" s="9">
        <v>0.5584</v>
      </c>
      <c r="AE115" s="9">
        <v>0.5593</v>
      </c>
      <c r="AF115" s="9">
        <v>0.5582</v>
      </c>
      <c r="AG115" s="9">
        <v>0.556</v>
      </c>
      <c r="AH115" s="9">
        <v>0.5527</v>
      </c>
      <c r="AI115" s="9">
        <v>0.5581</v>
      </c>
      <c r="AJ115" s="9">
        <v>0.5645</v>
      </c>
      <c r="AK115" s="9">
        <v>0.5686</v>
      </c>
      <c r="AL115" s="9">
        <v>0.573</v>
      </c>
      <c r="AM115" s="9">
        <v>0.5762</v>
      </c>
      <c r="AN115" s="9">
        <v>0.5788</v>
      </c>
      <c r="AO115" s="9">
        <v>0.5788</v>
      </c>
      <c r="AP115" s="9">
        <v>0.5788</v>
      </c>
      <c r="AQ115" s="9">
        <v>0.5788</v>
      </c>
      <c r="AR115" s="9">
        <v>0.5788</v>
      </c>
      <c r="AS115" s="9">
        <v>0.5788</v>
      </c>
      <c r="AT115" s="9">
        <v>0.5788</v>
      </c>
    </row>
    <row r="116" ht="14.25" customHeight="1">
      <c r="A116" s="2" t="s">
        <v>259</v>
      </c>
      <c r="B116" s="9">
        <v>0.7198</v>
      </c>
      <c r="C116" s="9">
        <v>0.7226</v>
      </c>
      <c r="D116" s="9">
        <v>0.723</v>
      </c>
      <c r="E116" s="9">
        <v>0.7248</v>
      </c>
      <c r="F116" s="9">
        <v>0.7261</v>
      </c>
      <c r="G116" s="9">
        <v>0.7238</v>
      </c>
      <c r="H116" s="9">
        <v>0.7222</v>
      </c>
      <c r="I116" s="9">
        <v>0.7215</v>
      </c>
      <c r="J116" s="9">
        <v>0.7228</v>
      </c>
      <c r="K116" s="9">
        <v>0.7232</v>
      </c>
      <c r="L116" s="9">
        <v>0.7239</v>
      </c>
      <c r="M116" s="9">
        <v>0.7225</v>
      </c>
      <c r="N116" s="9">
        <v>0.7231</v>
      </c>
      <c r="O116" s="9">
        <v>0.7219</v>
      </c>
      <c r="P116" s="9">
        <v>0.7216</v>
      </c>
      <c r="Q116" s="9">
        <v>0.7172</v>
      </c>
      <c r="R116" s="9">
        <v>0.7183</v>
      </c>
      <c r="S116" s="9">
        <v>0.7195</v>
      </c>
      <c r="T116" s="9">
        <v>0.7216</v>
      </c>
      <c r="U116" s="9">
        <v>0.7228</v>
      </c>
      <c r="V116" s="9">
        <v>0.7231</v>
      </c>
      <c r="W116" s="9">
        <v>0.726</v>
      </c>
      <c r="X116" s="9">
        <v>0.7252</v>
      </c>
      <c r="Y116" s="9">
        <v>0.7249</v>
      </c>
      <c r="Z116" s="9">
        <v>0.723</v>
      </c>
      <c r="AA116" s="9">
        <v>0.7234</v>
      </c>
      <c r="AB116" s="9">
        <v>0.723</v>
      </c>
      <c r="AC116" s="9">
        <v>0.7238</v>
      </c>
      <c r="AD116" s="9">
        <v>0.7225</v>
      </c>
      <c r="AE116" s="9">
        <v>0.7155</v>
      </c>
      <c r="AF116" s="9">
        <v>0.7161</v>
      </c>
      <c r="AG116" s="9">
        <v>0.7156</v>
      </c>
      <c r="AH116" s="9">
        <v>0.7131</v>
      </c>
      <c r="AI116" s="9">
        <v>0.7086</v>
      </c>
      <c r="AJ116" s="9">
        <v>0.7076</v>
      </c>
      <c r="AK116" s="9">
        <v>0.7097</v>
      </c>
      <c r="AL116" s="9">
        <v>0.7094</v>
      </c>
      <c r="AM116" s="9">
        <v>0.7152</v>
      </c>
      <c r="AN116" s="9">
        <v>0.7156</v>
      </c>
      <c r="AO116" s="9">
        <v>0.7139</v>
      </c>
      <c r="AP116" s="9">
        <v>0.7273</v>
      </c>
      <c r="AQ116" s="9">
        <v>0.7198</v>
      </c>
      <c r="AR116" s="9">
        <v>0.7142</v>
      </c>
      <c r="AS116" s="9">
        <v>0.7117</v>
      </c>
      <c r="AT116" s="9">
        <v>0.7124</v>
      </c>
    </row>
    <row r="117" ht="14.25" customHeight="1">
      <c r="A117" s="2" t="s">
        <v>260</v>
      </c>
      <c r="B117" s="9">
        <v>0.7127</v>
      </c>
      <c r="C117" s="9">
        <v>0.7131</v>
      </c>
      <c r="D117" s="9">
        <v>0.7134</v>
      </c>
      <c r="E117" s="9">
        <v>0.7133</v>
      </c>
      <c r="F117" s="9">
        <v>0.7141</v>
      </c>
      <c r="G117" s="9">
        <v>0.7142</v>
      </c>
      <c r="H117" s="9">
        <v>0.7103</v>
      </c>
      <c r="I117" s="9">
        <v>0.71</v>
      </c>
      <c r="J117" s="9">
        <v>0.7104</v>
      </c>
      <c r="K117" s="9">
        <v>0.7109</v>
      </c>
      <c r="L117" s="9">
        <v>0.7135</v>
      </c>
      <c r="M117" s="9">
        <v>0.7141</v>
      </c>
      <c r="N117" s="9">
        <v>0.7145</v>
      </c>
      <c r="O117" s="9">
        <v>0.7138</v>
      </c>
      <c r="P117" s="9">
        <v>0.7143</v>
      </c>
      <c r="Q117" s="9">
        <v>0.7092</v>
      </c>
      <c r="R117" s="9">
        <v>0.7114</v>
      </c>
      <c r="S117" s="9">
        <v>0.7118</v>
      </c>
      <c r="T117" s="9">
        <v>0.7133</v>
      </c>
      <c r="U117" s="9">
        <v>0.7136</v>
      </c>
      <c r="V117" s="9">
        <v>0.7149</v>
      </c>
      <c r="W117" s="9">
        <v>0.7179</v>
      </c>
      <c r="X117" s="9">
        <v>0.7165</v>
      </c>
      <c r="Y117" s="9">
        <v>0.7142</v>
      </c>
      <c r="Z117" s="9">
        <v>0.7123</v>
      </c>
      <c r="AA117" s="9">
        <v>0.7125</v>
      </c>
      <c r="AB117" s="9">
        <v>0.7109</v>
      </c>
      <c r="AC117" s="9">
        <v>0.7128</v>
      </c>
      <c r="AD117" s="9">
        <v>0.711</v>
      </c>
      <c r="AE117" s="9">
        <v>0.7048</v>
      </c>
      <c r="AF117" s="9">
        <v>0.7063</v>
      </c>
      <c r="AG117" s="9">
        <v>0.7066</v>
      </c>
      <c r="AH117" s="9">
        <v>0.7008</v>
      </c>
      <c r="AI117" s="9">
        <v>0.6988</v>
      </c>
      <c r="AJ117" s="9">
        <v>0.6979</v>
      </c>
      <c r="AK117" s="9">
        <v>0.7008</v>
      </c>
      <c r="AL117" s="9">
        <v>0.6997</v>
      </c>
      <c r="AM117" s="9">
        <v>0.7032</v>
      </c>
      <c r="AN117" s="9">
        <v>0.7061</v>
      </c>
      <c r="AO117" s="9">
        <v>0.7025</v>
      </c>
      <c r="AP117" s="9">
        <v>0.7206</v>
      </c>
      <c r="AQ117" s="9">
        <v>0.7131</v>
      </c>
      <c r="AR117" s="9">
        <v>0.7044</v>
      </c>
      <c r="AS117" s="9">
        <v>0.7034</v>
      </c>
      <c r="AT117" s="9">
        <v>0.7044</v>
      </c>
    </row>
    <row r="118" ht="14.25" customHeight="1">
      <c r="A118" s="2" t="s">
        <v>261</v>
      </c>
      <c r="B118" s="9">
        <v>0.3063</v>
      </c>
      <c r="C118" s="9">
        <v>0.3063</v>
      </c>
      <c r="D118" s="9">
        <v>0.3063</v>
      </c>
      <c r="E118" s="9">
        <v>0.3063</v>
      </c>
      <c r="F118" s="9">
        <v>0.3063</v>
      </c>
      <c r="G118" s="9">
        <v>0.3063</v>
      </c>
      <c r="H118" s="9">
        <v>0.3063</v>
      </c>
      <c r="I118" s="9">
        <v>0.3063</v>
      </c>
      <c r="J118" s="9">
        <v>0.3063</v>
      </c>
      <c r="K118" s="9">
        <v>0.3164</v>
      </c>
      <c r="L118" s="9">
        <v>0.3305</v>
      </c>
      <c r="M118" s="9">
        <v>0.3481</v>
      </c>
      <c r="N118" s="9">
        <v>0.3719</v>
      </c>
      <c r="O118" s="9">
        <v>0.4129</v>
      </c>
      <c r="P118" s="9">
        <v>0.4357</v>
      </c>
      <c r="Q118" s="9">
        <v>0.4425</v>
      </c>
      <c r="R118" s="9">
        <v>0.4761</v>
      </c>
      <c r="S118" s="9">
        <v>0.479</v>
      </c>
      <c r="T118" s="9">
        <v>0.4877</v>
      </c>
      <c r="U118" s="9">
        <v>0.4868</v>
      </c>
      <c r="V118" s="9">
        <v>0.4832</v>
      </c>
      <c r="W118" s="9">
        <v>0.4833</v>
      </c>
      <c r="X118" s="9">
        <v>0.494</v>
      </c>
      <c r="Y118" s="9">
        <v>0.4992</v>
      </c>
      <c r="Z118" s="9">
        <v>0.5037</v>
      </c>
      <c r="AA118" s="9">
        <v>0.5224</v>
      </c>
      <c r="AB118" s="9">
        <v>0.4885</v>
      </c>
      <c r="AC118" s="9">
        <v>0.5167</v>
      </c>
      <c r="AD118" s="9">
        <v>0.5032</v>
      </c>
      <c r="AE118" s="9">
        <v>0.5013</v>
      </c>
      <c r="AF118" s="9">
        <v>0.4868</v>
      </c>
      <c r="AG118" s="9">
        <v>0.4943</v>
      </c>
      <c r="AH118" s="9">
        <v>0.5001</v>
      </c>
      <c r="AI118" s="9">
        <v>0.4986</v>
      </c>
      <c r="AJ118" s="9">
        <v>0.4833</v>
      </c>
      <c r="AK118" s="9">
        <v>0.4736</v>
      </c>
      <c r="AL118" s="9">
        <v>0.4632</v>
      </c>
      <c r="AM118" s="9">
        <v>0.482</v>
      </c>
      <c r="AN118" s="9">
        <v>0.4796</v>
      </c>
      <c r="AO118" s="9">
        <v>0.4774</v>
      </c>
      <c r="AP118" s="9">
        <v>0.4772</v>
      </c>
      <c r="AQ118" s="9">
        <v>0.4795</v>
      </c>
      <c r="AR118" s="9">
        <v>0.4793</v>
      </c>
      <c r="AS118" s="9">
        <v>0.4767</v>
      </c>
      <c r="AT118" s="9">
        <v>0.4767</v>
      </c>
    </row>
    <row r="119" ht="14.25" customHeight="1">
      <c r="A119" s="2" t="s">
        <v>262</v>
      </c>
      <c r="B119" s="9">
        <v>0.6061</v>
      </c>
      <c r="C119" s="9">
        <v>0.6061</v>
      </c>
      <c r="D119" s="9">
        <v>0.6061</v>
      </c>
      <c r="E119" s="9">
        <v>0.6061</v>
      </c>
      <c r="F119" s="9">
        <v>0.6061</v>
      </c>
      <c r="G119" s="9">
        <v>0.6061</v>
      </c>
      <c r="H119" s="9">
        <v>0.6061</v>
      </c>
      <c r="I119" s="9">
        <v>0.6061</v>
      </c>
      <c r="J119" s="9">
        <v>0.6061</v>
      </c>
      <c r="K119" s="9">
        <v>0.6061</v>
      </c>
      <c r="L119" s="9">
        <v>0.6061</v>
      </c>
      <c r="M119" s="9">
        <v>0.6061</v>
      </c>
      <c r="N119" s="9">
        <v>0.6061</v>
      </c>
      <c r="O119" s="9">
        <v>0.6061</v>
      </c>
      <c r="P119" s="9">
        <v>0.6061</v>
      </c>
      <c r="Q119" s="9">
        <v>0.6061</v>
      </c>
      <c r="R119" s="9">
        <v>0.6061</v>
      </c>
      <c r="S119" s="9">
        <v>0.6061</v>
      </c>
      <c r="T119" s="9">
        <v>0.6061</v>
      </c>
      <c r="U119" s="9">
        <v>0.6061</v>
      </c>
      <c r="V119" s="9">
        <v>0.6061</v>
      </c>
      <c r="W119" s="9">
        <v>0.6061</v>
      </c>
      <c r="X119" s="9">
        <v>0.6061</v>
      </c>
      <c r="Y119" s="9">
        <v>0.6061</v>
      </c>
      <c r="Z119" s="9">
        <v>0.6061</v>
      </c>
      <c r="AA119" s="9">
        <v>0.6061</v>
      </c>
      <c r="AB119" s="9">
        <v>0.6043</v>
      </c>
      <c r="AC119" s="9">
        <v>0.647</v>
      </c>
      <c r="AD119" s="9">
        <v>0.6486</v>
      </c>
      <c r="AE119" s="9">
        <v>0.6353</v>
      </c>
      <c r="AF119" s="9">
        <v>0.6426</v>
      </c>
      <c r="AG119" s="9">
        <v>0.6474</v>
      </c>
      <c r="AH119" s="9">
        <v>0.653</v>
      </c>
      <c r="AI119" s="9">
        <v>0.6468</v>
      </c>
      <c r="AJ119" s="9">
        <v>0.6451</v>
      </c>
      <c r="AK119" s="9">
        <v>0.6432</v>
      </c>
      <c r="AL119" s="9">
        <v>0.6413</v>
      </c>
      <c r="AM119" s="9">
        <v>0.6393</v>
      </c>
      <c r="AN119" s="9">
        <v>0.6372</v>
      </c>
      <c r="AO119" s="9">
        <v>0.635</v>
      </c>
      <c r="AP119" s="9">
        <v>0.6327</v>
      </c>
      <c r="AQ119" s="9">
        <v>0.6302</v>
      </c>
      <c r="AR119" s="9">
        <v>0.6276</v>
      </c>
      <c r="AS119" s="9">
        <v>0.6249</v>
      </c>
      <c r="AT119" s="9">
        <v>0.622</v>
      </c>
    </row>
    <row r="120" ht="14.25" customHeight="1">
      <c r="A120" s="2" t="s">
        <v>263</v>
      </c>
      <c r="B120" s="9">
        <v>0.7089</v>
      </c>
      <c r="C120" s="9">
        <v>0.7089</v>
      </c>
      <c r="D120" s="9">
        <v>0.7089</v>
      </c>
      <c r="E120" s="9">
        <v>0.7089</v>
      </c>
      <c r="F120" s="9">
        <v>0.7089</v>
      </c>
      <c r="G120" s="9">
        <v>0.7089</v>
      </c>
      <c r="H120" s="9">
        <v>0.7089</v>
      </c>
      <c r="I120" s="9">
        <v>0.7142</v>
      </c>
      <c r="J120" s="9">
        <v>0.7195</v>
      </c>
      <c r="K120" s="9">
        <v>0.7248</v>
      </c>
      <c r="L120" s="9">
        <v>0.7301</v>
      </c>
      <c r="M120" s="9">
        <v>0.7354</v>
      </c>
      <c r="N120" s="9">
        <v>0.7407</v>
      </c>
      <c r="O120" s="9">
        <v>0.7461</v>
      </c>
      <c r="P120" s="9">
        <v>0.7514</v>
      </c>
      <c r="Q120" s="9">
        <v>0.7403</v>
      </c>
      <c r="R120" s="9">
        <v>0.7293</v>
      </c>
      <c r="S120" s="9">
        <v>0.7183</v>
      </c>
      <c r="T120" s="9">
        <v>0.7072</v>
      </c>
      <c r="U120" s="9">
        <v>0.6962</v>
      </c>
      <c r="V120" s="9">
        <v>0.6852</v>
      </c>
      <c r="W120" s="9">
        <v>0.6741</v>
      </c>
      <c r="X120" s="9">
        <v>0.6631</v>
      </c>
      <c r="Y120" s="9">
        <v>0.6594</v>
      </c>
      <c r="Z120" s="9">
        <v>0.6557</v>
      </c>
      <c r="AA120" s="9">
        <v>0.652</v>
      </c>
      <c r="AB120" s="9">
        <v>0.6483</v>
      </c>
      <c r="AC120" s="9">
        <v>0.6446</v>
      </c>
      <c r="AD120" s="9">
        <v>0.6409</v>
      </c>
      <c r="AE120" s="9">
        <v>0.6372</v>
      </c>
      <c r="AF120" s="9">
        <v>0.6336</v>
      </c>
      <c r="AG120" s="9">
        <v>0.6299</v>
      </c>
      <c r="AH120" s="9">
        <v>0.6262</v>
      </c>
      <c r="AI120" s="9">
        <v>0.6225</v>
      </c>
      <c r="AJ120" s="9">
        <v>0.6188</v>
      </c>
      <c r="AK120" s="9">
        <v>0.6151</v>
      </c>
      <c r="AL120" s="9">
        <v>0.6114</v>
      </c>
      <c r="AM120" s="9">
        <v>0.6077</v>
      </c>
      <c r="AN120" s="9">
        <v>0.6077</v>
      </c>
      <c r="AO120" s="9">
        <v>0.6077</v>
      </c>
      <c r="AP120" s="9">
        <v>0.6077</v>
      </c>
      <c r="AQ120" s="9">
        <v>0.6077</v>
      </c>
      <c r="AR120" s="9">
        <v>0.6077</v>
      </c>
      <c r="AS120" s="9">
        <v>0.6077</v>
      </c>
      <c r="AT120" s="9">
        <v>0.6077</v>
      </c>
    </row>
    <row r="121" ht="14.25" customHeight="1">
      <c r="A121" s="2" t="s">
        <v>264</v>
      </c>
      <c r="B121" s="9">
        <v>0.5396</v>
      </c>
      <c r="C121" s="9">
        <v>0.5396</v>
      </c>
      <c r="D121" s="9">
        <v>0.5396</v>
      </c>
      <c r="E121" s="9">
        <v>0.5396</v>
      </c>
      <c r="F121" s="9">
        <v>0.5396</v>
      </c>
      <c r="G121" s="9">
        <v>0.5396</v>
      </c>
      <c r="H121" s="9">
        <v>0.5396</v>
      </c>
      <c r="I121" s="9">
        <v>0.5396</v>
      </c>
      <c r="J121" s="9">
        <v>0.5396</v>
      </c>
      <c r="K121" s="9">
        <v>0.5396</v>
      </c>
      <c r="L121" s="9">
        <v>0.5396</v>
      </c>
      <c r="M121" s="9">
        <v>0.5396</v>
      </c>
      <c r="N121" s="9">
        <v>0.5396</v>
      </c>
      <c r="O121" s="9">
        <v>0.5396</v>
      </c>
      <c r="P121" s="9">
        <v>0.5396</v>
      </c>
      <c r="Q121" s="9">
        <v>0.5396</v>
      </c>
      <c r="R121" s="9">
        <v>0.5396</v>
      </c>
      <c r="S121" s="9">
        <v>0.5396</v>
      </c>
      <c r="T121" s="9">
        <v>0.5396</v>
      </c>
      <c r="U121" s="9">
        <v>0.5396</v>
      </c>
      <c r="V121" s="9">
        <v>0.5396</v>
      </c>
      <c r="W121" s="9">
        <v>0.5396</v>
      </c>
      <c r="X121" s="9">
        <v>0.5396</v>
      </c>
      <c r="Y121" s="9">
        <v>0.5396</v>
      </c>
      <c r="Z121" s="9">
        <v>0.5396</v>
      </c>
      <c r="AA121" s="9">
        <v>0.5396</v>
      </c>
      <c r="AB121" s="9">
        <v>0.5396</v>
      </c>
      <c r="AC121" s="9">
        <v>0.5396</v>
      </c>
      <c r="AD121" s="9">
        <v>0.5355</v>
      </c>
      <c r="AE121" s="9">
        <v>0.5313</v>
      </c>
      <c r="AF121" s="9">
        <v>0.5271</v>
      </c>
      <c r="AG121" s="9">
        <v>0.5229</v>
      </c>
      <c r="AH121" s="9">
        <v>0.5188</v>
      </c>
      <c r="AI121" s="9">
        <v>0.5146</v>
      </c>
      <c r="AJ121" s="9">
        <v>0.5104</v>
      </c>
      <c r="AK121" s="9">
        <v>0.5196</v>
      </c>
      <c r="AL121" s="9">
        <v>0.5288</v>
      </c>
      <c r="AM121" s="9">
        <v>0.5288</v>
      </c>
      <c r="AN121" s="9">
        <v>0.5288</v>
      </c>
      <c r="AO121" s="9">
        <v>0.5288</v>
      </c>
      <c r="AP121" s="9">
        <v>0.5288</v>
      </c>
      <c r="AQ121" s="9">
        <v>0.5288</v>
      </c>
      <c r="AR121" s="9">
        <v>0.5288</v>
      </c>
      <c r="AS121" s="9">
        <v>0.5288</v>
      </c>
      <c r="AT121" s="9">
        <v>0.5288</v>
      </c>
    </row>
    <row r="122" ht="14.25" customHeight="1">
      <c r="A122" s="2" t="s">
        <v>265</v>
      </c>
      <c r="B122" s="9">
        <v>0.5486</v>
      </c>
      <c r="C122" s="9">
        <v>0.5486</v>
      </c>
      <c r="D122" s="9">
        <v>0.5487</v>
      </c>
      <c r="E122" s="9">
        <v>0.5488</v>
      </c>
      <c r="F122" s="9">
        <v>0.5489</v>
      </c>
      <c r="G122" s="9">
        <v>0.5485</v>
      </c>
      <c r="H122" s="9">
        <v>0.5482</v>
      </c>
      <c r="I122" s="9">
        <v>0.5478</v>
      </c>
      <c r="J122" s="9">
        <v>0.5473</v>
      </c>
      <c r="K122" s="9">
        <v>0.5469</v>
      </c>
      <c r="L122" s="9">
        <v>0.5464</v>
      </c>
      <c r="M122" s="9">
        <v>0.5466</v>
      </c>
      <c r="N122" s="9">
        <v>0.5467</v>
      </c>
      <c r="O122" s="9">
        <v>0.5468</v>
      </c>
      <c r="P122" s="9">
        <v>0.5469</v>
      </c>
      <c r="Q122" s="9">
        <v>0.547</v>
      </c>
      <c r="R122" s="9">
        <v>0.547</v>
      </c>
      <c r="S122" s="9">
        <v>0.5471</v>
      </c>
      <c r="T122" s="9">
        <v>0.5472</v>
      </c>
      <c r="U122" s="9">
        <v>0.5485</v>
      </c>
      <c r="V122" s="9">
        <v>0.5499</v>
      </c>
      <c r="W122" s="9">
        <v>0.5501</v>
      </c>
      <c r="X122" s="9">
        <v>0.5503</v>
      </c>
      <c r="Y122" s="9">
        <v>0.5505</v>
      </c>
      <c r="Z122" s="9">
        <v>0.5507</v>
      </c>
      <c r="AA122" s="9">
        <v>0.5503</v>
      </c>
      <c r="AB122" s="9">
        <v>0.5497</v>
      </c>
      <c r="AC122" s="9">
        <v>0.5485</v>
      </c>
      <c r="AD122" s="9">
        <v>0.5474</v>
      </c>
      <c r="AE122" s="9">
        <v>0.5443</v>
      </c>
      <c r="AF122" s="9">
        <v>0.5415</v>
      </c>
      <c r="AG122" s="9">
        <v>0.5369</v>
      </c>
      <c r="AH122" s="9">
        <v>0.5323</v>
      </c>
      <c r="AI122" s="9">
        <v>0.5376</v>
      </c>
      <c r="AJ122" s="9">
        <v>0.5431</v>
      </c>
      <c r="AK122" s="9">
        <v>0.5484</v>
      </c>
      <c r="AL122" s="9">
        <v>0.5464</v>
      </c>
      <c r="AM122" s="9">
        <v>0.5444</v>
      </c>
      <c r="AN122" s="9">
        <v>0.5459</v>
      </c>
      <c r="AO122" s="9">
        <v>0.5476</v>
      </c>
      <c r="AP122" s="9">
        <v>0.5477</v>
      </c>
      <c r="AQ122" s="9">
        <v>0.5478</v>
      </c>
      <c r="AR122" s="9">
        <v>0.5477</v>
      </c>
      <c r="AS122" s="9">
        <v>0.5477</v>
      </c>
      <c r="AT122" s="9">
        <v>0.5477</v>
      </c>
    </row>
    <row r="123" ht="14.25" customHeight="1">
      <c r="A123" s="2" t="s">
        <v>266</v>
      </c>
      <c r="B123" s="9">
        <v>0.4447</v>
      </c>
      <c r="C123" s="9">
        <v>0.4462</v>
      </c>
      <c r="D123" s="9">
        <v>0.4474</v>
      </c>
      <c r="E123" s="9">
        <v>0.4467</v>
      </c>
      <c r="F123" s="9">
        <v>0.4511</v>
      </c>
      <c r="G123" s="9">
        <v>0.4558</v>
      </c>
      <c r="H123" s="9">
        <v>0.4511</v>
      </c>
      <c r="I123" s="9">
        <v>0.4493</v>
      </c>
      <c r="J123" s="9">
        <v>0.4446</v>
      </c>
      <c r="K123" s="9">
        <v>0.4448</v>
      </c>
      <c r="L123" s="9">
        <v>0.4437</v>
      </c>
      <c r="M123" s="9">
        <v>0.4412</v>
      </c>
      <c r="N123" s="9">
        <v>0.45</v>
      </c>
      <c r="O123" s="9">
        <v>0.4578</v>
      </c>
      <c r="P123" s="9">
        <v>0.4658</v>
      </c>
      <c r="Q123" s="9">
        <v>0.463</v>
      </c>
      <c r="R123" s="9">
        <v>0.4639</v>
      </c>
      <c r="S123" s="9">
        <v>0.4717</v>
      </c>
      <c r="T123" s="9">
        <v>0.4714</v>
      </c>
      <c r="U123" s="9">
        <v>0.472</v>
      </c>
      <c r="V123" s="9">
        <v>0.4786</v>
      </c>
      <c r="W123" s="9">
        <v>0.476</v>
      </c>
      <c r="X123" s="9">
        <v>0.471</v>
      </c>
      <c r="Y123" s="9">
        <v>0.4747</v>
      </c>
      <c r="Z123" s="9">
        <v>0.4829</v>
      </c>
      <c r="AA123" s="9">
        <v>0.4832</v>
      </c>
      <c r="AB123" s="9">
        <v>0.4881</v>
      </c>
      <c r="AC123" s="9">
        <v>0.486</v>
      </c>
      <c r="AD123" s="9">
        <v>0.4697</v>
      </c>
      <c r="AE123" s="9">
        <v>0.4627</v>
      </c>
      <c r="AF123" s="9">
        <v>0.481</v>
      </c>
      <c r="AG123" s="9">
        <v>0.4817</v>
      </c>
      <c r="AH123" s="9">
        <v>0.4774</v>
      </c>
      <c r="AI123" s="9">
        <v>0.4812</v>
      </c>
      <c r="AJ123" s="9">
        <v>0.4848</v>
      </c>
      <c r="AK123" s="9">
        <v>0.484</v>
      </c>
      <c r="AL123" s="9">
        <v>0.4836</v>
      </c>
      <c r="AM123" s="9">
        <v>0.4829</v>
      </c>
      <c r="AN123" s="9">
        <v>0.4811</v>
      </c>
      <c r="AO123" s="9">
        <v>0.478</v>
      </c>
      <c r="AP123" s="9">
        <v>0.4784</v>
      </c>
      <c r="AQ123" s="9">
        <v>0.4829</v>
      </c>
      <c r="AR123" s="9">
        <v>0.4833</v>
      </c>
      <c r="AS123" s="9">
        <v>0.4833</v>
      </c>
      <c r="AT123" s="9">
        <v>0.4833</v>
      </c>
    </row>
    <row r="124" ht="14.25" customHeight="1">
      <c r="A124" s="2" t="s">
        <v>267</v>
      </c>
      <c r="B124" s="9">
        <v>0.3289</v>
      </c>
      <c r="C124" s="9">
        <v>0.3289</v>
      </c>
      <c r="D124" s="9">
        <v>0.3289</v>
      </c>
      <c r="E124" s="9">
        <v>0.3289</v>
      </c>
      <c r="F124" s="9">
        <v>0.3289</v>
      </c>
      <c r="G124" s="9">
        <v>0.3289</v>
      </c>
      <c r="H124" s="9">
        <v>0.3289</v>
      </c>
      <c r="I124" s="9">
        <v>0.3289</v>
      </c>
      <c r="J124" s="9">
        <v>0.3289</v>
      </c>
      <c r="K124" s="9">
        <v>0.355</v>
      </c>
      <c r="L124" s="9">
        <v>0.3759</v>
      </c>
      <c r="M124" s="9">
        <v>0.4006</v>
      </c>
      <c r="N124" s="9">
        <v>0.4254</v>
      </c>
      <c r="O124" s="9">
        <v>0.4451</v>
      </c>
      <c r="P124" s="9">
        <v>0.4878</v>
      </c>
      <c r="Q124" s="9">
        <v>0.4726</v>
      </c>
      <c r="R124" s="9">
        <v>0.4608</v>
      </c>
      <c r="S124" s="9">
        <v>0.4397</v>
      </c>
      <c r="T124" s="9">
        <v>0.4395</v>
      </c>
      <c r="U124" s="9">
        <v>0.4326</v>
      </c>
      <c r="V124" s="9">
        <v>0.4567</v>
      </c>
      <c r="W124" s="9">
        <v>0.4594</v>
      </c>
      <c r="X124" s="9">
        <v>0.4518</v>
      </c>
      <c r="Y124" s="9">
        <v>0.4487</v>
      </c>
      <c r="Z124" s="9">
        <v>0.49</v>
      </c>
      <c r="AA124" s="9">
        <v>0.4887</v>
      </c>
      <c r="AB124" s="9">
        <v>0.4616</v>
      </c>
      <c r="AC124" s="9">
        <v>0.4836</v>
      </c>
      <c r="AD124" s="9">
        <v>0.4887</v>
      </c>
      <c r="AE124" s="9">
        <v>0.4981</v>
      </c>
      <c r="AF124" s="9">
        <v>0.4734</v>
      </c>
      <c r="AG124" s="9">
        <v>0.4688</v>
      </c>
      <c r="AH124" s="9">
        <v>0.4866</v>
      </c>
      <c r="AI124" s="9">
        <v>0.4911</v>
      </c>
      <c r="AJ124" s="9">
        <v>0.5261</v>
      </c>
      <c r="AK124" s="9">
        <v>0.4956</v>
      </c>
      <c r="AL124" s="9">
        <v>0.488</v>
      </c>
      <c r="AM124" s="9">
        <v>0.4975</v>
      </c>
      <c r="AN124" s="9">
        <v>0.4827</v>
      </c>
      <c r="AO124" s="9">
        <v>0.6276</v>
      </c>
      <c r="AP124" s="9">
        <v>0.6276</v>
      </c>
      <c r="AQ124" s="9">
        <v>0.6248</v>
      </c>
      <c r="AR124" s="9">
        <v>0.6275</v>
      </c>
      <c r="AS124" s="9">
        <v>0.6261</v>
      </c>
      <c r="AT124" s="9">
        <v>0.6261</v>
      </c>
    </row>
    <row r="125" ht="14.25" customHeight="1">
      <c r="A125" s="2" t="s">
        <v>268</v>
      </c>
      <c r="B125" s="9">
        <v>0.4332</v>
      </c>
      <c r="C125" s="9">
        <v>0.4332</v>
      </c>
      <c r="D125" s="9">
        <v>0.4332</v>
      </c>
      <c r="E125" s="9">
        <v>0.4332</v>
      </c>
      <c r="F125" s="9">
        <v>0.4333</v>
      </c>
      <c r="G125" s="9">
        <v>0.4325</v>
      </c>
      <c r="H125" s="9">
        <v>0.4332</v>
      </c>
      <c r="I125" s="9">
        <v>0.4329</v>
      </c>
      <c r="J125" s="9">
        <v>0.433</v>
      </c>
      <c r="K125" s="9">
        <v>0.4313</v>
      </c>
      <c r="L125" s="9">
        <v>0.4331</v>
      </c>
      <c r="M125" s="9">
        <v>0.4336</v>
      </c>
      <c r="N125" s="9">
        <v>0.4316</v>
      </c>
      <c r="O125" s="9">
        <v>0.4337</v>
      </c>
      <c r="P125" s="9">
        <v>0.4342</v>
      </c>
      <c r="Q125" s="9">
        <v>0.4394</v>
      </c>
      <c r="R125" s="9">
        <v>0.4469</v>
      </c>
      <c r="S125" s="9">
        <v>0.4625</v>
      </c>
      <c r="T125" s="9">
        <v>0.4854</v>
      </c>
      <c r="U125" s="9">
        <v>0.4772</v>
      </c>
      <c r="V125" s="9">
        <v>0.4847</v>
      </c>
      <c r="W125" s="9">
        <v>0.4797</v>
      </c>
      <c r="X125" s="9">
        <v>0.4601</v>
      </c>
      <c r="Y125" s="9">
        <v>0.4616</v>
      </c>
      <c r="Z125" s="9">
        <v>0.5008</v>
      </c>
      <c r="AA125" s="9">
        <v>0.5004</v>
      </c>
      <c r="AB125" s="9">
        <v>0.4732</v>
      </c>
      <c r="AC125" s="9">
        <v>0.502</v>
      </c>
      <c r="AD125" s="9">
        <v>0.4921</v>
      </c>
      <c r="AE125" s="9">
        <v>0.4613</v>
      </c>
      <c r="AF125" s="9">
        <v>0.4554</v>
      </c>
      <c r="AG125" s="9">
        <v>0.4555</v>
      </c>
      <c r="AH125" s="9">
        <v>0.4868</v>
      </c>
      <c r="AI125" s="9">
        <v>0.4672</v>
      </c>
      <c r="AJ125" s="9">
        <v>0.4629</v>
      </c>
      <c r="AK125" s="9">
        <v>0.4473</v>
      </c>
      <c r="AL125" s="9">
        <v>0.4651</v>
      </c>
      <c r="AM125" s="9">
        <v>0.4863</v>
      </c>
      <c r="AN125" s="9">
        <v>0.4775</v>
      </c>
      <c r="AO125" s="9">
        <v>0.4612</v>
      </c>
      <c r="AP125" s="9">
        <v>0.4612</v>
      </c>
      <c r="AQ125" s="9">
        <v>0.4543</v>
      </c>
      <c r="AR125" s="9">
        <v>0.4599</v>
      </c>
      <c r="AS125" s="9">
        <v>0.448</v>
      </c>
      <c r="AT125" s="9">
        <v>0.448</v>
      </c>
    </row>
    <row r="126" ht="14.25" customHeight="1">
      <c r="A126" s="2" t="s">
        <v>269</v>
      </c>
      <c r="B126" s="9">
        <v>0.8107</v>
      </c>
      <c r="C126" s="9">
        <v>0.8109</v>
      </c>
      <c r="D126" s="9">
        <v>0.7889</v>
      </c>
      <c r="E126" s="9">
        <v>0.7742</v>
      </c>
      <c r="F126" s="9">
        <v>0.768</v>
      </c>
      <c r="G126" s="9">
        <v>0.7622</v>
      </c>
      <c r="H126" s="9">
        <v>0.7632</v>
      </c>
      <c r="I126" s="9">
        <v>0.7583</v>
      </c>
      <c r="J126" s="9">
        <v>0.7609</v>
      </c>
      <c r="K126" s="9">
        <v>0.7574</v>
      </c>
      <c r="L126" s="9">
        <v>0.7582</v>
      </c>
      <c r="M126" s="9">
        <v>0.772</v>
      </c>
      <c r="N126" s="9">
        <v>0.7725</v>
      </c>
      <c r="O126" s="9">
        <v>0.767</v>
      </c>
      <c r="P126" s="9">
        <v>0.7669</v>
      </c>
      <c r="Q126" s="9">
        <v>0.7695</v>
      </c>
      <c r="R126" s="9">
        <v>0.7661</v>
      </c>
      <c r="S126" s="9">
        <v>0.7653</v>
      </c>
      <c r="T126" s="9">
        <v>0.7621</v>
      </c>
      <c r="U126" s="9">
        <v>0.7593</v>
      </c>
      <c r="V126" s="9">
        <v>0.7602</v>
      </c>
      <c r="W126" s="9">
        <v>0.7552</v>
      </c>
      <c r="X126" s="9">
        <v>0.7517</v>
      </c>
      <c r="Y126" s="9">
        <v>0.7568</v>
      </c>
      <c r="Z126" s="9">
        <v>0.7546</v>
      </c>
      <c r="AA126" s="9">
        <v>0.7527</v>
      </c>
      <c r="AB126" s="9">
        <v>0.7495</v>
      </c>
      <c r="AC126" s="9">
        <v>0.7458</v>
      </c>
      <c r="AD126" s="9">
        <v>0.7406</v>
      </c>
      <c r="AE126" s="9">
        <v>0.7368</v>
      </c>
      <c r="AF126" s="9">
        <v>0.7352</v>
      </c>
      <c r="AG126" s="9">
        <v>0.7354</v>
      </c>
      <c r="AH126" s="9">
        <v>0.7383</v>
      </c>
      <c r="AI126" s="9">
        <v>0.7337</v>
      </c>
      <c r="AJ126" s="9">
        <v>0.7361</v>
      </c>
      <c r="AK126" s="9">
        <v>0.7374</v>
      </c>
      <c r="AL126" s="9">
        <v>0.736</v>
      </c>
      <c r="AM126" s="9">
        <v>0.7416</v>
      </c>
      <c r="AN126" s="9">
        <v>0.7443</v>
      </c>
      <c r="AO126" s="9">
        <v>0.7446</v>
      </c>
      <c r="AP126" s="9">
        <v>0.7403</v>
      </c>
      <c r="AQ126" s="9">
        <v>0.7378</v>
      </c>
      <c r="AR126" s="9">
        <v>0.7429</v>
      </c>
      <c r="AS126" s="9">
        <v>0.7445</v>
      </c>
      <c r="AT126" s="9">
        <v>0.7412</v>
      </c>
    </row>
    <row r="127" ht="14.25" customHeight="1">
      <c r="A127" s="2" t="s">
        <v>270</v>
      </c>
      <c r="B127" s="9">
        <v>0.7478</v>
      </c>
      <c r="C127" s="9">
        <v>0.7433</v>
      </c>
      <c r="D127" s="9">
        <v>0.7186</v>
      </c>
      <c r="E127" s="9">
        <v>0.7011</v>
      </c>
      <c r="F127" s="9">
        <v>0.6968</v>
      </c>
      <c r="G127" s="9">
        <v>0.6887</v>
      </c>
      <c r="H127" s="9">
        <v>0.6917</v>
      </c>
      <c r="I127" s="9">
        <v>0.6862</v>
      </c>
      <c r="J127" s="9">
        <v>0.6863</v>
      </c>
      <c r="K127" s="9">
        <v>0.6852</v>
      </c>
      <c r="L127" s="9">
        <v>0.6861</v>
      </c>
      <c r="M127" s="9">
        <v>0.7007</v>
      </c>
      <c r="N127" s="9">
        <v>0.6974</v>
      </c>
      <c r="O127" s="9">
        <v>0.6907</v>
      </c>
      <c r="P127" s="9">
        <v>0.6879</v>
      </c>
      <c r="Q127" s="9">
        <v>0.6909</v>
      </c>
      <c r="R127" s="9">
        <v>0.687</v>
      </c>
      <c r="S127" s="9">
        <v>0.6872</v>
      </c>
      <c r="T127" s="9">
        <v>0.6849</v>
      </c>
      <c r="U127" s="9">
        <v>0.6843</v>
      </c>
      <c r="V127" s="9">
        <v>0.6852</v>
      </c>
      <c r="W127" s="9">
        <v>0.6798</v>
      </c>
      <c r="X127" s="9">
        <v>0.6746</v>
      </c>
      <c r="Y127" s="9">
        <v>0.68</v>
      </c>
      <c r="Z127" s="9">
        <v>0.6789</v>
      </c>
      <c r="AA127" s="9">
        <v>0.6773</v>
      </c>
      <c r="AB127" s="9">
        <v>0.6744</v>
      </c>
      <c r="AC127" s="9">
        <v>0.6713</v>
      </c>
      <c r="AD127" s="9">
        <v>0.6648</v>
      </c>
      <c r="AE127" s="9">
        <v>0.6588</v>
      </c>
      <c r="AF127" s="9">
        <v>0.6557</v>
      </c>
      <c r="AG127" s="9">
        <v>0.6568</v>
      </c>
      <c r="AH127" s="9">
        <v>0.6662</v>
      </c>
      <c r="AI127" s="9">
        <v>0.6623</v>
      </c>
      <c r="AJ127" s="9">
        <v>0.665</v>
      </c>
      <c r="AK127" s="9">
        <v>0.6673</v>
      </c>
      <c r="AL127" s="9">
        <v>0.6656</v>
      </c>
      <c r="AM127" s="9">
        <v>0.6737</v>
      </c>
      <c r="AN127" s="9">
        <v>0.676</v>
      </c>
      <c r="AO127" s="9">
        <v>0.6771</v>
      </c>
      <c r="AP127" s="9">
        <v>0.6704</v>
      </c>
      <c r="AQ127" s="9">
        <v>0.6712</v>
      </c>
      <c r="AR127" s="9">
        <v>0.6776</v>
      </c>
      <c r="AS127" s="9">
        <v>0.6804</v>
      </c>
      <c r="AT127" s="9">
        <v>0.6776</v>
      </c>
    </row>
    <row r="128" ht="14.25" customHeight="1">
      <c r="A128" s="2" t="s">
        <v>271</v>
      </c>
      <c r="B128" s="9">
        <v>0.4145</v>
      </c>
      <c r="C128" s="9">
        <v>0.4145</v>
      </c>
      <c r="D128" s="9">
        <v>0.4145</v>
      </c>
      <c r="E128" s="9">
        <v>0.4145</v>
      </c>
      <c r="F128" s="9">
        <v>0.4145</v>
      </c>
      <c r="G128" s="9">
        <v>0.4145</v>
      </c>
      <c r="H128" s="9">
        <v>0.4145</v>
      </c>
      <c r="I128" s="9">
        <v>0.4145</v>
      </c>
      <c r="J128" s="9">
        <v>0.4145</v>
      </c>
      <c r="K128" s="9">
        <v>0.4145</v>
      </c>
      <c r="L128" s="9">
        <v>0.4145</v>
      </c>
      <c r="M128" s="9">
        <v>0.4319</v>
      </c>
      <c r="N128" s="9">
        <v>0.4478</v>
      </c>
      <c r="O128" s="9">
        <v>0.4636</v>
      </c>
      <c r="P128" s="9">
        <v>0.4698</v>
      </c>
      <c r="Q128" s="9">
        <v>0.464</v>
      </c>
      <c r="R128" s="9">
        <v>0.4576</v>
      </c>
      <c r="S128" s="9">
        <v>0.4579</v>
      </c>
      <c r="T128" s="9">
        <v>0.4588</v>
      </c>
      <c r="U128" s="9">
        <v>0.4689</v>
      </c>
      <c r="V128" s="9">
        <v>0.4867</v>
      </c>
      <c r="W128" s="9">
        <v>0.4963</v>
      </c>
      <c r="X128" s="9">
        <v>0.5241</v>
      </c>
      <c r="Y128" s="9">
        <v>0.5325</v>
      </c>
      <c r="Z128" s="9">
        <v>0.5355</v>
      </c>
      <c r="AA128" s="9">
        <v>0.5478</v>
      </c>
      <c r="AB128" s="9">
        <v>0.549</v>
      </c>
      <c r="AC128" s="9">
        <v>0.5521</v>
      </c>
      <c r="AD128" s="9">
        <v>0.5526</v>
      </c>
      <c r="AE128" s="9">
        <v>0.5533</v>
      </c>
      <c r="AF128" s="9">
        <v>0.5665</v>
      </c>
      <c r="AG128" s="9">
        <v>0.5646</v>
      </c>
      <c r="AH128" s="9">
        <v>0.5531</v>
      </c>
      <c r="AI128" s="9">
        <v>0.5621</v>
      </c>
      <c r="AJ128" s="9">
        <v>0.5546</v>
      </c>
      <c r="AK128" s="9">
        <v>0.5555</v>
      </c>
      <c r="AL128" s="9">
        <v>0.5476</v>
      </c>
      <c r="AM128" s="9">
        <v>0.5476</v>
      </c>
      <c r="AN128" s="9">
        <v>0.5476</v>
      </c>
      <c r="AO128" s="9">
        <v>0.5476</v>
      </c>
      <c r="AP128" s="9">
        <v>0.5476</v>
      </c>
      <c r="AQ128" s="9">
        <v>0.5476</v>
      </c>
      <c r="AR128" s="9">
        <v>0.5476</v>
      </c>
      <c r="AS128" s="9">
        <v>0.5476</v>
      </c>
      <c r="AT128" s="9">
        <v>0.5476</v>
      </c>
    </row>
    <row r="129" ht="14.25" customHeight="1">
      <c r="A129" s="2" t="s">
        <v>272</v>
      </c>
      <c r="B129" s="9">
        <v>0.6433</v>
      </c>
      <c r="C129" s="9">
        <v>0.6433</v>
      </c>
      <c r="D129" s="9">
        <v>0.6433</v>
      </c>
      <c r="E129" s="9">
        <v>0.6433</v>
      </c>
      <c r="F129" s="9">
        <v>0.6432</v>
      </c>
      <c r="G129" s="9">
        <v>0.6432</v>
      </c>
      <c r="H129" s="9">
        <v>0.6432</v>
      </c>
      <c r="I129" s="9">
        <v>0.6432</v>
      </c>
      <c r="J129" s="9">
        <v>0.6431</v>
      </c>
      <c r="K129" s="9">
        <v>0.6431</v>
      </c>
      <c r="L129" s="9">
        <v>0.6431</v>
      </c>
      <c r="M129" s="9">
        <v>0.6431</v>
      </c>
      <c r="N129" s="9">
        <v>0.6431</v>
      </c>
      <c r="O129" s="9">
        <v>0.643</v>
      </c>
      <c r="P129" s="9">
        <v>0.6244</v>
      </c>
      <c r="Q129" s="9">
        <v>0.6057</v>
      </c>
      <c r="R129" s="9">
        <v>0.5871</v>
      </c>
      <c r="S129" s="9">
        <v>0.5684</v>
      </c>
      <c r="T129" s="9">
        <v>0.5615</v>
      </c>
      <c r="U129" s="9">
        <v>0.5545</v>
      </c>
      <c r="V129" s="9">
        <v>0.5958</v>
      </c>
      <c r="W129" s="9">
        <v>0.637</v>
      </c>
      <c r="X129" s="9">
        <v>0.6245</v>
      </c>
      <c r="Y129" s="9">
        <v>0.6121</v>
      </c>
      <c r="Z129" s="9">
        <v>0.5996</v>
      </c>
      <c r="AA129" s="9">
        <v>0.5871</v>
      </c>
      <c r="AB129" s="9">
        <v>0.5912</v>
      </c>
      <c r="AC129" s="9">
        <v>0.5952</v>
      </c>
      <c r="AD129" s="9">
        <v>0.5992</v>
      </c>
      <c r="AE129" s="9">
        <v>0.6032</v>
      </c>
      <c r="AF129" s="9">
        <v>0.6072</v>
      </c>
      <c r="AG129" s="9">
        <v>0.6034</v>
      </c>
      <c r="AH129" s="9">
        <v>0.5995</v>
      </c>
      <c r="AI129" s="9">
        <v>0.5943</v>
      </c>
      <c r="AJ129" s="9">
        <v>0.5891</v>
      </c>
      <c r="AK129" s="9">
        <v>0.5838</v>
      </c>
      <c r="AL129" s="9">
        <v>0.5786</v>
      </c>
      <c r="AM129" s="9">
        <v>0.5734</v>
      </c>
      <c r="AN129" s="9">
        <v>0.5682</v>
      </c>
      <c r="AO129" s="9">
        <v>0.5629</v>
      </c>
      <c r="AP129" s="9">
        <v>0.5577</v>
      </c>
      <c r="AQ129" s="9">
        <v>0.5525</v>
      </c>
      <c r="AR129" s="9">
        <v>0.5525</v>
      </c>
      <c r="AS129" s="9">
        <v>0.5525</v>
      </c>
      <c r="AT129" s="9">
        <v>0.5525</v>
      </c>
    </row>
    <row r="130" ht="14.25" customHeight="1">
      <c r="A130" s="2" t="s">
        <v>273</v>
      </c>
      <c r="B130" s="9">
        <v>0.8327</v>
      </c>
      <c r="C130" s="9">
        <v>0.8327</v>
      </c>
      <c r="D130" s="9">
        <v>0.8327</v>
      </c>
      <c r="E130" s="9">
        <v>0.8327</v>
      </c>
      <c r="F130" s="9">
        <v>0.8327</v>
      </c>
      <c r="G130" s="9">
        <v>0.8327</v>
      </c>
      <c r="H130" s="9">
        <v>0.8327</v>
      </c>
      <c r="I130" s="9">
        <v>0.8327</v>
      </c>
      <c r="J130" s="9">
        <v>0.8327</v>
      </c>
      <c r="K130" s="9">
        <v>0.8327</v>
      </c>
      <c r="L130" s="9">
        <v>0.8327</v>
      </c>
      <c r="M130" s="9">
        <v>0.8327</v>
      </c>
      <c r="N130" s="9">
        <v>0.8327</v>
      </c>
      <c r="O130" s="9">
        <v>0.8327</v>
      </c>
      <c r="P130" s="9">
        <v>0.8327</v>
      </c>
      <c r="Q130" s="9">
        <v>0.8327</v>
      </c>
      <c r="R130" s="9">
        <v>0.8327</v>
      </c>
      <c r="S130" s="9">
        <v>0.8327</v>
      </c>
      <c r="T130" s="9">
        <v>0.7981</v>
      </c>
      <c r="U130" s="9">
        <v>0.7635</v>
      </c>
      <c r="V130" s="9">
        <v>0.7289</v>
      </c>
      <c r="W130" s="9">
        <v>0.6943</v>
      </c>
      <c r="X130" s="9">
        <v>0.6598</v>
      </c>
      <c r="Y130" s="9">
        <v>0.6253</v>
      </c>
      <c r="Z130" s="9">
        <v>0.5908</v>
      </c>
      <c r="AA130" s="9">
        <v>0.5986</v>
      </c>
      <c r="AB130" s="9">
        <v>0.6063</v>
      </c>
      <c r="AC130" s="9">
        <v>0.6141</v>
      </c>
      <c r="AD130" s="9">
        <v>0.6219</v>
      </c>
      <c r="AE130" s="9">
        <v>0.6296</v>
      </c>
      <c r="AF130" s="9">
        <v>0.6374</v>
      </c>
      <c r="AG130" s="9">
        <v>0.6396</v>
      </c>
      <c r="AH130" s="9">
        <v>0.6418</v>
      </c>
      <c r="AI130" s="9">
        <v>0.6441</v>
      </c>
      <c r="AJ130" s="9">
        <v>0.6464</v>
      </c>
      <c r="AK130" s="9">
        <v>0.6486</v>
      </c>
      <c r="AL130" s="9">
        <v>0.6509</v>
      </c>
      <c r="AM130" s="9">
        <v>0.6237</v>
      </c>
      <c r="AN130" s="9">
        <v>0.5965</v>
      </c>
      <c r="AO130" s="9">
        <v>0.5693</v>
      </c>
      <c r="AP130" s="9">
        <v>0.5693</v>
      </c>
      <c r="AQ130" s="9">
        <v>0.5693</v>
      </c>
      <c r="AR130" s="9">
        <v>0.5693</v>
      </c>
      <c r="AS130" s="9">
        <v>0.5693</v>
      </c>
      <c r="AT130" s="9">
        <v>0.5693</v>
      </c>
    </row>
    <row r="131" ht="14.25" customHeight="1">
      <c r="A131" s="2" t="s">
        <v>274</v>
      </c>
      <c r="B131" s="9">
        <v>0.5654</v>
      </c>
      <c r="C131" s="9">
        <v>0.5654</v>
      </c>
      <c r="D131" s="9">
        <v>0.5654</v>
      </c>
      <c r="E131" s="9">
        <v>0.5654</v>
      </c>
      <c r="F131" s="9">
        <v>0.5654</v>
      </c>
      <c r="G131" s="9">
        <v>0.5614</v>
      </c>
      <c r="H131" s="9">
        <v>0.5572</v>
      </c>
      <c r="I131" s="9">
        <v>0.553</v>
      </c>
      <c r="J131" s="9">
        <v>0.5498</v>
      </c>
      <c r="K131" s="9">
        <v>0.5471</v>
      </c>
      <c r="L131" s="9">
        <v>0.5514</v>
      </c>
      <c r="M131" s="9">
        <v>0.5549</v>
      </c>
      <c r="N131" s="9">
        <v>0.5579</v>
      </c>
      <c r="O131" s="9">
        <v>0.5605</v>
      </c>
      <c r="P131" s="9">
        <v>0.5627</v>
      </c>
      <c r="Q131" s="9">
        <v>0.5645</v>
      </c>
      <c r="R131" s="9">
        <v>0.567</v>
      </c>
      <c r="S131" s="9">
        <v>0.5691</v>
      </c>
      <c r="T131" s="9">
        <v>0.5634</v>
      </c>
      <c r="U131" s="9">
        <v>0.5584</v>
      </c>
      <c r="V131" s="9">
        <v>0.5538</v>
      </c>
      <c r="W131" s="9">
        <v>0.5497</v>
      </c>
      <c r="X131" s="9">
        <v>0.5459</v>
      </c>
      <c r="Y131" s="9">
        <v>0.547</v>
      </c>
      <c r="Z131" s="9">
        <v>0.5481</v>
      </c>
      <c r="AA131" s="9">
        <v>0.5518</v>
      </c>
      <c r="AB131" s="9">
        <v>0.5555</v>
      </c>
      <c r="AC131" s="9">
        <v>0.5592</v>
      </c>
      <c r="AD131" s="9">
        <v>0.5518</v>
      </c>
      <c r="AE131" s="9">
        <v>0.5445</v>
      </c>
      <c r="AF131" s="9">
        <v>0.5363</v>
      </c>
      <c r="AG131" s="9">
        <v>0.5281</v>
      </c>
      <c r="AH131" s="9">
        <v>0.5199</v>
      </c>
      <c r="AI131" s="9">
        <v>0.5043</v>
      </c>
      <c r="AJ131" s="9">
        <v>0.4887</v>
      </c>
      <c r="AK131" s="9">
        <v>0.4887</v>
      </c>
      <c r="AL131" s="9">
        <v>0.4492</v>
      </c>
      <c r="AM131" s="9">
        <v>0.4482</v>
      </c>
      <c r="AN131" s="9">
        <v>0.4471</v>
      </c>
      <c r="AO131" s="9">
        <v>0.4453</v>
      </c>
      <c r="AP131" s="9">
        <v>0.4493</v>
      </c>
      <c r="AQ131" s="9">
        <v>0.4523</v>
      </c>
      <c r="AR131" s="9">
        <v>0.455</v>
      </c>
      <c r="AS131" s="9">
        <v>0.455</v>
      </c>
      <c r="AT131" s="9">
        <v>0.455</v>
      </c>
    </row>
    <row r="132" ht="14.25" customHeight="1">
      <c r="A132" s="2" t="s">
        <v>275</v>
      </c>
      <c r="B132" s="9">
        <v>0.6489</v>
      </c>
      <c r="C132" s="9">
        <v>0.6489</v>
      </c>
      <c r="D132" s="9">
        <v>0.6489</v>
      </c>
      <c r="E132" s="9">
        <v>0.6489</v>
      </c>
      <c r="F132" s="9">
        <v>0.6489</v>
      </c>
      <c r="G132" s="9">
        <v>0.6489</v>
      </c>
      <c r="H132" s="9">
        <v>0.6489</v>
      </c>
      <c r="I132" s="9">
        <v>0.6489</v>
      </c>
      <c r="J132" s="9">
        <v>0.6489</v>
      </c>
      <c r="K132" s="9">
        <v>0.6489</v>
      </c>
      <c r="L132" s="9">
        <v>0.6489</v>
      </c>
      <c r="M132" s="9">
        <v>0.6489</v>
      </c>
      <c r="N132" s="9">
        <v>0.6489</v>
      </c>
      <c r="O132" s="9">
        <v>0.6489</v>
      </c>
      <c r="P132" s="9">
        <v>0.6489</v>
      </c>
      <c r="Q132" s="9">
        <v>0.6489</v>
      </c>
      <c r="R132" s="9">
        <v>0.6489</v>
      </c>
      <c r="S132" s="9">
        <v>0.6489</v>
      </c>
      <c r="T132" s="9">
        <v>0.6489</v>
      </c>
      <c r="U132" s="9">
        <v>0.6489</v>
      </c>
      <c r="V132" s="9">
        <v>0.6489</v>
      </c>
      <c r="W132" s="9">
        <v>0.6489</v>
      </c>
      <c r="X132" s="9">
        <v>0.6489</v>
      </c>
      <c r="Y132" s="9">
        <v>0.6387</v>
      </c>
      <c r="Z132" s="9">
        <v>0.6265</v>
      </c>
      <c r="AA132" s="9">
        <v>0.6146</v>
      </c>
      <c r="AB132" s="9">
        <v>0.6032</v>
      </c>
      <c r="AC132" s="9">
        <v>0.5923</v>
      </c>
      <c r="AD132" s="9">
        <v>0.5739</v>
      </c>
      <c r="AE132" s="9">
        <v>0.5587</v>
      </c>
      <c r="AF132" s="9">
        <v>0.5517</v>
      </c>
      <c r="AG132" s="9">
        <v>0.5367</v>
      </c>
      <c r="AH132" s="9">
        <v>0.5249</v>
      </c>
      <c r="AI132" s="9">
        <v>0.513</v>
      </c>
      <c r="AJ132" s="9">
        <v>0.5002</v>
      </c>
      <c r="AK132" s="9">
        <v>0.4856</v>
      </c>
      <c r="AL132" s="9">
        <v>0.4752</v>
      </c>
      <c r="AM132" s="9">
        <v>0.4755</v>
      </c>
      <c r="AN132" s="9">
        <v>0.4755</v>
      </c>
      <c r="AO132" s="9">
        <v>0.4755</v>
      </c>
      <c r="AP132" s="9">
        <v>0.4755</v>
      </c>
      <c r="AQ132" s="9">
        <v>0.4755</v>
      </c>
      <c r="AR132" s="9">
        <v>0.4755</v>
      </c>
      <c r="AS132" s="9">
        <v>0.4755</v>
      </c>
      <c r="AT132" s="9">
        <v>0.4755</v>
      </c>
    </row>
    <row r="133" ht="14.25" customHeight="1">
      <c r="A133" s="2" t="s">
        <v>276</v>
      </c>
      <c r="B133" s="9">
        <v>0.6715</v>
      </c>
      <c r="C133" s="9">
        <v>0.6715</v>
      </c>
      <c r="D133" s="9">
        <v>0.6715</v>
      </c>
      <c r="E133" s="9">
        <v>0.6715</v>
      </c>
      <c r="F133" s="9">
        <v>0.6715</v>
      </c>
      <c r="G133" s="9">
        <v>0.6715</v>
      </c>
      <c r="H133" s="9">
        <v>0.6715</v>
      </c>
      <c r="I133" s="9">
        <v>0.6715</v>
      </c>
      <c r="J133" s="9">
        <v>0.6715</v>
      </c>
      <c r="K133" s="9">
        <v>0.6715</v>
      </c>
      <c r="L133" s="9">
        <v>0.6715</v>
      </c>
      <c r="M133" s="9">
        <v>0.6715</v>
      </c>
      <c r="N133" s="9">
        <v>0.6715</v>
      </c>
      <c r="O133" s="9">
        <v>0.6715</v>
      </c>
      <c r="P133" s="9">
        <v>0.6715</v>
      </c>
      <c r="Q133" s="9">
        <v>0.6571</v>
      </c>
      <c r="R133" s="9">
        <v>0.6427</v>
      </c>
      <c r="S133" s="9">
        <v>0.6283</v>
      </c>
      <c r="T133" s="9">
        <v>0.6138</v>
      </c>
      <c r="U133" s="9">
        <v>0.5994</v>
      </c>
      <c r="V133" s="9">
        <v>0.585</v>
      </c>
      <c r="W133" s="9">
        <v>0.5706</v>
      </c>
      <c r="X133" s="9">
        <v>0.5693</v>
      </c>
      <c r="Y133" s="9">
        <v>0.5679</v>
      </c>
      <c r="Z133" s="9">
        <v>0.5665</v>
      </c>
      <c r="AA133" s="9">
        <v>0.5651</v>
      </c>
      <c r="AB133" s="9">
        <v>0.5637</v>
      </c>
      <c r="AC133" s="9">
        <v>0.5446</v>
      </c>
      <c r="AD133" s="9">
        <v>0.5254</v>
      </c>
      <c r="AE133" s="9">
        <v>0.5063</v>
      </c>
      <c r="AF133" s="9">
        <v>0.5099</v>
      </c>
      <c r="AG133" s="9">
        <v>0.5134</v>
      </c>
      <c r="AH133" s="9">
        <v>0.517</v>
      </c>
      <c r="AI133" s="9">
        <v>0.5205</v>
      </c>
      <c r="AJ133" s="9">
        <v>0.5241</v>
      </c>
      <c r="AK133" s="9">
        <v>0.5276</v>
      </c>
      <c r="AL133" s="9">
        <v>0.5312</v>
      </c>
      <c r="AM133" s="9">
        <v>0.5347</v>
      </c>
      <c r="AN133" s="9">
        <v>0.5383</v>
      </c>
      <c r="AO133" s="9">
        <v>0.5382</v>
      </c>
      <c r="AP133" s="9">
        <v>0.5381</v>
      </c>
      <c r="AQ133" s="9">
        <v>0.538</v>
      </c>
      <c r="AR133" s="9">
        <v>0.538</v>
      </c>
      <c r="AS133" s="9">
        <v>0.538</v>
      </c>
      <c r="AT133" s="9">
        <v>0.538</v>
      </c>
    </row>
    <row r="134" ht="14.25" customHeight="1">
      <c r="A134" s="2" t="s">
        <v>277</v>
      </c>
      <c r="B134" s="9">
        <v>0.4062</v>
      </c>
      <c r="C134" s="9">
        <v>0.4058</v>
      </c>
      <c r="D134" s="9">
        <v>0.4056</v>
      </c>
      <c r="E134" s="9">
        <v>0.4051</v>
      </c>
      <c r="F134" s="9">
        <v>0.4059</v>
      </c>
      <c r="G134" s="9">
        <v>0.4063</v>
      </c>
      <c r="H134" s="9">
        <v>0.4082</v>
      </c>
      <c r="I134" s="9">
        <v>0.4079</v>
      </c>
      <c r="J134" s="9">
        <v>0.4085</v>
      </c>
      <c r="K134" s="9">
        <v>0.409</v>
      </c>
      <c r="L134" s="9">
        <v>0.408</v>
      </c>
      <c r="M134" s="9">
        <v>0.4078</v>
      </c>
      <c r="N134" s="9">
        <v>0.4072</v>
      </c>
      <c r="O134" s="9">
        <v>0.4075</v>
      </c>
      <c r="P134" s="9">
        <v>0.4087</v>
      </c>
      <c r="Q134" s="9">
        <v>0.4102</v>
      </c>
      <c r="R134" s="9">
        <v>0.4087</v>
      </c>
      <c r="S134" s="9">
        <v>0.4097</v>
      </c>
      <c r="T134" s="9">
        <v>0.4174</v>
      </c>
      <c r="U134" s="9">
        <v>0.4122</v>
      </c>
      <c r="V134" s="9">
        <v>0.4075</v>
      </c>
      <c r="W134" s="9">
        <v>0.4093</v>
      </c>
      <c r="X134" s="9">
        <v>0.4094</v>
      </c>
      <c r="Y134" s="9">
        <v>0.4071</v>
      </c>
      <c r="Z134" s="9">
        <v>0.4018</v>
      </c>
      <c r="AA134" s="9">
        <v>0.4006</v>
      </c>
      <c r="AB134" s="9">
        <v>0.4023</v>
      </c>
      <c r="AC134" s="9">
        <v>0.4095</v>
      </c>
      <c r="AD134" s="9">
        <v>0.4009</v>
      </c>
      <c r="AE134" s="9">
        <v>0.4202</v>
      </c>
      <c r="AF134" s="9">
        <v>0.4116</v>
      </c>
      <c r="AG134" s="9">
        <v>0.4205</v>
      </c>
      <c r="AH134" s="9">
        <v>0.4284</v>
      </c>
      <c r="AI134" s="9">
        <v>0.4298</v>
      </c>
      <c r="AJ134" s="9">
        <v>0.437</v>
      </c>
      <c r="AK134" s="9">
        <v>0.4465</v>
      </c>
      <c r="AL134" s="9">
        <v>0.4333</v>
      </c>
      <c r="AM134" s="9">
        <v>0.4422</v>
      </c>
      <c r="AN134" s="9">
        <v>0.4301</v>
      </c>
      <c r="AO134" s="9">
        <v>0.4534</v>
      </c>
      <c r="AP134" s="9">
        <v>0.4534</v>
      </c>
      <c r="AQ134" s="9">
        <v>0.4551</v>
      </c>
      <c r="AR134" s="9">
        <v>0.455</v>
      </c>
      <c r="AS134" s="9">
        <v>0.4545</v>
      </c>
      <c r="AT134" s="9">
        <v>0.4545</v>
      </c>
    </row>
    <row r="135" ht="14.25" customHeight="1">
      <c r="A135" s="2" t="s">
        <v>278</v>
      </c>
      <c r="B135" s="9">
        <v>0.4403</v>
      </c>
      <c r="C135" s="9">
        <v>0.4412</v>
      </c>
      <c r="D135" s="9">
        <v>0.4421</v>
      </c>
      <c r="E135" s="9">
        <v>0.443</v>
      </c>
      <c r="F135" s="9">
        <v>0.444</v>
      </c>
      <c r="G135" s="9">
        <v>0.4449</v>
      </c>
      <c r="H135" s="9">
        <v>0.4459</v>
      </c>
      <c r="I135" s="9">
        <v>0.4469</v>
      </c>
      <c r="J135" s="9">
        <v>0.4479</v>
      </c>
      <c r="K135" s="9">
        <v>0.449</v>
      </c>
      <c r="L135" s="9">
        <v>0.45</v>
      </c>
      <c r="M135" s="9">
        <v>0.4515</v>
      </c>
      <c r="N135" s="9">
        <v>0.453</v>
      </c>
      <c r="O135" s="9">
        <v>0.4544</v>
      </c>
      <c r="P135" s="9">
        <v>0.4558</v>
      </c>
      <c r="Q135" s="9">
        <v>0.4571</v>
      </c>
      <c r="R135" s="9">
        <v>0.4584</v>
      </c>
      <c r="S135" s="9">
        <v>0.4596</v>
      </c>
      <c r="T135" s="9">
        <v>0.4608</v>
      </c>
      <c r="U135" s="9">
        <v>0.462</v>
      </c>
      <c r="V135" s="9">
        <v>0.4631</v>
      </c>
      <c r="W135" s="9">
        <v>0.4719</v>
      </c>
      <c r="X135" s="9">
        <v>0.4805</v>
      </c>
      <c r="Y135" s="9">
        <v>0.489</v>
      </c>
      <c r="Z135" s="9">
        <v>0.4972</v>
      </c>
      <c r="AA135" s="9">
        <v>0.5052</v>
      </c>
      <c r="AB135" s="9">
        <v>0.5131</v>
      </c>
      <c r="AC135" s="9">
        <v>0.5207</v>
      </c>
      <c r="AD135" s="9">
        <v>0.5282</v>
      </c>
      <c r="AE135" s="9">
        <v>0.5356</v>
      </c>
      <c r="AF135" s="9">
        <v>0.5428</v>
      </c>
      <c r="AG135" s="9">
        <v>0.5447</v>
      </c>
      <c r="AH135" s="9">
        <v>0.5466</v>
      </c>
      <c r="AI135" s="9">
        <v>0.5483</v>
      </c>
      <c r="AJ135" s="9">
        <v>0.55</v>
      </c>
      <c r="AK135" s="9">
        <v>0.5516</v>
      </c>
      <c r="AL135" s="9">
        <v>0.5531</v>
      </c>
      <c r="AM135" s="9">
        <v>0.5546</v>
      </c>
      <c r="AN135" s="9">
        <v>0.556</v>
      </c>
      <c r="AO135" s="9">
        <v>0.5574</v>
      </c>
      <c r="AP135" s="9">
        <v>0.5587</v>
      </c>
      <c r="AQ135" s="9">
        <v>0.5587</v>
      </c>
      <c r="AR135" s="9">
        <v>0.5587</v>
      </c>
      <c r="AS135" s="9">
        <v>0.5587</v>
      </c>
      <c r="AT135" s="9">
        <v>0.5587</v>
      </c>
    </row>
    <row r="136" ht="14.25" customHeight="1">
      <c r="A136" s="2" t="s">
        <v>279</v>
      </c>
      <c r="B136" s="9">
        <v>0.5951</v>
      </c>
      <c r="C136" s="9">
        <v>0.5951</v>
      </c>
      <c r="D136" s="9">
        <v>0.5951</v>
      </c>
      <c r="E136" s="9">
        <v>0.5951</v>
      </c>
      <c r="F136" s="9">
        <v>0.5951</v>
      </c>
      <c r="G136" s="9">
        <v>0.5951</v>
      </c>
      <c r="H136" s="9">
        <v>0.5951</v>
      </c>
      <c r="I136" s="9">
        <v>0.5951</v>
      </c>
      <c r="J136" s="9">
        <v>0.6101</v>
      </c>
      <c r="K136" s="9">
        <v>0.6252</v>
      </c>
      <c r="L136" s="9">
        <v>0.6403</v>
      </c>
      <c r="M136" s="9">
        <v>0.6554</v>
      </c>
      <c r="N136" s="9">
        <v>0.6706</v>
      </c>
      <c r="O136" s="9">
        <v>0.6857</v>
      </c>
      <c r="P136" s="9">
        <v>0.6172</v>
      </c>
      <c r="Q136" s="9">
        <v>0.5488</v>
      </c>
      <c r="R136" s="9">
        <v>0.5507</v>
      </c>
      <c r="S136" s="9">
        <v>0.5525</v>
      </c>
      <c r="T136" s="9">
        <v>0.5543</v>
      </c>
      <c r="U136" s="9">
        <v>0.5562</v>
      </c>
      <c r="V136" s="9">
        <v>0.558</v>
      </c>
      <c r="W136" s="9">
        <v>0.5652</v>
      </c>
      <c r="X136" s="9">
        <v>0.5723</v>
      </c>
      <c r="Y136" s="9">
        <v>0.5795</v>
      </c>
      <c r="Z136" s="9">
        <v>0.5866</v>
      </c>
      <c r="AA136" s="9">
        <v>0.5708</v>
      </c>
      <c r="AB136" s="9">
        <v>0.5549</v>
      </c>
      <c r="AC136" s="9">
        <v>0.5391</v>
      </c>
      <c r="AD136" s="9">
        <v>0.5232</v>
      </c>
      <c r="AE136" s="9">
        <v>0.5195</v>
      </c>
      <c r="AF136" s="9">
        <v>0.5158</v>
      </c>
      <c r="AG136" s="9">
        <v>0.5121</v>
      </c>
      <c r="AH136" s="9">
        <v>0.5084</v>
      </c>
      <c r="AI136" s="9">
        <v>0.5047</v>
      </c>
      <c r="AJ136" s="9">
        <v>0.501</v>
      </c>
      <c r="AK136" s="9">
        <v>0.4997</v>
      </c>
      <c r="AL136" s="9">
        <v>0.4984</v>
      </c>
      <c r="AM136" s="9">
        <v>0.497</v>
      </c>
      <c r="AN136" s="9">
        <v>0.4957</v>
      </c>
      <c r="AO136" s="9">
        <v>0.4944</v>
      </c>
      <c r="AP136" s="9">
        <v>0.4944</v>
      </c>
      <c r="AQ136" s="9">
        <v>0.4944</v>
      </c>
      <c r="AR136" s="9">
        <v>0.4944</v>
      </c>
      <c r="AS136" s="9">
        <v>0.4944</v>
      </c>
      <c r="AT136" s="9">
        <v>0.4944</v>
      </c>
    </row>
    <row r="137" ht="14.25" customHeight="1">
      <c r="A137" s="2" t="s">
        <v>280</v>
      </c>
      <c r="B137" s="9">
        <v>0.5415</v>
      </c>
      <c r="C137" s="9">
        <v>0.5415</v>
      </c>
      <c r="D137" s="9">
        <v>0.5415</v>
      </c>
      <c r="E137" s="9">
        <v>0.5415</v>
      </c>
      <c r="F137" s="9">
        <v>0.5415</v>
      </c>
      <c r="G137" s="9">
        <v>0.5415</v>
      </c>
      <c r="H137" s="9">
        <v>0.5415</v>
      </c>
      <c r="I137" s="9">
        <v>0.5415</v>
      </c>
      <c r="J137" s="9">
        <v>0.5415</v>
      </c>
      <c r="K137" s="9">
        <v>0.5415</v>
      </c>
      <c r="L137" s="9">
        <v>0.5415</v>
      </c>
      <c r="M137" s="9">
        <v>0.5415</v>
      </c>
      <c r="N137" s="9">
        <v>0.5415</v>
      </c>
      <c r="O137" s="9">
        <v>0.5415</v>
      </c>
      <c r="P137" s="9">
        <v>0.5415</v>
      </c>
      <c r="Q137" s="9">
        <v>0.5415</v>
      </c>
      <c r="R137" s="9">
        <v>0.5415</v>
      </c>
      <c r="S137" s="9">
        <v>0.5415</v>
      </c>
      <c r="T137" s="9">
        <v>0.5415</v>
      </c>
      <c r="U137" s="9">
        <v>0.5415</v>
      </c>
      <c r="V137" s="9">
        <v>0.5415</v>
      </c>
      <c r="W137" s="9">
        <v>0.5415</v>
      </c>
      <c r="X137" s="9">
        <v>0.5415</v>
      </c>
      <c r="Y137" s="9">
        <v>0.5415</v>
      </c>
      <c r="Z137" s="9">
        <v>0.5415</v>
      </c>
      <c r="AA137" s="9">
        <v>0.5415</v>
      </c>
      <c r="AB137" s="9">
        <v>0.5415</v>
      </c>
      <c r="AC137" s="9">
        <v>0.5469</v>
      </c>
      <c r="AD137" s="9">
        <v>0.5524</v>
      </c>
      <c r="AE137" s="9">
        <v>0.5578</v>
      </c>
      <c r="AF137" s="9">
        <v>0.5632</v>
      </c>
      <c r="AG137" s="9">
        <v>0.5686</v>
      </c>
      <c r="AH137" s="9">
        <v>0.574</v>
      </c>
      <c r="AI137" s="9">
        <v>0.5702</v>
      </c>
      <c r="AJ137" s="9">
        <v>0.5665</v>
      </c>
      <c r="AK137" s="9">
        <v>0.5627</v>
      </c>
      <c r="AL137" s="9">
        <v>0.5589</v>
      </c>
      <c r="AM137" s="9">
        <v>0.5551</v>
      </c>
      <c r="AN137" s="9">
        <v>0.5551</v>
      </c>
      <c r="AO137" s="9">
        <v>0.5551</v>
      </c>
      <c r="AP137" s="9">
        <v>0.5551</v>
      </c>
      <c r="AQ137" s="9">
        <v>0.5551</v>
      </c>
      <c r="AR137" s="9">
        <v>0.5551</v>
      </c>
      <c r="AS137" s="9">
        <v>0.5551</v>
      </c>
      <c r="AT137" s="9">
        <v>0.5551</v>
      </c>
    </row>
    <row r="138" ht="14.25" customHeight="1">
      <c r="A138" s="2" t="s">
        <v>281</v>
      </c>
      <c r="B138" s="9">
        <v>0.6966</v>
      </c>
      <c r="C138" s="9">
        <v>0.6966</v>
      </c>
      <c r="D138" s="9">
        <v>0.6966</v>
      </c>
      <c r="E138" s="9">
        <v>0.6966</v>
      </c>
      <c r="F138" s="9">
        <v>0.6966</v>
      </c>
      <c r="G138" s="9">
        <v>0.6966</v>
      </c>
      <c r="H138" s="9">
        <v>0.6966</v>
      </c>
      <c r="I138" s="9">
        <v>0.6966</v>
      </c>
      <c r="J138" s="9">
        <v>0.6966</v>
      </c>
      <c r="K138" s="9">
        <v>0.6966</v>
      </c>
      <c r="L138" s="9">
        <v>0.6966</v>
      </c>
      <c r="M138" s="9">
        <v>0.6966</v>
      </c>
      <c r="N138" s="9">
        <v>0.6966</v>
      </c>
      <c r="O138" s="9">
        <v>0.6966</v>
      </c>
      <c r="P138" s="9">
        <v>0.6966</v>
      </c>
      <c r="Q138" s="9">
        <v>0.6966</v>
      </c>
      <c r="R138" s="9">
        <v>0.6966</v>
      </c>
      <c r="S138" s="9">
        <v>0.6966</v>
      </c>
      <c r="T138" s="9">
        <v>0.6966</v>
      </c>
      <c r="U138" s="9">
        <v>0.6966</v>
      </c>
      <c r="V138" s="9">
        <v>0.6966</v>
      </c>
      <c r="W138" s="9">
        <v>0.6966</v>
      </c>
      <c r="X138" s="9">
        <v>0.6966</v>
      </c>
      <c r="Y138" s="9">
        <v>0.7119</v>
      </c>
      <c r="Z138" s="9">
        <v>0.7272</v>
      </c>
      <c r="AA138" s="9">
        <v>0.7228</v>
      </c>
      <c r="AB138" s="9">
        <v>0.7185</v>
      </c>
      <c r="AC138" s="9">
        <v>0.7383</v>
      </c>
      <c r="AD138" s="9">
        <v>0.7581</v>
      </c>
      <c r="AE138" s="9">
        <v>0.7521</v>
      </c>
      <c r="AF138" s="9">
        <v>0.7461</v>
      </c>
      <c r="AG138" s="9">
        <v>0.7519</v>
      </c>
      <c r="AH138" s="9">
        <v>0.7576</v>
      </c>
      <c r="AI138" s="9">
        <v>0.7564</v>
      </c>
      <c r="AJ138" s="9">
        <v>0.7552</v>
      </c>
      <c r="AK138" s="9">
        <v>0.7488</v>
      </c>
      <c r="AL138" s="9">
        <v>0.7425</v>
      </c>
      <c r="AM138" s="9">
        <v>0.7494</v>
      </c>
      <c r="AN138" s="9">
        <v>0.7563</v>
      </c>
      <c r="AO138" s="9">
        <v>0.7448</v>
      </c>
      <c r="AP138" s="9">
        <v>0.7333</v>
      </c>
      <c r="AQ138" s="9">
        <v>0.721</v>
      </c>
      <c r="AR138" s="9">
        <v>0.7087</v>
      </c>
      <c r="AS138" s="9">
        <v>0.7087</v>
      </c>
      <c r="AT138" s="9">
        <v>0.7087</v>
      </c>
    </row>
    <row r="139" ht="14.25" customHeight="1">
      <c r="A139" s="2" t="s">
        <v>282</v>
      </c>
      <c r="B139" s="9">
        <v>0.4403</v>
      </c>
      <c r="C139" s="9">
        <v>0.4412</v>
      </c>
      <c r="D139" s="9">
        <v>0.4421</v>
      </c>
      <c r="E139" s="9">
        <v>0.443</v>
      </c>
      <c r="F139" s="9">
        <v>0.444</v>
      </c>
      <c r="G139" s="9">
        <v>0.4449</v>
      </c>
      <c r="H139" s="9">
        <v>0.4459</v>
      </c>
      <c r="I139" s="9">
        <v>0.4469</v>
      </c>
      <c r="J139" s="9">
        <v>0.4479</v>
      </c>
      <c r="K139" s="9">
        <v>0.449</v>
      </c>
      <c r="L139" s="9">
        <v>0.45</v>
      </c>
      <c r="M139" s="9">
        <v>0.4515</v>
      </c>
      <c r="N139" s="9">
        <v>0.453</v>
      </c>
      <c r="O139" s="9">
        <v>0.4544</v>
      </c>
      <c r="P139" s="9">
        <v>0.4558</v>
      </c>
      <c r="Q139" s="9">
        <v>0.4571</v>
      </c>
      <c r="R139" s="9">
        <v>0.4584</v>
      </c>
      <c r="S139" s="9">
        <v>0.4596</v>
      </c>
      <c r="T139" s="9">
        <v>0.4608</v>
      </c>
      <c r="U139" s="9">
        <v>0.462</v>
      </c>
      <c r="V139" s="9">
        <v>0.4631</v>
      </c>
      <c r="W139" s="9">
        <v>0.4719</v>
      </c>
      <c r="X139" s="9">
        <v>0.4805</v>
      </c>
      <c r="Y139" s="9">
        <v>0.489</v>
      </c>
      <c r="Z139" s="9">
        <v>0.4972</v>
      </c>
      <c r="AA139" s="9">
        <v>0.5052</v>
      </c>
      <c r="AB139" s="9">
        <v>0.5131</v>
      </c>
      <c r="AC139" s="9">
        <v>0.5207</v>
      </c>
      <c r="AD139" s="9">
        <v>0.5282</v>
      </c>
      <c r="AE139" s="9">
        <v>0.5356</v>
      </c>
      <c r="AF139" s="9">
        <v>0.5428</v>
      </c>
      <c r="AG139" s="9">
        <v>0.5447</v>
      </c>
      <c r="AH139" s="9">
        <v>0.5466</v>
      </c>
      <c r="AI139" s="9">
        <v>0.5483</v>
      </c>
      <c r="AJ139" s="9">
        <v>0.55</v>
      </c>
      <c r="AK139" s="9">
        <v>0.5516</v>
      </c>
      <c r="AL139" s="9">
        <v>0.5531</v>
      </c>
      <c r="AM139" s="9">
        <v>0.5546</v>
      </c>
      <c r="AN139" s="9">
        <v>0.556</v>
      </c>
      <c r="AO139" s="9">
        <v>0.5574</v>
      </c>
      <c r="AP139" s="9">
        <v>0.5587</v>
      </c>
      <c r="AQ139" s="9">
        <v>0.5587</v>
      </c>
      <c r="AR139" s="9">
        <v>0.5587</v>
      </c>
      <c r="AS139" s="9">
        <v>0.5587</v>
      </c>
      <c r="AT139" s="9">
        <v>0.5587</v>
      </c>
    </row>
    <row r="140" ht="14.25" customHeight="1">
      <c r="A140" s="2" t="s">
        <v>283</v>
      </c>
      <c r="B140" s="9">
        <v>0.3425</v>
      </c>
      <c r="C140" s="9">
        <v>0.3425</v>
      </c>
      <c r="D140" s="9">
        <v>0.3425</v>
      </c>
      <c r="E140" s="9">
        <v>0.3425</v>
      </c>
      <c r="F140" s="9">
        <v>0.3425</v>
      </c>
      <c r="G140" s="9">
        <v>0.3425</v>
      </c>
      <c r="H140" s="9">
        <v>0.3425</v>
      </c>
      <c r="I140" s="9">
        <v>0.3425</v>
      </c>
      <c r="J140" s="9">
        <v>0.3425</v>
      </c>
      <c r="K140" s="9">
        <v>0.3699</v>
      </c>
      <c r="L140" s="9">
        <v>0.387</v>
      </c>
      <c r="M140" s="9">
        <v>0.4163</v>
      </c>
      <c r="N140" s="9">
        <v>0.4449</v>
      </c>
      <c r="O140" s="9">
        <v>0.4765</v>
      </c>
      <c r="P140" s="9">
        <v>0.4886</v>
      </c>
      <c r="Q140" s="9">
        <v>0.4995</v>
      </c>
      <c r="R140" s="9">
        <v>0.5101</v>
      </c>
      <c r="S140" s="9">
        <v>0.5214</v>
      </c>
      <c r="T140" s="9">
        <v>0.5094</v>
      </c>
      <c r="U140" s="9">
        <v>0.5054</v>
      </c>
      <c r="V140" s="9">
        <v>0.5025</v>
      </c>
      <c r="W140" s="9">
        <v>0.5041</v>
      </c>
      <c r="X140" s="9">
        <v>0.5042</v>
      </c>
      <c r="Y140" s="9">
        <v>0.5068</v>
      </c>
      <c r="Z140" s="9">
        <v>0.5041</v>
      </c>
      <c r="AA140" s="9">
        <v>0.5095</v>
      </c>
      <c r="AB140" s="9">
        <v>0.5113</v>
      </c>
      <c r="AC140" s="9">
        <v>0.5116</v>
      </c>
      <c r="AD140" s="9">
        <v>0.5146</v>
      </c>
      <c r="AE140" s="9">
        <v>0.5151</v>
      </c>
      <c r="AF140" s="9">
        <v>0.5059</v>
      </c>
      <c r="AG140" s="9">
        <v>0.5024</v>
      </c>
      <c r="AH140" s="9">
        <v>0.4973</v>
      </c>
      <c r="AI140" s="9">
        <v>0.4942</v>
      </c>
      <c r="AJ140" s="9">
        <v>0.4899</v>
      </c>
      <c r="AK140" s="9">
        <v>0.4917</v>
      </c>
      <c r="AL140" s="9">
        <v>0.4825</v>
      </c>
      <c r="AM140" s="9">
        <v>0.4827</v>
      </c>
      <c r="AN140" s="9">
        <v>0.4814</v>
      </c>
      <c r="AO140" s="9">
        <v>0.4872</v>
      </c>
      <c r="AP140" s="9">
        <v>0.4865</v>
      </c>
      <c r="AQ140" s="9">
        <v>0.4932</v>
      </c>
      <c r="AR140" s="9">
        <v>0.4933</v>
      </c>
      <c r="AS140" s="9">
        <v>0.5044</v>
      </c>
      <c r="AT140" s="9">
        <v>0.5044</v>
      </c>
    </row>
    <row r="141" ht="14.25" customHeight="1">
      <c r="A141" s="2" t="s">
        <v>284</v>
      </c>
      <c r="B141" s="9">
        <v>0.4447</v>
      </c>
      <c r="C141" s="9">
        <v>0.4462</v>
      </c>
      <c r="D141" s="9">
        <v>0.4474</v>
      </c>
      <c r="E141" s="9">
        <v>0.4467</v>
      </c>
      <c r="F141" s="9">
        <v>0.4511</v>
      </c>
      <c r="G141" s="9">
        <v>0.4558</v>
      </c>
      <c r="H141" s="9">
        <v>0.4511</v>
      </c>
      <c r="I141" s="9">
        <v>0.4493</v>
      </c>
      <c r="J141" s="9">
        <v>0.4446</v>
      </c>
      <c r="K141" s="9">
        <v>0.4448</v>
      </c>
      <c r="L141" s="9">
        <v>0.4437</v>
      </c>
      <c r="M141" s="9">
        <v>0.4412</v>
      </c>
      <c r="N141" s="9">
        <v>0.45</v>
      </c>
      <c r="O141" s="9">
        <v>0.4578</v>
      </c>
      <c r="P141" s="9">
        <v>0.4658</v>
      </c>
      <c r="Q141" s="9">
        <v>0.463</v>
      </c>
      <c r="R141" s="9">
        <v>0.4639</v>
      </c>
      <c r="S141" s="9">
        <v>0.4717</v>
      </c>
      <c r="T141" s="9">
        <v>0.4714</v>
      </c>
      <c r="U141" s="9">
        <v>0.472</v>
      </c>
      <c r="V141" s="9">
        <v>0.4786</v>
      </c>
      <c r="W141" s="9">
        <v>0.476</v>
      </c>
      <c r="X141" s="9">
        <v>0.471</v>
      </c>
      <c r="Y141" s="9">
        <v>0.4747</v>
      </c>
      <c r="Z141" s="9">
        <v>0.4829</v>
      </c>
      <c r="AA141" s="9">
        <v>0.4832</v>
      </c>
      <c r="AB141" s="9">
        <v>0.4881</v>
      </c>
      <c r="AC141" s="9">
        <v>0.486</v>
      </c>
      <c r="AD141" s="9">
        <v>0.4697</v>
      </c>
      <c r="AE141" s="9">
        <v>0.4627</v>
      </c>
      <c r="AF141" s="9">
        <v>0.481</v>
      </c>
      <c r="AG141" s="9">
        <v>0.4817</v>
      </c>
      <c r="AH141" s="9">
        <v>0.4774</v>
      </c>
      <c r="AI141" s="9">
        <v>0.4812</v>
      </c>
      <c r="AJ141" s="9">
        <v>0.4848</v>
      </c>
      <c r="AK141" s="9">
        <v>0.484</v>
      </c>
      <c r="AL141" s="9">
        <v>0.4836</v>
      </c>
      <c r="AM141" s="9">
        <v>0.4829</v>
      </c>
      <c r="AN141" s="9">
        <v>0.4811</v>
      </c>
      <c r="AO141" s="9">
        <v>0.478</v>
      </c>
      <c r="AP141" s="9">
        <v>0.4784</v>
      </c>
      <c r="AQ141" s="9">
        <v>0.4829</v>
      </c>
      <c r="AR141" s="9">
        <v>0.4833</v>
      </c>
      <c r="AS141" s="9">
        <v>0.4833</v>
      </c>
      <c r="AT141" s="9">
        <v>0.4833</v>
      </c>
    </row>
    <row r="142" ht="14.25" customHeight="1">
      <c r="A142" s="2" t="s">
        <v>285</v>
      </c>
      <c r="B142" s="9">
        <v>0.5447</v>
      </c>
      <c r="C142" s="9">
        <v>0.5447</v>
      </c>
      <c r="D142" s="9">
        <v>0.5447</v>
      </c>
      <c r="E142" s="9">
        <v>0.5447</v>
      </c>
      <c r="F142" s="9">
        <v>0.5447</v>
      </c>
      <c r="G142" s="9">
        <v>0.5447</v>
      </c>
      <c r="H142" s="9">
        <v>0.5447</v>
      </c>
      <c r="I142" s="9">
        <v>0.5447</v>
      </c>
      <c r="J142" s="9">
        <v>0.5447</v>
      </c>
      <c r="K142" s="9">
        <v>0.5447</v>
      </c>
      <c r="L142" s="9">
        <v>0.5447</v>
      </c>
      <c r="M142" s="9">
        <v>0.5447</v>
      </c>
      <c r="N142" s="9">
        <v>0.5447</v>
      </c>
      <c r="O142" s="9">
        <v>0.5447</v>
      </c>
      <c r="P142" s="9">
        <v>0.5447</v>
      </c>
      <c r="Q142" s="9">
        <v>0.5447</v>
      </c>
      <c r="R142" s="9">
        <v>0.5388</v>
      </c>
      <c r="S142" s="9">
        <v>0.5329</v>
      </c>
      <c r="T142" s="9">
        <v>0.5272</v>
      </c>
      <c r="U142" s="9">
        <v>0.5332</v>
      </c>
      <c r="V142" s="9">
        <v>0.5391</v>
      </c>
      <c r="W142" s="9">
        <v>0.5451</v>
      </c>
      <c r="X142" s="9">
        <v>0.551</v>
      </c>
      <c r="Y142" s="9">
        <v>0.5552</v>
      </c>
      <c r="Z142" s="9">
        <v>0.5587</v>
      </c>
      <c r="AA142" s="9">
        <v>0.5617</v>
      </c>
      <c r="AB142" s="9">
        <v>0.5615</v>
      </c>
      <c r="AC142" s="9">
        <v>0.5541</v>
      </c>
      <c r="AD142" s="9">
        <v>0.5429</v>
      </c>
      <c r="AE142" s="9">
        <v>0.531</v>
      </c>
      <c r="AF142" s="9">
        <v>0.5446</v>
      </c>
      <c r="AG142" s="9">
        <v>0.5419</v>
      </c>
      <c r="AH142" s="9">
        <v>0.5586</v>
      </c>
      <c r="AI142" s="9">
        <v>0.5445</v>
      </c>
      <c r="AJ142" s="9">
        <v>0.5481</v>
      </c>
      <c r="AK142" s="9">
        <v>0.5351</v>
      </c>
      <c r="AL142" s="9">
        <v>0.534</v>
      </c>
      <c r="AM142" s="9">
        <v>0.5332</v>
      </c>
      <c r="AN142" s="9">
        <v>0.5357</v>
      </c>
      <c r="AO142" s="9">
        <v>0.5298</v>
      </c>
      <c r="AP142" s="9">
        <v>0.5298</v>
      </c>
      <c r="AQ142" s="9">
        <v>0.5298</v>
      </c>
      <c r="AR142" s="9">
        <v>0.5298</v>
      </c>
      <c r="AS142" s="9">
        <v>0.5298</v>
      </c>
      <c r="AT142" s="9">
        <v>0.5298</v>
      </c>
    </row>
    <row r="143" ht="14.25" customHeight="1">
      <c r="A143" s="2" t="s">
        <v>286</v>
      </c>
      <c r="B143" s="9">
        <v>0.3963</v>
      </c>
      <c r="C143" s="9">
        <v>0.3963</v>
      </c>
      <c r="D143" s="9">
        <v>0.3963</v>
      </c>
      <c r="E143" s="9">
        <v>0.3962</v>
      </c>
      <c r="F143" s="9">
        <v>0.4106</v>
      </c>
      <c r="G143" s="9">
        <v>0.4038</v>
      </c>
      <c r="H143" s="9">
        <v>0.4102</v>
      </c>
      <c r="I143" s="9">
        <v>0.4134</v>
      </c>
      <c r="J143" s="9">
        <v>0.4429</v>
      </c>
      <c r="K143" s="9">
        <v>0.4013</v>
      </c>
      <c r="L143" s="9">
        <v>0.3962</v>
      </c>
      <c r="M143" s="9">
        <v>0.4014</v>
      </c>
      <c r="N143" s="9">
        <v>0.4059</v>
      </c>
      <c r="O143" s="9">
        <v>0.4096</v>
      </c>
      <c r="P143" s="9">
        <v>0.4135</v>
      </c>
      <c r="Q143" s="9">
        <v>0.4178</v>
      </c>
      <c r="R143" s="9">
        <v>0.4175</v>
      </c>
      <c r="S143" s="9">
        <v>0.418</v>
      </c>
      <c r="T143" s="9">
        <v>0.4183</v>
      </c>
      <c r="U143" s="9">
        <v>0.3985</v>
      </c>
      <c r="V143" s="9">
        <v>0.462</v>
      </c>
      <c r="W143" s="9">
        <v>0.4235</v>
      </c>
      <c r="X143" s="9">
        <v>0.4354</v>
      </c>
      <c r="Y143" s="9">
        <v>0.4469</v>
      </c>
      <c r="Z143" s="9">
        <v>0.4549</v>
      </c>
      <c r="AA143" s="9">
        <v>0.4684</v>
      </c>
      <c r="AB143" s="9">
        <v>0.4745</v>
      </c>
      <c r="AC143" s="9">
        <v>0.4768</v>
      </c>
      <c r="AD143" s="9">
        <v>0.4875</v>
      </c>
      <c r="AE143" s="9">
        <v>0.4919</v>
      </c>
      <c r="AF143" s="9">
        <v>0.4975</v>
      </c>
      <c r="AG143" s="9">
        <v>0.5058</v>
      </c>
      <c r="AH143" s="9">
        <v>0.5107</v>
      </c>
      <c r="AI143" s="9">
        <v>0.5048</v>
      </c>
      <c r="AJ143" s="9">
        <v>0.5005</v>
      </c>
      <c r="AK143" s="9">
        <v>0.5337</v>
      </c>
      <c r="AL143" s="9">
        <v>0.5147</v>
      </c>
      <c r="AM143" s="9">
        <v>0.4974</v>
      </c>
      <c r="AN143" s="9">
        <v>0.5091</v>
      </c>
      <c r="AO143" s="9">
        <v>0.5065</v>
      </c>
      <c r="AP143" s="9">
        <v>0.5059</v>
      </c>
      <c r="AQ143" s="9">
        <v>0.5061</v>
      </c>
      <c r="AR143" s="9">
        <v>0.5077</v>
      </c>
      <c r="AS143" s="9">
        <v>0.5067</v>
      </c>
      <c r="AT143" s="9">
        <v>0.5067</v>
      </c>
    </row>
    <row r="144" ht="14.25" customHeight="1">
      <c r="A144" s="2" t="s">
        <v>287</v>
      </c>
      <c r="B144" s="9">
        <v>0.6852</v>
      </c>
      <c r="C144" s="9">
        <v>0.6854</v>
      </c>
      <c r="D144" s="9">
        <v>0.6857</v>
      </c>
      <c r="E144" s="9">
        <v>0.6859</v>
      </c>
      <c r="F144" s="9">
        <v>0.6861</v>
      </c>
      <c r="G144" s="9">
        <v>0.6863</v>
      </c>
      <c r="H144" s="9">
        <v>0.6866</v>
      </c>
      <c r="I144" s="9">
        <v>0.6868</v>
      </c>
      <c r="J144" s="9">
        <v>0.6871</v>
      </c>
      <c r="K144" s="9">
        <v>0.6877</v>
      </c>
      <c r="L144" s="9">
        <v>0.6879</v>
      </c>
      <c r="M144" s="9">
        <v>0.6868</v>
      </c>
      <c r="N144" s="9">
        <v>0.6859</v>
      </c>
      <c r="O144" s="9">
        <v>0.6851</v>
      </c>
      <c r="P144" s="9">
        <v>0.6842</v>
      </c>
      <c r="Q144" s="9">
        <v>0.6834</v>
      </c>
      <c r="R144" s="9">
        <v>0.6826</v>
      </c>
      <c r="S144" s="9">
        <v>0.6818</v>
      </c>
      <c r="T144" s="9">
        <v>0.681</v>
      </c>
      <c r="U144" s="9">
        <v>0.6802</v>
      </c>
      <c r="V144" s="9">
        <v>0.6794</v>
      </c>
      <c r="W144" s="9">
        <v>0.6781</v>
      </c>
      <c r="X144" s="9">
        <v>0.6768</v>
      </c>
      <c r="Y144" s="9">
        <v>0.6756</v>
      </c>
      <c r="Z144" s="9">
        <v>0.6745</v>
      </c>
      <c r="AA144" s="9">
        <v>0.6734</v>
      </c>
      <c r="AB144" s="9">
        <v>0.6724</v>
      </c>
      <c r="AC144" s="9">
        <v>0.6714</v>
      </c>
      <c r="AD144" s="9">
        <v>0.6704</v>
      </c>
      <c r="AE144" s="9">
        <v>0.6695</v>
      </c>
      <c r="AF144" s="9">
        <v>0.6687</v>
      </c>
      <c r="AG144" s="9">
        <v>0.6601</v>
      </c>
      <c r="AH144" s="9">
        <v>0.6516</v>
      </c>
      <c r="AI144" s="9">
        <v>0.6431</v>
      </c>
      <c r="AJ144" s="9">
        <v>0.6347</v>
      </c>
      <c r="AK144" s="9">
        <v>0.6264</v>
      </c>
      <c r="AL144" s="9">
        <v>0.6182</v>
      </c>
      <c r="AM144" s="9">
        <v>0.6099</v>
      </c>
      <c r="AN144" s="9">
        <v>0.6018</v>
      </c>
      <c r="AO144" s="9">
        <v>0.5937</v>
      </c>
      <c r="AP144" s="9">
        <v>0.5868</v>
      </c>
      <c r="AQ144" s="9">
        <v>0.5868</v>
      </c>
      <c r="AR144" s="9">
        <v>0.5868</v>
      </c>
      <c r="AS144" s="9">
        <v>0.5868</v>
      </c>
      <c r="AT144" s="9">
        <v>0.5868</v>
      </c>
    </row>
    <row r="145" ht="14.25" customHeight="1">
      <c r="A145" s="2" t="s">
        <v>288</v>
      </c>
      <c r="B145" s="9">
        <v>0.5627</v>
      </c>
      <c r="C145" s="9">
        <v>0.5627</v>
      </c>
      <c r="D145" s="9">
        <v>0.5627</v>
      </c>
      <c r="E145" s="9">
        <v>0.5627</v>
      </c>
      <c r="F145" s="9">
        <v>0.5627</v>
      </c>
      <c r="G145" s="9">
        <v>0.5627</v>
      </c>
      <c r="H145" s="9">
        <v>0.5627</v>
      </c>
      <c r="I145" s="9">
        <v>0.5627</v>
      </c>
      <c r="J145" s="9">
        <v>0.5627</v>
      </c>
      <c r="K145" s="9">
        <v>0.5627</v>
      </c>
      <c r="L145" s="9">
        <v>0.5627</v>
      </c>
      <c r="M145" s="9">
        <v>0.5627</v>
      </c>
      <c r="N145" s="9">
        <v>0.5627</v>
      </c>
      <c r="O145" s="9">
        <v>0.5627</v>
      </c>
      <c r="P145" s="9">
        <v>0.5627</v>
      </c>
      <c r="Q145" s="9">
        <v>0.5627</v>
      </c>
      <c r="R145" s="9">
        <v>0.5627</v>
      </c>
      <c r="S145" s="9">
        <v>0.5627</v>
      </c>
      <c r="T145" s="9">
        <v>0.5627</v>
      </c>
      <c r="U145" s="9">
        <v>0.5627</v>
      </c>
      <c r="V145" s="9">
        <v>0.5627</v>
      </c>
      <c r="W145" s="9">
        <v>0.5627</v>
      </c>
      <c r="X145" s="9">
        <v>0.5627</v>
      </c>
      <c r="Y145" s="9">
        <v>0.5627</v>
      </c>
      <c r="Z145" s="9">
        <v>0.5627</v>
      </c>
      <c r="AA145" s="9">
        <v>0.5627</v>
      </c>
      <c r="AB145" s="9">
        <v>0.5627</v>
      </c>
      <c r="AC145" s="9">
        <v>0.5627</v>
      </c>
      <c r="AD145" s="9">
        <v>0.5627</v>
      </c>
      <c r="AE145" s="9">
        <v>0.5627</v>
      </c>
      <c r="AF145" s="9">
        <v>0.5627</v>
      </c>
      <c r="AG145" s="9">
        <v>0.5627</v>
      </c>
      <c r="AH145" s="9">
        <v>0.5627</v>
      </c>
      <c r="AI145" s="9">
        <v>0.5627</v>
      </c>
      <c r="AJ145" s="9">
        <v>0.5627</v>
      </c>
      <c r="AK145" s="9">
        <v>0.5627</v>
      </c>
      <c r="AL145" s="9">
        <v>0.5627</v>
      </c>
      <c r="AM145" s="9">
        <v>0.5627</v>
      </c>
      <c r="AN145" s="9">
        <v>0.5627</v>
      </c>
      <c r="AO145" s="9">
        <v>0.5627</v>
      </c>
      <c r="AP145" s="9">
        <v>0.5627</v>
      </c>
      <c r="AQ145" s="9">
        <v>0.5627</v>
      </c>
      <c r="AR145" s="9">
        <v>0.5627</v>
      </c>
      <c r="AS145" s="9">
        <v>0.5627</v>
      </c>
      <c r="AT145" s="9">
        <v>0.5627</v>
      </c>
    </row>
    <row r="146" ht="14.25" customHeight="1">
      <c r="A146" s="2" t="s">
        <v>289</v>
      </c>
      <c r="B146" s="9">
        <v>0.6994</v>
      </c>
      <c r="C146" s="9">
        <v>0.6994</v>
      </c>
      <c r="D146" s="9">
        <v>0.6994</v>
      </c>
      <c r="E146" s="9">
        <v>0.6994</v>
      </c>
      <c r="F146" s="9">
        <v>0.6994</v>
      </c>
      <c r="G146" s="9">
        <v>0.6994</v>
      </c>
      <c r="H146" s="9">
        <v>0.6994</v>
      </c>
      <c r="I146" s="9">
        <v>0.6994</v>
      </c>
      <c r="J146" s="9">
        <v>0.6994</v>
      </c>
      <c r="K146" s="9">
        <v>0.6994</v>
      </c>
      <c r="L146" s="9">
        <v>0.6994</v>
      </c>
      <c r="M146" s="9">
        <v>0.6994</v>
      </c>
      <c r="N146" s="9">
        <v>0.6994</v>
      </c>
      <c r="O146" s="9">
        <v>0.6994</v>
      </c>
      <c r="P146" s="9">
        <v>0.6994</v>
      </c>
      <c r="Q146" s="9">
        <v>0.6994</v>
      </c>
      <c r="R146" s="9">
        <v>0.6994</v>
      </c>
      <c r="S146" s="9">
        <v>0.6925</v>
      </c>
      <c r="T146" s="9">
        <v>0.6855</v>
      </c>
      <c r="U146" s="9">
        <v>0.6786</v>
      </c>
      <c r="V146" s="9">
        <v>0.6717</v>
      </c>
      <c r="W146" s="9">
        <v>0.6647</v>
      </c>
      <c r="X146" s="9">
        <v>0.6578</v>
      </c>
      <c r="Y146" s="9">
        <v>0.6546</v>
      </c>
      <c r="Z146" s="9">
        <v>0.6514</v>
      </c>
      <c r="AA146" s="9">
        <v>0.6482</v>
      </c>
      <c r="AB146" s="9">
        <v>0.645</v>
      </c>
      <c r="AC146" s="9">
        <v>0.6418</v>
      </c>
      <c r="AD146" s="9">
        <v>0.6386</v>
      </c>
      <c r="AE146" s="9">
        <v>0.6513</v>
      </c>
      <c r="AF146" s="9">
        <v>0.664</v>
      </c>
      <c r="AG146" s="9">
        <v>0.6768</v>
      </c>
      <c r="AH146" s="9">
        <v>0.6895</v>
      </c>
      <c r="AI146" s="9">
        <v>0.7022</v>
      </c>
      <c r="AJ146" s="9">
        <v>0.7149</v>
      </c>
      <c r="AK146" s="9">
        <v>0.7083</v>
      </c>
      <c r="AL146" s="9">
        <v>0.7017</v>
      </c>
      <c r="AM146" s="9">
        <v>0.695</v>
      </c>
      <c r="AN146" s="9">
        <v>0.6884</v>
      </c>
      <c r="AO146" s="9">
        <v>0.6817</v>
      </c>
      <c r="AP146" s="9">
        <v>0.6779</v>
      </c>
      <c r="AQ146" s="9">
        <v>0.6741</v>
      </c>
      <c r="AR146" s="9">
        <v>0.6703</v>
      </c>
      <c r="AS146" s="9">
        <v>0.6703</v>
      </c>
      <c r="AT146" s="9">
        <v>0.6703</v>
      </c>
    </row>
    <row r="147" ht="14.25" customHeight="1">
      <c r="A147" s="2" t="s">
        <v>290</v>
      </c>
      <c r="B147" s="9">
        <v>0.5969</v>
      </c>
      <c r="C147" s="9">
        <v>0.5969</v>
      </c>
      <c r="D147" s="9">
        <v>0.5969</v>
      </c>
      <c r="E147" s="9">
        <v>0.5969</v>
      </c>
      <c r="F147" s="9">
        <v>0.5969</v>
      </c>
      <c r="G147" s="9">
        <v>0.5969</v>
      </c>
      <c r="H147" s="9">
        <v>0.5969</v>
      </c>
      <c r="I147" s="9">
        <v>0.5969</v>
      </c>
      <c r="J147" s="9">
        <v>0.5969</v>
      </c>
      <c r="K147" s="9">
        <v>0.5969</v>
      </c>
      <c r="L147" s="9">
        <v>0.5969</v>
      </c>
      <c r="M147" s="9">
        <v>0.5969</v>
      </c>
      <c r="N147" s="9">
        <v>0.5969</v>
      </c>
      <c r="O147" s="9">
        <v>0.5969</v>
      </c>
      <c r="P147" s="9">
        <v>0.5969</v>
      </c>
      <c r="Q147" s="9">
        <v>0.5969</v>
      </c>
      <c r="R147" s="9">
        <v>0.5969</v>
      </c>
      <c r="S147" s="9">
        <v>0.5969</v>
      </c>
      <c r="T147" s="9">
        <v>0.5969</v>
      </c>
      <c r="U147" s="9">
        <v>0.5969</v>
      </c>
      <c r="V147" s="9">
        <v>0.5969</v>
      </c>
      <c r="W147" s="9">
        <v>0.5969</v>
      </c>
      <c r="X147" s="9">
        <v>0.5969</v>
      </c>
      <c r="Y147" s="9">
        <v>0.5969</v>
      </c>
      <c r="Z147" s="9">
        <v>0.5969</v>
      </c>
      <c r="AA147" s="9">
        <v>0.5969</v>
      </c>
      <c r="AB147" s="9">
        <v>0.5969</v>
      </c>
      <c r="AC147" s="9">
        <v>0.5969</v>
      </c>
      <c r="AD147" s="9">
        <v>0.5969</v>
      </c>
      <c r="AE147" s="9">
        <v>0.5969</v>
      </c>
      <c r="AF147" s="9">
        <v>0.5969</v>
      </c>
      <c r="AG147" s="9">
        <v>0.5969</v>
      </c>
      <c r="AH147" s="9">
        <v>0.5969</v>
      </c>
      <c r="AI147" s="9">
        <v>0.5969</v>
      </c>
      <c r="AJ147" s="9">
        <v>0.5969</v>
      </c>
      <c r="AK147" s="9">
        <v>0.5969</v>
      </c>
      <c r="AL147" s="9">
        <v>0.5567</v>
      </c>
      <c r="AM147" s="9">
        <v>0.5166</v>
      </c>
      <c r="AN147" s="9">
        <v>0.5155</v>
      </c>
      <c r="AO147" s="9">
        <v>0.5155</v>
      </c>
      <c r="AP147" s="9">
        <v>0.5155</v>
      </c>
      <c r="AQ147" s="9">
        <v>0.5155</v>
      </c>
      <c r="AR147" s="9">
        <v>0.5155</v>
      </c>
      <c r="AS147" s="9">
        <v>0.5155</v>
      </c>
      <c r="AT147" s="9">
        <v>0.5155</v>
      </c>
    </row>
    <row r="148" ht="14.25" customHeight="1">
      <c r="A148" s="2" t="s">
        <v>291</v>
      </c>
      <c r="B148" s="9">
        <v>0.8232</v>
      </c>
      <c r="C148" s="9">
        <v>0.8232</v>
      </c>
      <c r="D148" s="9">
        <v>0.8232</v>
      </c>
      <c r="E148" s="9">
        <v>0.8232</v>
      </c>
      <c r="F148" s="9">
        <v>0.8232</v>
      </c>
      <c r="G148" s="9">
        <v>0.8232</v>
      </c>
      <c r="H148" s="9">
        <v>0.8232</v>
      </c>
      <c r="I148" s="9">
        <v>0.8232</v>
      </c>
      <c r="J148" s="9">
        <v>0.8232</v>
      </c>
      <c r="K148" s="9">
        <v>0.8232</v>
      </c>
      <c r="L148" s="9">
        <v>0.8232</v>
      </c>
      <c r="M148" s="9">
        <v>0.8232</v>
      </c>
      <c r="N148" s="9">
        <v>0.8232</v>
      </c>
      <c r="O148" s="9">
        <v>0.8232</v>
      </c>
      <c r="P148" s="9">
        <v>0.8183</v>
      </c>
      <c r="Q148" s="9">
        <v>0.8134</v>
      </c>
      <c r="R148" s="9">
        <v>0.8085</v>
      </c>
      <c r="S148" s="9">
        <v>0.8036</v>
      </c>
      <c r="T148" s="9">
        <v>0.7987</v>
      </c>
      <c r="U148" s="9">
        <v>0.7938</v>
      </c>
      <c r="V148" s="9">
        <v>0.7889</v>
      </c>
      <c r="W148" s="9">
        <v>0.784</v>
      </c>
      <c r="X148" s="9">
        <v>0.7791</v>
      </c>
      <c r="Y148" s="9">
        <v>0.7742</v>
      </c>
      <c r="Z148" s="9">
        <v>0.7715</v>
      </c>
      <c r="AA148" s="9">
        <v>0.7687</v>
      </c>
      <c r="AB148" s="9">
        <v>0.766</v>
      </c>
      <c r="AC148" s="9">
        <v>0.7632</v>
      </c>
      <c r="AD148" s="9">
        <v>0.7604</v>
      </c>
      <c r="AE148" s="9">
        <v>0.7577</v>
      </c>
      <c r="AF148" s="9">
        <v>0.7532</v>
      </c>
      <c r="AG148" s="9">
        <v>0.7488</v>
      </c>
      <c r="AH148" s="9">
        <v>0.7443</v>
      </c>
      <c r="AI148" s="9">
        <v>0.7399</v>
      </c>
      <c r="AJ148" s="9">
        <v>0.7355</v>
      </c>
      <c r="AK148" s="9">
        <v>0.731</v>
      </c>
      <c r="AL148" s="9">
        <v>0.731</v>
      </c>
      <c r="AM148" s="9">
        <v>0.731</v>
      </c>
      <c r="AN148" s="9">
        <v>0.731</v>
      </c>
      <c r="AO148" s="9">
        <v>0.731</v>
      </c>
      <c r="AP148" s="9">
        <v>0.731</v>
      </c>
      <c r="AQ148" s="9">
        <v>0.731</v>
      </c>
      <c r="AR148" s="9">
        <v>0.731</v>
      </c>
      <c r="AS148" s="9">
        <v>0.731</v>
      </c>
      <c r="AT148" s="9">
        <v>0.731</v>
      </c>
    </row>
    <row r="149" ht="14.25" customHeight="1">
      <c r="A149" s="2" t="s">
        <v>292</v>
      </c>
      <c r="B149" s="9">
        <v>0.4403</v>
      </c>
      <c r="C149" s="9">
        <v>0.4412</v>
      </c>
      <c r="D149" s="9">
        <v>0.4421</v>
      </c>
      <c r="E149" s="9">
        <v>0.443</v>
      </c>
      <c r="F149" s="9">
        <v>0.444</v>
      </c>
      <c r="G149" s="9">
        <v>0.4449</v>
      </c>
      <c r="H149" s="9">
        <v>0.4459</v>
      </c>
      <c r="I149" s="9">
        <v>0.4469</v>
      </c>
      <c r="J149" s="9">
        <v>0.4479</v>
      </c>
      <c r="K149" s="9">
        <v>0.449</v>
      </c>
      <c r="L149" s="9">
        <v>0.45</v>
      </c>
      <c r="M149" s="9">
        <v>0.4515</v>
      </c>
      <c r="N149" s="9">
        <v>0.453</v>
      </c>
      <c r="O149" s="9">
        <v>0.4544</v>
      </c>
      <c r="P149" s="9">
        <v>0.4558</v>
      </c>
      <c r="Q149" s="9">
        <v>0.4571</v>
      </c>
      <c r="R149" s="9">
        <v>0.4584</v>
      </c>
      <c r="S149" s="9">
        <v>0.4596</v>
      </c>
      <c r="T149" s="9">
        <v>0.4608</v>
      </c>
      <c r="U149" s="9">
        <v>0.462</v>
      </c>
      <c r="V149" s="9">
        <v>0.4631</v>
      </c>
      <c r="W149" s="9">
        <v>0.4719</v>
      </c>
      <c r="X149" s="9">
        <v>0.4805</v>
      </c>
      <c r="Y149" s="9">
        <v>0.489</v>
      </c>
      <c r="Z149" s="9">
        <v>0.4972</v>
      </c>
      <c r="AA149" s="9">
        <v>0.5052</v>
      </c>
      <c r="AB149" s="9">
        <v>0.5131</v>
      </c>
      <c r="AC149" s="9">
        <v>0.5207</v>
      </c>
      <c r="AD149" s="9">
        <v>0.5282</v>
      </c>
      <c r="AE149" s="9">
        <v>0.5356</v>
      </c>
      <c r="AF149" s="9">
        <v>0.5428</v>
      </c>
      <c r="AG149" s="9">
        <v>0.5447</v>
      </c>
      <c r="AH149" s="9">
        <v>0.5466</v>
      </c>
      <c r="AI149" s="9">
        <v>0.5483</v>
      </c>
      <c r="AJ149" s="9">
        <v>0.55</v>
      </c>
      <c r="AK149" s="9">
        <v>0.5516</v>
      </c>
      <c r="AL149" s="9">
        <v>0.5531</v>
      </c>
      <c r="AM149" s="9">
        <v>0.5546</v>
      </c>
      <c r="AN149" s="9">
        <v>0.556</v>
      </c>
      <c r="AO149" s="9">
        <v>0.5574</v>
      </c>
      <c r="AP149" s="9">
        <v>0.5587</v>
      </c>
      <c r="AQ149" s="9">
        <v>0.5587</v>
      </c>
      <c r="AR149" s="9">
        <v>0.5587</v>
      </c>
      <c r="AS149" s="9">
        <v>0.5587</v>
      </c>
      <c r="AT149" s="9">
        <v>0.5587</v>
      </c>
    </row>
    <row r="150" ht="14.25" customHeight="1">
      <c r="A150" s="2" t="s">
        <v>293</v>
      </c>
      <c r="B150" s="9">
        <v>0.3819</v>
      </c>
      <c r="C150" s="9">
        <v>0.3819</v>
      </c>
      <c r="D150" s="9">
        <v>0.3819</v>
      </c>
      <c r="E150" s="9">
        <v>0.3819</v>
      </c>
      <c r="F150" s="9">
        <v>0.3819</v>
      </c>
      <c r="G150" s="9">
        <v>0.4053</v>
      </c>
      <c r="H150" s="9">
        <v>0.4259</v>
      </c>
      <c r="I150" s="9">
        <v>0.4442</v>
      </c>
      <c r="J150" s="9">
        <v>0.4605</v>
      </c>
      <c r="K150" s="9">
        <v>0.4752</v>
      </c>
      <c r="L150" s="9">
        <v>0.4885</v>
      </c>
      <c r="M150" s="9">
        <v>0.5005</v>
      </c>
      <c r="N150" s="9">
        <v>0.5115</v>
      </c>
      <c r="O150" s="9">
        <v>0.5216</v>
      </c>
      <c r="P150" s="9">
        <v>0.5308</v>
      </c>
      <c r="Q150" s="9">
        <v>0.5394</v>
      </c>
      <c r="R150" s="9">
        <v>0.5358</v>
      </c>
      <c r="S150" s="9">
        <v>0.5326</v>
      </c>
      <c r="T150" s="9">
        <v>0.5288</v>
      </c>
      <c r="U150" s="9">
        <v>0.5273</v>
      </c>
      <c r="V150" s="9">
        <v>0.5245</v>
      </c>
      <c r="W150" s="9">
        <v>0.5213</v>
      </c>
      <c r="X150" s="9">
        <v>0.5216</v>
      </c>
      <c r="Y150" s="9">
        <v>0.5237</v>
      </c>
      <c r="Z150" s="9">
        <v>0.521</v>
      </c>
      <c r="AA150" s="9">
        <v>0.5196</v>
      </c>
      <c r="AB150" s="9">
        <v>0.5198</v>
      </c>
      <c r="AC150" s="9">
        <v>0.5211</v>
      </c>
      <c r="AD150" s="9">
        <v>0.5116</v>
      </c>
      <c r="AE150" s="9">
        <v>0.5082</v>
      </c>
      <c r="AF150" s="9">
        <v>0.5126</v>
      </c>
      <c r="AG150" s="9">
        <v>0.5084</v>
      </c>
      <c r="AH150" s="9">
        <v>0.5075</v>
      </c>
      <c r="AI150" s="9">
        <v>0.5062</v>
      </c>
      <c r="AJ150" s="9">
        <v>0.5036</v>
      </c>
      <c r="AK150" s="9">
        <v>0.4992</v>
      </c>
      <c r="AL150" s="9">
        <v>0.4985</v>
      </c>
      <c r="AM150" s="9">
        <v>0.4987</v>
      </c>
      <c r="AN150" s="9">
        <v>0.4987</v>
      </c>
      <c r="AO150" s="9">
        <v>0.4987</v>
      </c>
      <c r="AP150" s="9">
        <v>0.4987</v>
      </c>
      <c r="AQ150" s="9">
        <v>0.4987</v>
      </c>
      <c r="AR150" s="9">
        <v>0.4987</v>
      </c>
      <c r="AS150" s="9">
        <v>0.4987</v>
      </c>
      <c r="AT150" s="9">
        <v>0.4987</v>
      </c>
    </row>
    <row r="151" ht="14.25" customHeight="1">
      <c r="A151" s="2" t="s">
        <v>294</v>
      </c>
      <c r="B151" s="9">
        <v>0.3437</v>
      </c>
      <c r="C151" s="9">
        <v>0.3488</v>
      </c>
      <c r="D151" s="9">
        <v>0.3512</v>
      </c>
      <c r="E151" s="9">
        <v>0.3607</v>
      </c>
      <c r="F151" s="9">
        <v>0.3644</v>
      </c>
      <c r="G151" s="9">
        <v>0.3668</v>
      </c>
      <c r="H151" s="9">
        <v>0.3614</v>
      </c>
      <c r="I151" s="9">
        <v>0.3635</v>
      </c>
      <c r="J151" s="9">
        <v>0.3574</v>
      </c>
      <c r="K151" s="9">
        <v>0.3582</v>
      </c>
      <c r="L151" s="9">
        <v>0.3577</v>
      </c>
      <c r="M151" s="9">
        <v>0.359</v>
      </c>
      <c r="N151" s="9">
        <v>0.3559</v>
      </c>
      <c r="O151" s="9">
        <v>0.3591</v>
      </c>
      <c r="P151" s="9">
        <v>0.3629</v>
      </c>
      <c r="Q151" s="9">
        <v>0.3633</v>
      </c>
      <c r="R151" s="9">
        <v>0.3614</v>
      </c>
      <c r="S151" s="9">
        <v>0.3621</v>
      </c>
      <c r="T151" s="9">
        <v>0.3563</v>
      </c>
      <c r="U151" s="9">
        <v>0.3588</v>
      </c>
      <c r="V151" s="9">
        <v>0.3563</v>
      </c>
      <c r="W151" s="9">
        <v>0.3707</v>
      </c>
      <c r="X151" s="9">
        <v>0.3722</v>
      </c>
      <c r="Y151" s="9">
        <v>0.376</v>
      </c>
      <c r="Z151" s="9">
        <v>0.3809</v>
      </c>
      <c r="AA151" s="9">
        <v>0.3883</v>
      </c>
      <c r="AB151" s="9">
        <v>0.3906</v>
      </c>
      <c r="AC151" s="9">
        <v>0.4037</v>
      </c>
      <c r="AD151" s="9">
        <v>0.3764</v>
      </c>
      <c r="AE151" s="9">
        <v>0.3795</v>
      </c>
      <c r="AF151" s="9">
        <v>0.3878</v>
      </c>
      <c r="AG151" s="9">
        <v>0.3888</v>
      </c>
      <c r="AH151" s="9">
        <v>0.3907</v>
      </c>
      <c r="AI151" s="9">
        <v>0.3903</v>
      </c>
      <c r="AJ151" s="9">
        <v>0.3988</v>
      </c>
      <c r="AK151" s="9">
        <v>0.396</v>
      </c>
      <c r="AL151" s="9">
        <v>0.3964</v>
      </c>
      <c r="AM151" s="9">
        <v>0.4041</v>
      </c>
      <c r="AN151" s="9">
        <v>0.3958</v>
      </c>
      <c r="AO151" s="9">
        <v>0.3938</v>
      </c>
      <c r="AP151" s="9">
        <v>0.3938</v>
      </c>
      <c r="AQ151" s="9">
        <v>0.3967</v>
      </c>
      <c r="AR151" s="9">
        <v>0.4059</v>
      </c>
      <c r="AS151" s="9">
        <v>0.4156</v>
      </c>
      <c r="AT151" s="9">
        <v>0.4156</v>
      </c>
    </row>
    <row r="152" ht="14.25" customHeight="1">
      <c r="A152" s="2" t="s">
        <v>295</v>
      </c>
      <c r="B152" s="9">
        <v>0.4403</v>
      </c>
      <c r="C152" s="9">
        <v>0.4412</v>
      </c>
      <c r="D152" s="9">
        <v>0.4421</v>
      </c>
      <c r="E152" s="9">
        <v>0.443</v>
      </c>
      <c r="F152" s="9">
        <v>0.444</v>
      </c>
      <c r="G152" s="9">
        <v>0.4449</v>
      </c>
      <c r="H152" s="9">
        <v>0.4459</v>
      </c>
      <c r="I152" s="9">
        <v>0.4469</v>
      </c>
      <c r="J152" s="9">
        <v>0.4479</v>
      </c>
      <c r="K152" s="9">
        <v>0.449</v>
      </c>
      <c r="L152" s="9">
        <v>0.45</v>
      </c>
      <c r="M152" s="9">
        <v>0.4515</v>
      </c>
      <c r="N152" s="9">
        <v>0.453</v>
      </c>
      <c r="O152" s="9">
        <v>0.4544</v>
      </c>
      <c r="P152" s="9">
        <v>0.4558</v>
      </c>
      <c r="Q152" s="9">
        <v>0.4571</v>
      </c>
      <c r="R152" s="9">
        <v>0.4584</v>
      </c>
      <c r="S152" s="9">
        <v>0.4596</v>
      </c>
      <c r="T152" s="9">
        <v>0.4608</v>
      </c>
      <c r="U152" s="9">
        <v>0.462</v>
      </c>
      <c r="V152" s="9">
        <v>0.4631</v>
      </c>
      <c r="W152" s="9">
        <v>0.4719</v>
      </c>
      <c r="X152" s="9">
        <v>0.4805</v>
      </c>
      <c r="Y152" s="9">
        <v>0.489</v>
      </c>
      <c r="Z152" s="9">
        <v>0.4972</v>
      </c>
      <c r="AA152" s="9">
        <v>0.5052</v>
      </c>
      <c r="AB152" s="9">
        <v>0.5131</v>
      </c>
      <c r="AC152" s="9">
        <v>0.5207</v>
      </c>
      <c r="AD152" s="9">
        <v>0.5282</v>
      </c>
      <c r="AE152" s="9">
        <v>0.5356</v>
      </c>
      <c r="AF152" s="9">
        <v>0.5428</v>
      </c>
      <c r="AG152" s="9">
        <v>0.5447</v>
      </c>
      <c r="AH152" s="9">
        <v>0.5466</v>
      </c>
      <c r="AI152" s="9">
        <v>0.5483</v>
      </c>
      <c r="AJ152" s="9">
        <v>0.55</v>
      </c>
      <c r="AK152" s="9">
        <v>0.5516</v>
      </c>
      <c r="AL152" s="9">
        <v>0.5531</v>
      </c>
      <c r="AM152" s="9">
        <v>0.5546</v>
      </c>
      <c r="AN152" s="9">
        <v>0.556</v>
      </c>
      <c r="AO152" s="9">
        <v>0.5574</v>
      </c>
      <c r="AP152" s="9">
        <v>0.5587</v>
      </c>
      <c r="AQ152" s="9">
        <v>0.5587</v>
      </c>
      <c r="AR152" s="9">
        <v>0.5587</v>
      </c>
      <c r="AS152" s="9">
        <v>0.5587</v>
      </c>
      <c r="AT152" s="9">
        <v>0.5587</v>
      </c>
    </row>
    <row r="153" ht="14.25" customHeight="1">
      <c r="A153" s="2" t="s">
        <v>296</v>
      </c>
      <c r="B153" s="9">
        <v>0.5056</v>
      </c>
      <c r="C153" s="9">
        <v>0.5067</v>
      </c>
      <c r="D153" s="9">
        <v>0.5116</v>
      </c>
      <c r="E153" s="9">
        <v>0.5225</v>
      </c>
      <c r="F153" s="9">
        <v>0.5168</v>
      </c>
      <c r="G153" s="9">
        <v>0.5047</v>
      </c>
      <c r="H153" s="9">
        <v>0.4922</v>
      </c>
      <c r="I153" s="9">
        <v>0.4878</v>
      </c>
      <c r="J153" s="9">
        <v>0.4937</v>
      </c>
      <c r="K153" s="9">
        <v>0.5138</v>
      </c>
      <c r="L153" s="9">
        <v>0.5363</v>
      </c>
      <c r="M153" s="9">
        <v>0.5283</v>
      </c>
      <c r="N153" s="9">
        <v>0.5401</v>
      </c>
      <c r="O153" s="9">
        <v>0.5444</v>
      </c>
      <c r="P153" s="9">
        <v>0.5439</v>
      </c>
      <c r="Q153" s="9">
        <v>0.5447</v>
      </c>
      <c r="R153" s="9">
        <v>0.5337</v>
      </c>
      <c r="S153" s="9">
        <v>0.5434</v>
      </c>
      <c r="T153" s="9">
        <v>0.5571</v>
      </c>
      <c r="U153" s="9">
        <v>0.5253</v>
      </c>
      <c r="V153" s="9">
        <v>0.4929</v>
      </c>
      <c r="W153" s="9">
        <v>0.5025</v>
      </c>
      <c r="X153" s="9">
        <v>0.4798</v>
      </c>
      <c r="Y153" s="9">
        <v>0.4828</v>
      </c>
      <c r="Z153" s="9">
        <v>0.4968</v>
      </c>
      <c r="AA153" s="9">
        <v>0.4571</v>
      </c>
      <c r="AB153" s="9">
        <v>0.415</v>
      </c>
      <c r="AC153" s="9">
        <v>0.4221</v>
      </c>
      <c r="AD153" s="9">
        <v>0.4398</v>
      </c>
      <c r="AE153" s="9">
        <v>0.471</v>
      </c>
      <c r="AF153" s="9">
        <v>0.5107</v>
      </c>
      <c r="AG153" s="9">
        <v>0.4753</v>
      </c>
      <c r="AH153" s="9">
        <v>0.4422</v>
      </c>
      <c r="AI153" s="9">
        <v>0.4297</v>
      </c>
      <c r="AJ153" s="9">
        <v>0.4273</v>
      </c>
      <c r="AK153" s="9">
        <v>0.425</v>
      </c>
      <c r="AL153" s="9">
        <v>0.4226</v>
      </c>
      <c r="AM153" s="9">
        <v>0.4183</v>
      </c>
      <c r="AN153" s="9">
        <v>0.4046</v>
      </c>
      <c r="AO153" s="9">
        <v>0.4327</v>
      </c>
      <c r="AP153" s="9">
        <v>0.4732</v>
      </c>
      <c r="AQ153" s="9">
        <v>0.4915</v>
      </c>
      <c r="AR153" s="9">
        <v>0.454</v>
      </c>
      <c r="AS153" s="9">
        <v>0.454</v>
      </c>
      <c r="AT153" s="9">
        <v>0.454</v>
      </c>
    </row>
    <row r="154" ht="14.25" customHeight="1">
      <c r="A154" s="2" t="s">
        <v>297</v>
      </c>
      <c r="B154" s="9">
        <v>0.682</v>
      </c>
      <c r="C154" s="9">
        <v>0.682</v>
      </c>
      <c r="D154" s="9">
        <v>0.682</v>
      </c>
      <c r="E154" s="9">
        <v>0.682</v>
      </c>
      <c r="F154" s="9">
        <v>0.682</v>
      </c>
      <c r="G154" s="9">
        <v>0.682</v>
      </c>
      <c r="H154" s="9">
        <v>0.682</v>
      </c>
      <c r="I154" s="9">
        <v>0.682</v>
      </c>
      <c r="J154" s="9">
        <v>0.682</v>
      </c>
      <c r="K154" s="9">
        <v>0.682</v>
      </c>
      <c r="L154" s="9">
        <v>0.682</v>
      </c>
      <c r="M154" s="9">
        <v>0.682</v>
      </c>
      <c r="N154" s="9">
        <v>0.682</v>
      </c>
      <c r="O154" s="9">
        <v>0.682</v>
      </c>
      <c r="P154" s="9">
        <v>0.682</v>
      </c>
      <c r="Q154" s="9">
        <v>0.682</v>
      </c>
      <c r="R154" s="9">
        <v>0.682</v>
      </c>
      <c r="S154" s="9">
        <v>0.682</v>
      </c>
      <c r="T154" s="9">
        <v>0.682</v>
      </c>
      <c r="U154" s="9">
        <v>0.682</v>
      </c>
      <c r="V154" s="9">
        <v>0.682</v>
      </c>
      <c r="W154" s="9">
        <v>0.6903</v>
      </c>
      <c r="X154" s="9">
        <v>0.6885</v>
      </c>
      <c r="Y154" s="9">
        <v>0.6848</v>
      </c>
      <c r="Z154" s="9">
        <v>0.6817</v>
      </c>
      <c r="AA154" s="9">
        <v>0.6794</v>
      </c>
      <c r="AB154" s="9">
        <v>0.6749</v>
      </c>
      <c r="AC154" s="9">
        <v>0.6812</v>
      </c>
      <c r="AD154" s="9">
        <v>0.6744</v>
      </c>
      <c r="AE154" s="9">
        <v>0.6684</v>
      </c>
      <c r="AF154" s="9">
        <v>0.6678</v>
      </c>
      <c r="AG154" s="9">
        <v>0.6616</v>
      </c>
      <c r="AH154" s="9">
        <v>0.656</v>
      </c>
      <c r="AI154" s="9">
        <v>0.6594</v>
      </c>
      <c r="AJ154" s="9">
        <v>0.6552</v>
      </c>
      <c r="AK154" s="9">
        <v>0.6514</v>
      </c>
      <c r="AL154" s="9">
        <v>0.6525</v>
      </c>
      <c r="AM154" s="9">
        <v>0.653</v>
      </c>
      <c r="AN154" s="9">
        <v>0.655</v>
      </c>
      <c r="AO154" s="9">
        <v>0.6523</v>
      </c>
      <c r="AP154" s="9">
        <v>0.6739</v>
      </c>
      <c r="AQ154" s="9">
        <v>0.6609</v>
      </c>
      <c r="AR154" s="9">
        <v>0.6502</v>
      </c>
      <c r="AS154" s="9">
        <v>0.6505</v>
      </c>
      <c r="AT154" s="9">
        <v>0.6505</v>
      </c>
    </row>
    <row r="155" ht="14.25" customHeight="1">
      <c r="A155" s="2" t="s">
        <v>298</v>
      </c>
      <c r="B155" s="9">
        <v>0.554</v>
      </c>
      <c r="C155" s="9">
        <v>0.554</v>
      </c>
      <c r="D155" s="9">
        <v>0.554</v>
      </c>
      <c r="E155" s="9">
        <v>0.554</v>
      </c>
      <c r="F155" s="9">
        <v>0.554</v>
      </c>
      <c r="G155" s="9">
        <v>0.554</v>
      </c>
      <c r="H155" s="9">
        <v>0.554</v>
      </c>
      <c r="I155" s="9">
        <v>0.554</v>
      </c>
      <c r="J155" s="9">
        <v>0.554</v>
      </c>
      <c r="K155" s="9">
        <v>0.554</v>
      </c>
      <c r="L155" s="9">
        <v>0.554</v>
      </c>
      <c r="M155" s="9">
        <v>0.554</v>
      </c>
      <c r="N155" s="9">
        <v>0.554</v>
      </c>
      <c r="O155" s="9">
        <v>0.5735</v>
      </c>
      <c r="P155" s="9">
        <v>0.5929</v>
      </c>
      <c r="Q155" s="9">
        <v>0.5964</v>
      </c>
      <c r="R155" s="9">
        <v>0.6</v>
      </c>
      <c r="S155" s="9">
        <v>0.6035</v>
      </c>
      <c r="T155" s="9">
        <v>0.6071</v>
      </c>
      <c r="U155" s="9">
        <v>0.6106</v>
      </c>
      <c r="V155" s="9">
        <v>0.6142</v>
      </c>
      <c r="W155" s="9">
        <v>0.6177</v>
      </c>
      <c r="X155" s="9">
        <v>0.6212</v>
      </c>
      <c r="Y155" s="9">
        <v>0.6248</v>
      </c>
      <c r="Z155" s="9">
        <v>0.6283</v>
      </c>
      <c r="AA155" s="9">
        <v>0.6319</v>
      </c>
      <c r="AB155" s="9">
        <v>0.5997</v>
      </c>
      <c r="AC155" s="9">
        <v>0.5674</v>
      </c>
      <c r="AD155" s="9">
        <v>0.5521</v>
      </c>
      <c r="AE155" s="9">
        <v>0.5368</v>
      </c>
      <c r="AF155" s="9">
        <v>0.5215</v>
      </c>
      <c r="AG155" s="9">
        <v>0.5061</v>
      </c>
      <c r="AH155" s="9">
        <v>0.5117</v>
      </c>
      <c r="AI155" s="9">
        <v>0.5173</v>
      </c>
      <c r="AJ155" s="9">
        <v>0.5228</v>
      </c>
      <c r="AK155" s="9">
        <v>0.5336</v>
      </c>
      <c r="AL155" s="9">
        <v>0.5444</v>
      </c>
      <c r="AM155" s="9">
        <v>0.5552</v>
      </c>
      <c r="AN155" s="9">
        <v>0.566</v>
      </c>
      <c r="AO155" s="9">
        <v>0.552</v>
      </c>
      <c r="AP155" s="9">
        <v>0.5381</v>
      </c>
      <c r="AQ155" s="9">
        <v>0.5242</v>
      </c>
      <c r="AR155" s="9">
        <v>0.5242</v>
      </c>
      <c r="AS155" s="9">
        <v>0.5242</v>
      </c>
      <c r="AT155" s="9">
        <v>0.5242</v>
      </c>
    </row>
    <row r="156" ht="14.25" customHeight="1">
      <c r="A156" s="2" t="s">
        <v>299</v>
      </c>
      <c r="B156" s="9">
        <v>0.5478</v>
      </c>
      <c r="C156" s="9">
        <v>0.5478</v>
      </c>
      <c r="D156" s="9">
        <v>0.5478</v>
      </c>
      <c r="E156" s="9">
        <v>0.5478</v>
      </c>
      <c r="F156" s="9">
        <v>0.5478</v>
      </c>
      <c r="G156" s="9">
        <v>0.5478</v>
      </c>
      <c r="H156" s="9">
        <v>0.5547</v>
      </c>
      <c r="I156" s="9">
        <v>0.5616</v>
      </c>
      <c r="J156" s="9">
        <v>0.5685</v>
      </c>
      <c r="K156" s="9">
        <v>0.5754</v>
      </c>
      <c r="L156" s="9">
        <v>0.5823</v>
      </c>
      <c r="M156" s="9">
        <v>0.5892</v>
      </c>
      <c r="N156" s="9">
        <v>0.5961</v>
      </c>
      <c r="O156" s="9">
        <v>0.5936</v>
      </c>
      <c r="P156" s="9">
        <v>0.591</v>
      </c>
      <c r="Q156" s="9">
        <v>0.5885</v>
      </c>
      <c r="R156" s="9">
        <v>0.5859</v>
      </c>
      <c r="S156" s="9">
        <v>0.5834</v>
      </c>
      <c r="T156" s="9">
        <v>0.5808</v>
      </c>
      <c r="U156" s="9">
        <v>0.5783</v>
      </c>
      <c r="V156" s="9">
        <v>0.5757</v>
      </c>
      <c r="W156" s="9">
        <v>0.5732</v>
      </c>
      <c r="X156" s="9">
        <v>0.5706</v>
      </c>
      <c r="Y156" s="9">
        <v>0.5681</v>
      </c>
      <c r="Z156" s="9">
        <v>0.5622</v>
      </c>
      <c r="AA156" s="9">
        <v>0.5562</v>
      </c>
      <c r="AB156" s="9">
        <v>0.5503</v>
      </c>
      <c r="AC156" s="9">
        <v>0.5444</v>
      </c>
      <c r="AD156" s="9">
        <v>0.5385</v>
      </c>
      <c r="AE156" s="9">
        <v>0.5325</v>
      </c>
      <c r="AF156" s="9">
        <v>0.5266</v>
      </c>
      <c r="AG156" s="9">
        <v>0.5259</v>
      </c>
      <c r="AH156" s="9">
        <v>0.5252</v>
      </c>
      <c r="AI156" s="9">
        <v>0.5263</v>
      </c>
      <c r="AJ156" s="9">
        <v>0.5274</v>
      </c>
      <c r="AK156" s="9">
        <v>0.5285</v>
      </c>
      <c r="AL156" s="9">
        <v>0.5276</v>
      </c>
      <c r="AM156" s="9">
        <v>0.5266</v>
      </c>
      <c r="AN156" s="9">
        <v>0.5256</v>
      </c>
      <c r="AO156" s="9">
        <v>0.5236</v>
      </c>
      <c r="AP156" s="9">
        <v>0.5215</v>
      </c>
      <c r="AQ156" s="9">
        <v>0.5194</v>
      </c>
      <c r="AR156" s="9">
        <v>0.5173</v>
      </c>
      <c r="AS156" s="9">
        <v>0.5173</v>
      </c>
      <c r="AT156" s="9">
        <v>0.5173</v>
      </c>
    </row>
    <row r="157" ht="14.25" customHeight="1">
      <c r="A157" s="2" t="s">
        <v>300</v>
      </c>
      <c r="B157" s="9">
        <v>0.4635</v>
      </c>
      <c r="C157" s="9">
        <v>0.4688</v>
      </c>
      <c r="D157" s="9">
        <v>0.4751</v>
      </c>
      <c r="E157" s="9">
        <v>0.4871</v>
      </c>
      <c r="F157" s="9">
        <v>0.4952</v>
      </c>
      <c r="G157" s="9">
        <v>0.4973</v>
      </c>
      <c r="H157" s="9">
        <v>0.499</v>
      </c>
      <c r="I157" s="9">
        <v>0.5077</v>
      </c>
      <c r="J157" s="9">
        <v>0.5217</v>
      </c>
      <c r="K157" s="9">
        <v>0.5186</v>
      </c>
      <c r="L157" s="9">
        <v>0.5198</v>
      </c>
      <c r="M157" s="9">
        <v>0.5225</v>
      </c>
      <c r="N157" s="9">
        <v>0.5336</v>
      </c>
      <c r="O157" s="9">
        <v>0.5326</v>
      </c>
      <c r="P157" s="9">
        <v>0.532</v>
      </c>
      <c r="Q157" s="9">
        <v>0.5406</v>
      </c>
      <c r="R157" s="9">
        <v>0.5471</v>
      </c>
      <c r="S157" s="9">
        <v>0.5533</v>
      </c>
      <c r="T157" s="9">
        <v>0.5552</v>
      </c>
      <c r="U157" s="9">
        <v>0.5583</v>
      </c>
      <c r="V157" s="9">
        <v>0.5613</v>
      </c>
      <c r="W157" s="9">
        <v>0.5559</v>
      </c>
      <c r="X157" s="9">
        <v>0.553</v>
      </c>
      <c r="Y157" s="9">
        <v>0.5563</v>
      </c>
      <c r="Z157" s="9">
        <v>0.5632</v>
      </c>
      <c r="AA157" s="9">
        <v>0.5727</v>
      </c>
      <c r="AB157" s="9">
        <v>0.5775</v>
      </c>
      <c r="AC157" s="9">
        <v>0.5752</v>
      </c>
      <c r="AD157" s="9">
        <v>0.5729</v>
      </c>
      <c r="AE157" s="9">
        <v>0.5665</v>
      </c>
      <c r="AF157" s="9">
        <v>0.5762</v>
      </c>
      <c r="AG157" s="9">
        <v>0.5807</v>
      </c>
      <c r="AH157" s="9">
        <v>0.5908</v>
      </c>
      <c r="AI157" s="9">
        <v>0.5848</v>
      </c>
      <c r="AJ157" s="9">
        <v>0.5908</v>
      </c>
      <c r="AK157" s="9">
        <v>0.5899</v>
      </c>
      <c r="AL157" s="9">
        <v>0.5912</v>
      </c>
      <c r="AM157" s="9">
        <v>0.5872</v>
      </c>
      <c r="AN157" s="9">
        <v>0.5896</v>
      </c>
      <c r="AO157" s="9">
        <v>0.5871</v>
      </c>
      <c r="AP157" s="9">
        <v>0.5811</v>
      </c>
      <c r="AQ157" s="9">
        <v>0.5908</v>
      </c>
      <c r="AR157" s="9">
        <v>0.5972</v>
      </c>
      <c r="AS157" s="9">
        <v>0.5967</v>
      </c>
      <c r="AT157" s="9">
        <v>0.5969</v>
      </c>
    </row>
    <row r="158" ht="14.25" customHeight="1">
      <c r="A158" s="2" t="s">
        <v>301</v>
      </c>
      <c r="B158" s="9">
        <v>0.4593</v>
      </c>
      <c r="C158" s="9">
        <v>0.4644</v>
      </c>
      <c r="D158" s="9">
        <v>0.471</v>
      </c>
      <c r="E158" s="9">
        <v>0.4825</v>
      </c>
      <c r="F158" s="9">
        <v>0.4911</v>
      </c>
      <c r="G158" s="9">
        <v>0.493</v>
      </c>
      <c r="H158" s="9">
        <v>0.4958</v>
      </c>
      <c r="I158" s="9">
        <v>0.5036</v>
      </c>
      <c r="J158" s="9">
        <v>0.5166</v>
      </c>
      <c r="K158" s="9">
        <v>0.5139</v>
      </c>
      <c r="L158" s="9">
        <v>0.5166</v>
      </c>
      <c r="M158" s="9">
        <v>0.5171</v>
      </c>
      <c r="N158" s="9">
        <v>0.5298</v>
      </c>
      <c r="O158" s="9">
        <v>0.5279</v>
      </c>
      <c r="P158" s="9">
        <v>0.5279</v>
      </c>
      <c r="Q158" s="9">
        <v>0.5361</v>
      </c>
      <c r="R158" s="9">
        <v>0.5427</v>
      </c>
      <c r="S158" s="9">
        <v>0.5493</v>
      </c>
      <c r="T158" s="9">
        <v>0.5514</v>
      </c>
      <c r="U158" s="9">
        <v>0.5539</v>
      </c>
      <c r="V158" s="9">
        <v>0.5577</v>
      </c>
      <c r="W158" s="9">
        <v>0.551</v>
      </c>
      <c r="X158" s="9">
        <v>0.5483</v>
      </c>
      <c r="Y158" s="9">
        <v>0.5521</v>
      </c>
      <c r="Z158" s="9">
        <v>0.5588</v>
      </c>
      <c r="AA158" s="9">
        <v>0.5692</v>
      </c>
      <c r="AB158" s="9">
        <v>0.575</v>
      </c>
      <c r="AC158" s="9">
        <v>0.5719</v>
      </c>
      <c r="AD158" s="9">
        <v>0.5698</v>
      </c>
      <c r="AE158" s="9">
        <v>0.564</v>
      </c>
      <c r="AF158" s="9">
        <v>0.5738</v>
      </c>
      <c r="AG158" s="9">
        <v>0.5762</v>
      </c>
      <c r="AH158" s="9">
        <v>0.586</v>
      </c>
      <c r="AI158" s="9">
        <v>0.5809</v>
      </c>
      <c r="AJ158" s="9">
        <v>0.5863</v>
      </c>
      <c r="AK158" s="9">
        <v>0.5867</v>
      </c>
      <c r="AL158" s="9">
        <v>0.5872</v>
      </c>
      <c r="AM158" s="9">
        <v>0.5838</v>
      </c>
      <c r="AN158" s="9">
        <v>0.5868</v>
      </c>
      <c r="AO158" s="9">
        <v>0.5845</v>
      </c>
      <c r="AP158" s="9">
        <v>0.5791</v>
      </c>
      <c r="AQ158" s="9">
        <v>0.5884</v>
      </c>
      <c r="AR158" s="9">
        <v>0.5934</v>
      </c>
      <c r="AS158" s="9">
        <v>0.5923</v>
      </c>
      <c r="AT158" s="9">
        <v>0.5923</v>
      </c>
    </row>
    <row r="159" ht="14.25" customHeight="1">
      <c r="A159" s="2" t="s">
        <v>302</v>
      </c>
      <c r="B159" s="9">
        <v>0.4507</v>
      </c>
      <c r="C159" s="9">
        <v>0.4562</v>
      </c>
      <c r="D159" s="9">
        <v>0.4633</v>
      </c>
      <c r="E159" s="9">
        <v>0.4761</v>
      </c>
      <c r="F159" s="9">
        <v>0.4848</v>
      </c>
      <c r="G159" s="9">
        <v>0.4866</v>
      </c>
      <c r="H159" s="9">
        <v>0.4884</v>
      </c>
      <c r="I159" s="9">
        <v>0.4962</v>
      </c>
      <c r="J159" s="9">
        <v>0.5099</v>
      </c>
      <c r="K159" s="9">
        <v>0.5075</v>
      </c>
      <c r="L159" s="9">
        <v>0.511</v>
      </c>
      <c r="M159" s="9">
        <v>0.5111</v>
      </c>
      <c r="N159" s="9">
        <v>0.5238</v>
      </c>
      <c r="O159" s="9">
        <v>0.5214</v>
      </c>
      <c r="P159" s="9">
        <v>0.5202</v>
      </c>
      <c r="Q159" s="9">
        <v>0.5282</v>
      </c>
      <c r="R159" s="9">
        <v>0.5359</v>
      </c>
      <c r="S159" s="9">
        <v>0.5418</v>
      </c>
      <c r="T159" s="9">
        <v>0.5435</v>
      </c>
      <c r="U159" s="9">
        <v>0.5468</v>
      </c>
      <c r="V159" s="9">
        <v>0.5498</v>
      </c>
      <c r="W159" s="9">
        <v>0.5441</v>
      </c>
      <c r="X159" s="9">
        <v>0.5399</v>
      </c>
      <c r="Y159" s="9">
        <v>0.5445</v>
      </c>
      <c r="Z159" s="9">
        <v>0.5512</v>
      </c>
      <c r="AA159" s="9">
        <v>0.5616</v>
      </c>
      <c r="AB159" s="9">
        <v>0.5675</v>
      </c>
      <c r="AC159" s="9">
        <v>0.5642</v>
      </c>
      <c r="AD159" s="9">
        <v>0.5621</v>
      </c>
      <c r="AE159" s="9">
        <v>0.5566</v>
      </c>
      <c r="AF159" s="9">
        <v>0.567</v>
      </c>
      <c r="AG159" s="9">
        <v>0.5713</v>
      </c>
      <c r="AH159" s="9">
        <v>0.5816</v>
      </c>
      <c r="AI159" s="9">
        <v>0.5752</v>
      </c>
      <c r="AJ159" s="9">
        <v>0.581</v>
      </c>
      <c r="AK159" s="9">
        <v>0.5808</v>
      </c>
      <c r="AL159" s="9">
        <v>0.582</v>
      </c>
      <c r="AM159" s="9">
        <v>0.5778</v>
      </c>
      <c r="AN159" s="9">
        <v>0.5811</v>
      </c>
      <c r="AO159" s="9">
        <v>0.5786</v>
      </c>
      <c r="AP159" s="9">
        <v>0.5738</v>
      </c>
      <c r="AQ159" s="9">
        <v>0.5819</v>
      </c>
      <c r="AR159" s="9">
        <v>0.5874</v>
      </c>
      <c r="AS159" s="9">
        <v>0.5865</v>
      </c>
      <c r="AT159" s="9">
        <v>0.5866</v>
      </c>
    </row>
    <row r="160" ht="14.25" customHeight="1">
      <c r="A160" s="2" t="s">
        <v>303</v>
      </c>
      <c r="B160" s="9">
        <v>0.4547</v>
      </c>
      <c r="C160" s="9">
        <v>0.4586</v>
      </c>
      <c r="D160" s="9">
        <v>0.4644</v>
      </c>
      <c r="E160" s="9">
        <v>0.4757</v>
      </c>
      <c r="F160" s="9">
        <v>0.4837</v>
      </c>
      <c r="G160" s="9">
        <v>0.4856</v>
      </c>
      <c r="H160" s="9">
        <v>0.4871</v>
      </c>
      <c r="I160" s="9">
        <v>0.4955</v>
      </c>
      <c r="J160" s="9">
        <v>0.5096</v>
      </c>
      <c r="K160" s="9">
        <v>0.5056</v>
      </c>
      <c r="L160" s="9">
        <v>0.5074</v>
      </c>
      <c r="M160" s="9">
        <v>0.5066</v>
      </c>
      <c r="N160" s="9">
        <v>0.5186</v>
      </c>
      <c r="O160" s="9">
        <v>0.517</v>
      </c>
      <c r="P160" s="9">
        <v>0.5161</v>
      </c>
      <c r="Q160" s="9">
        <v>0.5242</v>
      </c>
      <c r="R160" s="9">
        <v>0.5321</v>
      </c>
      <c r="S160" s="9">
        <v>0.5383</v>
      </c>
      <c r="T160" s="9">
        <v>0.54</v>
      </c>
      <c r="U160" s="9">
        <v>0.5429</v>
      </c>
      <c r="V160" s="9">
        <v>0.5466</v>
      </c>
      <c r="W160" s="9">
        <v>0.5406</v>
      </c>
      <c r="X160" s="9">
        <v>0.5362</v>
      </c>
      <c r="Y160" s="9">
        <v>0.5411</v>
      </c>
      <c r="Z160" s="9">
        <v>0.5477</v>
      </c>
      <c r="AA160" s="9">
        <v>0.5578</v>
      </c>
      <c r="AB160" s="9">
        <v>0.5636</v>
      </c>
      <c r="AC160" s="9">
        <v>0.5606</v>
      </c>
      <c r="AD160" s="9">
        <v>0.5581</v>
      </c>
      <c r="AE160" s="9">
        <v>0.5522</v>
      </c>
      <c r="AF160" s="9">
        <v>0.5631</v>
      </c>
      <c r="AG160" s="9">
        <v>0.5677</v>
      </c>
      <c r="AH160" s="9">
        <v>0.5769</v>
      </c>
      <c r="AI160" s="9">
        <v>0.572</v>
      </c>
      <c r="AJ160" s="9">
        <v>0.5783</v>
      </c>
      <c r="AK160" s="9">
        <v>0.5776</v>
      </c>
      <c r="AL160" s="9">
        <v>0.5776</v>
      </c>
      <c r="AM160" s="9">
        <v>0.5732</v>
      </c>
      <c r="AN160" s="9">
        <v>0.5762</v>
      </c>
      <c r="AO160" s="9">
        <v>0.5736</v>
      </c>
      <c r="AP160" s="9">
        <v>0.5694</v>
      </c>
      <c r="AQ160" s="9">
        <v>0.5786</v>
      </c>
      <c r="AR160" s="9">
        <v>0.5837</v>
      </c>
      <c r="AS160" s="9">
        <v>0.5824</v>
      </c>
      <c r="AT160" s="9">
        <v>0.5823</v>
      </c>
    </row>
    <row r="161" ht="14.25" customHeight="1">
      <c r="A161" s="2" t="s">
        <v>304</v>
      </c>
      <c r="B161" s="9">
        <v>0.4979</v>
      </c>
      <c r="C161" s="9">
        <v>0.4979</v>
      </c>
      <c r="D161" s="9">
        <v>0.4979</v>
      </c>
      <c r="E161" s="9">
        <v>0.4979</v>
      </c>
      <c r="F161" s="9">
        <v>0.4979</v>
      </c>
      <c r="G161" s="9">
        <v>0.4979</v>
      </c>
      <c r="H161" s="9">
        <v>0.4979</v>
      </c>
      <c r="I161" s="9">
        <v>0.4979</v>
      </c>
      <c r="J161" s="9">
        <v>0.4979</v>
      </c>
      <c r="K161" s="9">
        <v>0.4979</v>
      </c>
      <c r="L161" s="9">
        <v>0.4979</v>
      </c>
      <c r="M161" s="9">
        <v>0.5056</v>
      </c>
      <c r="N161" s="9">
        <v>0.5131</v>
      </c>
      <c r="O161" s="9">
        <v>0.5207</v>
      </c>
      <c r="P161" s="9">
        <v>0.524</v>
      </c>
      <c r="Q161" s="9">
        <v>0.5212</v>
      </c>
      <c r="R161" s="9">
        <v>0.5181</v>
      </c>
      <c r="S161" s="9">
        <v>0.5179</v>
      </c>
      <c r="T161" s="9">
        <v>0.5185</v>
      </c>
      <c r="U161" s="9">
        <v>0.5245</v>
      </c>
      <c r="V161" s="9">
        <v>0.5351</v>
      </c>
      <c r="W161" s="9">
        <v>0.5415</v>
      </c>
      <c r="X161" s="9">
        <v>0.5564</v>
      </c>
      <c r="Y161" s="9">
        <v>0.5582</v>
      </c>
      <c r="Z161" s="9">
        <v>0.5585</v>
      </c>
      <c r="AA161" s="9">
        <v>0.5594</v>
      </c>
      <c r="AB161" s="9">
        <v>0.5559</v>
      </c>
      <c r="AC161" s="9">
        <v>0.5577</v>
      </c>
      <c r="AD161" s="9">
        <v>0.5585</v>
      </c>
      <c r="AE161" s="9">
        <v>0.5685</v>
      </c>
      <c r="AF161" s="9">
        <v>0.575</v>
      </c>
      <c r="AG161" s="9">
        <v>0.5649</v>
      </c>
      <c r="AH161" s="9">
        <v>0.5521</v>
      </c>
      <c r="AI161" s="9">
        <v>0.5542</v>
      </c>
      <c r="AJ161" s="9">
        <v>0.5488</v>
      </c>
      <c r="AK161" s="9">
        <v>0.5503</v>
      </c>
      <c r="AL161" s="9">
        <v>0.5514</v>
      </c>
      <c r="AM161" s="9">
        <v>0.5514</v>
      </c>
      <c r="AN161" s="9">
        <v>0.5514</v>
      </c>
      <c r="AO161" s="9">
        <v>0.5514</v>
      </c>
      <c r="AP161" s="9">
        <v>0.5514</v>
      </c>
      <c r="AQ161" s="9">
        <v>0.5514</v>
      </c>
      <c r="AR161" s="9">
        <v>0.5514</v>
      </c>
      <c r="AS161" s="9">
        <v>0.5514</v>
      </c>
      <c r="AT161" s="9">
        <v>0.5514</v>
      </c>
    </row>
    <row r="162" ht="14.25" customHeight="1">
      <c r="A162" s="2" t="s">
        <v>305</v>
      </c>
      <c r="B162" s="9">
        <v>0.3669</v>
      </c>
      <c r="C162" s="9">
        <v>0.3669</v>
      </c>
      <c r="D162" s="9">
        <v>0.3669</v>
      </c>
      <c r="E162" s="9">
        <v>0.3669</v>
      </c>
      <c r="F162" s="9">
        <v>0.3776</v>
      </c>
      <c r="G162" s="9">
        <v>0.3737</v>
      </c>
      <c r="H162" s="9">
        <v>0.3775</v>
      </c>
      <c r="I162" s="9">
        <v>0.3806</v>
      </c>
      <c r="J162" s="9">
        <v>0.4084</v>
      </c>
      <c r="K162" s="9">
        <v>0.3708</v>
      </c>
      <c r="L162" s="9">
        <v>0.3655</v>
      </c>
      <c r="M162" s="9">
        <v>0.3849</v>
      </c>
      <c r="N162" s="9">
        <v>0.4042</v>
      </c>
      <c r="O162" s="9">
        <v>0.424</v>
      </c>
      <c r="P162" s="9">
        <v>0.4437</v>
      </c>
      <c r="Q162" s="9">
        <v>0.464</v>
      </c>
      <c r="R162" s="9">
        <v>0.5185</v>
      </c>
      <c r="S162" s="9">
        <v>0.4811</v>
      </c>
      <c r="T162" s="9">
        <v>0.4717</v>
      </c>
      <c r="U162" s="9">
        <v>0.4686</v>
      </c>
      <c r="V162" s="9">
        <v>0.4533</v>
      </c>
      <c r="W162" s="9">
        <v>0.468</v>
      </c>
      <c r="X162" s="9">
        <v>0.4623</v>
      </c>
      <c r="Y162" s="9">
        <v>0.467</v>
      </c>
      <c r="Z162" s="9">
        <v>0.4628</v>
      </c>
      <c r="AA162" s="9">
        <v>0.4639</v>
      </c>
      <c r="AB162" s="9">
        <v>0.4665</v>
      </c>
      <c r="AC162" s="9">
        <v>0.4682</v>
      </c>
      <c r="AD162" s="9">
        <v>0.4817</v>
      </c>
      <c r="AE162" s="9">
        <v>0.482</v>
      </c>
      <c r="AF162" s="9">
        <v>0.484</v>
      </c>
      <c r="AG162" s="9">
        <v>0.4849</v>
      </c>
      <c r="AH162" s="9">
        <v>0.4734</v>
      </c>
      <c r="AI162" s="9">
        <v>0.4681</v>
      </c>
      <c r="AJ162" s="9">
        <v>0.4507</v>
      </c>
      <c r="AK162" s="9">
        <v>0.4476</v>
      </c>
      <c r="AL162" s="9">
        <v>0.4448</v>
      </c>
      <c r="AM162" s="9">
        <v>0.4442</v>
      </c>
      <c r="AN162" s="9">
        <v>0.4293</v>
      </c>
      <c r="AO162" s="9">
        <v>0.4261</v>
      </c>
      <c r="AP162" s="9">
        <v>0.4261</v>
      </c>
      <c r="AQ162" s="9">
        <v>0.4259</v>
      </c>
      <c r="AR162" s="9">
        <v>0.4277</v>
      </c>
      <c r="AS162" s="9">
        <v>0.4267</v>
      </c>
      <c r="AT162" s="9">
        <v>0.4267</v>
      </c>
    </row>
    <row r="163" ht="14.25" customHeight="1">
      <c r="A163" s="2" t="s">
        <v>306</v>
      </c>
      <c r="B163" s="9">
        <v>0.3449</v>
      </c>
      <c r="C163" s="9">
        <v>0.3374</v>
      </c>
      <c r="D163" s="9">
        <v>0.3323</v>
      </c>
      <c r="E163" s="9">
        <v>0.3239</v>
      </c>
      <c r="F163" s="9">
        <v>0.3271</v>
      </c>
      <c r="G163" s="9">
        <v>0.3278</v>
      </c>
      <c r="H163" s="9">
        <v>0.2962</v>
      </c>
      <c r="I163" s="9">
        <v>0.2873</v>
      </c>
      <c r="J163" s="9">
        <v>0.2837</v>
      </c>
      <c r="K163" s="9">
        <v>0.2761</v>
      </c>
      <c r="L163" s="9">
        <v>0.2864</v>
      </c>
      <c r="M163" s="9">
        <v>0.2825</v>
      </c>
      <c r="N163" s="9">
        <v>0.2876</v>
      </c>
      <c r="O163" s="9">
        <v>0.3062</v>
      </c>
      <c r="P163" s="9">
        <v>0.3277</v>
      </c>
      <c r="Q163" s="9">
        <v>0.3271</v>
      </c>
      <c r="R163" s="9">
        <v>0.3451</v>
      </c>
      <c r="S163" s="9">
        <v>0.3616</v>
      </c>
      <c r="T163" s="9">
        <v>0.3347</v>
      </c>
      <c r="U163" s="9">
        <v>0.3455</v>
      </c>
      <c r="V163" s="9">
        <v>0.3767</v>
      </c>
      <c r="W163" s="9">
        <v>0.35</v>
      </c>
      <c r="X163" s="9">
        <v>0.3532</v>
      </c>
      <c r="Y163" s="9">
        <v>0.3625</v>
      </c>
      <c r="Z163" s="9">
        <v>0.3895</v>
      </c>
      <c r="AA163" s="9">
        <v>0.4333</v>
      </c>
      <c r="AB163" s="9">
        <v>0.3925</v>
      </c>
      <c r="AC163" s="9">
        <v>0.3891</v>
      </c>
      <c r="AD163" s="9">
        <v>0.391</v>
      </c>
      <c r="AE163" s="9">
        <v>0.3597</v>
      </c>
      <c r="AF163" s="9">
        <v>0.3789</v>
      </c>
      <c r="AG163" s="9">
        <v>0.3872</v>
      </c>
      <c r="AH163" s="9">
        <v>0.3901</v>
      </c>
      <c r="AI163" s="9">
        <v>0.3843</v>
      </c>
      <c r="AJ163" s="9">
        <v>0.386</v>
      </c>
      <c r="AK163" s="9">
        <v>0.3694</v>
      </c>
      <c r="AL163" s="9">
        <v>0.3711</v>
      </c>
      <c r="AM163" s="9">
        <v>0.3756</v>
      </c>
      <c r="AN163" s="9">
        <v>0.3835</v>
      </c>
      <c r="AO163" s="9">
        <v>0.3662</v>
      </c>
      <c r="AP163" s="9">
        <v>0.3662</v>
      </c>
      <c r="AQ163" s="9">
        <v>0.3694</v>
      </c>
      <c r="AR163" s="9">
        <v>0.3763</v>
      </c>
      <c r="AS163" s="9">
        <v>0.3761</v>
      </c>
      <c r="AT163" s="9">
        <v>0.3761</v>
      </c>
    </row>
    <row r="164" ht="14.25" customHeight="1">
      <c r="A164" s="2" t="s">
        <v>307</v>
      </c>
      <c r="B164" s="9">
        <v>0.5328</v>
      </c>
      <c r="C164" s="9">
        <v>0.5339</v>
      </c>
      <c r="D164" s="9">
        <v>0.5379</v>
      </c>
      <c r="E164" s="9">
        <v>0.5362</v>
      </c>
      <c r="F164" s="9">
        <v>0.5396</v>
      </c>
      <c r="G164" s="9">
        <v>0.5406</v>
      </c>
      <c r="H164" s="9">
        <v>0.5461</v>
      </c>
      <c r="I164" s="9">
        <v>0.5562</v>
      </c>
      <c r="J164" s="9">
        <v>0.5663</v>
      </c>
      <c r="K164" s="9">
        <v>0.5579</v>
      </c>
      <c r="L164" s="9">
        <v>0.5586</v>
      </c>
      <c r="M164" s="9">
        <v>0.5649</v>
      </c>
      <c r="N164" s="9">
        <v>0.5638</v>
      </c>
      <c r="O164" s="9">
        <v>0.5694</v>
      </c>
      <c r="P164" s="9">
        <v>0.5735</v>
      </c>
      <c r="Q164" s="9">
        <v>0.5791</v>
      </c>
      <c r="R164" s="9">
        <v>0.5783</v>
      </c>
      <c r="S164" s="9">
        <v>0.5817</v>
      </c>
      <c r="T164" s="9">
        <v>0.591</v>
      </c>
      <c r="U164" s="9">
        <v>0.5922</v>
      </c>
      <c r="V164" s="9">
        <v>0.5927</v>
      </c>
      <c r="W164" s="9">
        <v>0.5917</v>
      </c>
      <c r="X164" s="9">
        <v>0.6011</v>
      </c>
      <c r="Y164" s="9">
        <v>0.6008</v>
      </c>
      <c r="Z164" s="9">
        <v>0.606</v>
      </c>
      <c r="AA164" s="9">
        <v>0.6067</v>
      </c>
      <c r="AB164" s="9">
        <v>0.6039</v>
      </c>
      <c r="AC164" s="9">
        <v>0.6036</v>
      </c>
      <c r="AD164" s="9">
        <v>0.614</v>
      </c>
      <c r="AE164" s="9">
        <v>0.6171</v>
      </c>
      <c r="AF164" s="9">
        <v>0.6204</v>
      </c>
      <c r="AG164" s="9">
        <v>0.62</v>
      </c>
      <c r="AH164" s="9">
        <v>0.616</v>
      </c>
      <c r="AI164" s="9">
        <v>0.615</v>
      </c>
      <c r="AJ164" s="9">
        <v>0.6144</v>
      </c>
      <c r="AK164" s="9">
        <v>0.6153</v>
      </c>
      <c r="AL164" s="9">
        <v>0.6111</v>
      </c>
      <c r="AM164" s="9">
        <v>0.6141</v>
      </c>
      <c r="AN164" s="9">
        <v>0.6083</v>
      </c>
      <c r="AO164" s="9">
        <v>0.6134</v>
      </c>
      <c r="AP164" s="9">
        <v>0.6168</v>
      </c>
      <c r="AQ164" s="9">
        <v>0.6289</v>
      </c>
      <c r="AR164" s="9">
        <v>0.6255</v>
      </c>
      <c r="AS164" s="9">
        <v>0.6259</v>
      </c>
      <c r="AT164" s="9">
        <v>0.6239</v>
      </c>
    </row>
    <row r="165" ht="14.25" customHeight="1">
      <c r="A165" s="2" t="s">
        <v>308</v>
      </c>
      <c r="B165" s="9">
        <v>0.5221</v>
      </c>
      <c r="C165" s="9">
        <v>0.524</v>
      </c>
      <c r="D165" s="9">
        <v>0.5272</v>
      </c>
      <c r="E165" s="9">
        <v>0.5261</v>
      </c>
      <c r="F165" s="9">
        <v>0.5291</v>
      </c>
      <c r="G165" s="9">
        <v>0.5313</v>
      </c>
      <c r="H165" s="9">
        <v>0.5352</v>
      </c>
      <c r="I165" s="9">
        <v>0.5458</v>
      </c>
      <c r="J165" s="9">
        <v>0.5559</v>
      </c>
      <c r="K165" s="9">
        <v>0.548</v>
      </c>
      <c r="L165" s="9">
        <v>0.5485</v>
      </c>
      <c r="M165" s="9">
        <v>0.5539</v>
      </c>
      <c r="N165" s="9">
        <v>0.5524</v>
      </c>
      <c r="O165" s="9">
        <v>0.5575</v>
      </c>
      <c r="P165" s="9">
        <v>0.5616</v>
      </c>
      <c r="Q165" s="9">
        <v>0.5672</v>
      </c>
      <c r="R165" s="9">
        <v>0.5667</v>
      </c>
      <c r="S165" s="9">
        <v>0.5708</v>
      </c>
      <c r="T165" s="9">
        <v>0.5788</v>
      </c>
      <c r="U165" s="9">
        <v>0.5806</v>
      </c>
      <c r="V165" s="9">
        <v>0.582</v>
      </c>
      <c r="W165" s="9">
        <v>0.5807</v>
      </c>
      <c r="X165" s="9">
        <v>0.5907</v>
      </c>
      <c r="Y165" s="9">
        <v>0.5898</v>
      </c>
      <c r="Z165" s="9">
        <v>0.5956</v>
      </c>
      <c r="AA165" s="9">
        <v>0.5966</v>
      </c>
      <c r="AB165" s="9">
        <v>0.5936</v>
      </c>
      <c r="AC165" s="9">
        <v>0.5942</v>
      </c>
      <c r="AD165" s="9">
        <v>0.6036</v>
      </c>
      <c r="AE165" s="9">
        <v>0.607</v>
      </c>
      <c r="AF165" s="9">
        <v>0.61</v>
      </c>
      <c r="AG165" s="9">
        <v>0.6125</v>
      </c>
      <c r="AH165" s="9">
        <v>0.6063</v>
      </c>
      <c r="AI165" s="9">
        <v>0.6049</v>
      </c>
      <c r="AJ165" s="9">
        <v>0.6036</v>
      </c>
      <c r="AK165" s="9">
        <v>0.6044</v>
      </c>
      <c r="AL165" s="9">
        <v>0.6002</v>
      </c>
      <c r="AM165" s="9">
        <v>0.6018</v>
      </c>
      <c r="AN165" s="9">
        <v>0.5974</v>
      </c>
      <c r="AO165" s="9">
        <v>0.6025</v>
      </c>
      <c r="AP165" s="9">
        <v>0.6093</v>
      </c>
      <c r="AQ165" s="9">
        <v>0.618</v>
      </c>
      <c r="AR165" s="9">
        <v>0.6169</v>
      </c>
      <c r="AS165" s="9">
        <v>0.6171</v>
      </c>
      <c r="AT165" s="9">
        <v>0.6167</v>
      </c>
    </row>
    <row r="166" ht="14.25" customHeight="1">
      <c r="A166" s="2" t="s">
        <v>309</v>
      </c>
      <c r="B166" s="9">
        <v>0.6677</v>
      </c>
      <c r="C166" s="9">
        <v>0.6677</v>
      </c>
      <c r="D166" s="9">
        <v>0.6677</v>
      </c>
      <c r="E166" s="9">
        <v>0.6677</v>
      </c>
      <c r="F166" s="9">
        <v>0.6677</v>
      </c>
      <c r="G166" s="9">
        <v>0.6677</v>
      </c>
      <c r="H166" s="9">
        <v>0.6677</v>
      </c>
      <c r="I166" s="9">
        <v>0.6677</v>
      </c>
      <c r="J166" s="9">
        <v>0.6677</v>
      </c>
      <c r="K166" s="9">
        <v>0.6677</v>
      </c>
      <c r="L166" s="9">
        <v>0.6677</v>
      </c>
      <c r="M166" s="9">
        <v>0.6677</v>
      </c>
      <c r="N166" s="9">
        <v>0.6677</v>
      </c>
      <c r="O166" s="9">
        <v>0.6677</v>
      </c>
      <c r="P166" s="9">
        <v>0.6677</v>
      </c>
      <c r="Q166" s="9">
        <v>0.6677</v>
      </c>
      <c r="R166" s="9">
        <v>0.6677</v>
      </c>
      <c r="S166" s="9">
        <v>0.6677</v>
      </c>
      <c r="T166" s="9">
        <v>0.6677</v>
      </c>
      <c r="U166" s="9">
        <v>0.6677</v>
      </c>
      <c r="V166" s="9">
        <v>0.6677</v>
      </c>
      <c r="W166" s="9">
        <v>0.6677</v>
      </c>
      <c r="X166" s="9">
        <v>0.6677</v>
      </c>
      <c r="Y166" s="9">
        <v>0.6677</v>
      </c>
      <c r="Z166" s="9">
        <v>0.6677</v>
      </c>
      <c r="AA166" s="9">
        <v>0.6677</v>
      </c>
      <c r="AB166" s="9">
        <v>0.6677</v>
      </c>
      <c r="AC166" s="9">
        <v>0.6677</v>
      </c>
      <c r="AD166" s="9">
        <v>0.6677</v>
      </c>
      <c r="AE166" s="9">
        <v>0.6677</v>
      </c>
      <c r="AF166" s="9">
        <v>0.6677</v>
      </c>
      <c r="AG166" s="9">
        <v>0.6677</v>
      </c>
      <c r="AH166" s="9">
        <v>0.6677</v>
      </c>
      <c r="AI166" s="9">
        <v>0.6677</v>
      </c>
      <c r="AJ166" s="9">
        <v>0.6677</v>
      </c>
      <c r="AK166" s="9">
        <v>0.6677</v>
      </c>
      <c r="AL166" s="9">
        <v>0.6677</v>
      </c>
      <c r="AM166" s="9">
        <v>0.6677</v>
      </c>
      <c r="AN166" s="9">
        <v>0.6677</v>
      </c>
      <c r="AO166" s="9">
        <v>0.6677</v>
      </c>
      <c r="AP166" s="9">
        <v>0.6677</v>
      </c>
      <c r="AQ166" s="9">
        <v>0.6677</v>
      </c>
      <c r="AR166" s="9">
        <v>0.6677</v>
      </c>
      <c r="AS166" s="9">
        <v>0.6677</v>
      </c>
      <c r="AT166" s="9">
        <v>0.6677</v>
      </c>
    </row>
    <row r="167" ht="14.25" customHeight="1">
      <c r="A167" s="2" t="s">
        <v>310</v>
      </c>
      <c r="B167" s="9">
        <v>0.8656</v>
      </c>
      <c r="C167" s="9">
        <v>0.8661</v>
      </c>
      <c r="D167" s="9">
        <v>0.8669</v>
      </c>
      <c r="E167" s="9">
        <v>0.8684</v>
      </c>
      <c r="F167" s="9">
        <v>0.8714</v>
      </c>
      <c r="G167" s="9">
        <v>0.8717</v>
      </c>
      <c r="H167" s="9">
        <v>0.8757</v>
      </c>
      <c r="I167" s="9">
        <v>0.8811</v>
      </c>
      <c r="J167" s="9">
        <v>0.8822</v>
      </c>
      <c r="K167" s="9">
        <v>0.8839</v>
      </c>
      <c r="L167" s="9">
        <v>0.8878</v>
      </c>
      <c r="M167" s="9">
        <v>0.8908</v>
      </c>
      <c r="N167" s="9">
        <v>0.8907</v>
      </c>
      <c r="O167" s="9">
        <v>0.8912</v>
      </c>
      <c r="P167" s="9">
        <v>0.8922</v>
      </c>
      <c r="Q167" s="9">
        <v>0.8917</v>
      </c>
      <c r="R167" s="9">
        <v>0.8904</v>
      </c>
      <c r="S167" s="9">
        <v>0.8919</v>
      </c>
      <c r="T167" s="9">
        <v>0.8915</v>
      </c>
      <c r="U167" s="9">
        <v>0.8916</v>
      </c>
      <c r="V167" s="9">
        <v>0.8933</v>
      </c>
      <c r="W167" s="9">
        <v>0.894</v>
      </c>
      <c r="X167" s="9">
        <v>0.8967</v>
      </c>
      <c r="Y167" s="9">
        <v>0.8993</v>
      </c>
      <c r="Z167" s="9">
        <v>0.9008</v>
      </c>
      <c r="AA167" s="9">
        <v>0.9033</v>
      </c>
      <c r="AB167" s="9">
        <v>0.9062</v>
      </c>
      <c r="AC167" s="9">
        <v>0.9061</v>
      </c>
      <c r="AD167" s="9">
        <v>0.9058</v>
      </c>
      <c r="AE167" s="9">
        <v>0.9046</v>
      </c>
      <c r="AF167" s="9">
        <v>0.9057</v>
      </c>
      <c r="AG167" s="9">
        <v>0.9049</v>
      </c>
      <c r="AH167" s="9">
        <v>0.9027</v>
      </c>
      <c r="AI167" s="9">
        <v>0.9013</v>
      </c>
      <c r="AJ167" s="9">
        <v>0.8998</v>
      </c>
      <c r="AK167" s="9">
        <v>0.8989</v>
      </c>
      <c r="AL167" s="9">
        <v>0.8987</v>
      </c>
      <c r="AM167" s="9">
        <v>0.8995</v>
      </c>
      <c r="AN167" s="9">
        <v>0.8988</v>
      </c>
      <c r="AO167" s="9">
        <v>0.8983</v>
      </c>
      <c r="AP167" s="9">
        <v>0.8988</v>
      </c>
      <c r="AQ167" s="9">
        <v>0.901</v>
      </c>
      <c r="AR167" s="9">
        <v>0.9001</v>
      </c>
      <c r="AS167" s="9">
        <v>0.9003</v>
      </c>
      <c r="AT167" s="9">
        <v>0.9006</v>
      </c>
    </row>
    <row r="168" ht="14.25" customHeight="1">
      <c r="A168" s="2" t="s">
        <v>311</v>
      </c>
      <c r="B168" s="9">
        <v>0.581</v>
      </c>
      <c r="C168" s="9">
        <v>0.5859</v>
      </c>
      <c r="D168" s="9">
        <v>0.5853</v>
      </c>
      <c r="E168" s="9">
        <v>0.5915</v>
      </c>
      <c r="F168" s="9">
        <v>0.6024</v>
      </c>
      <c r="G168" s="9">
        <v>0.6004</v>
      </c>
      <c r="H168" s="9">
        <v>0.6148</v>
      </c>
      <c r="I168" s="9">
        <v>0.6344</v>
      </c>
      <c r="J168" s="9">
        <v>0.6446</v>
      </c>
      <c r="K168" s="9">
        <v>0.6466</v>
      </c>
      <c r="L168" s="9">
        <v>0.6601</v>
      </c>
      <c r="M168" s="9">
        <v>0.6822</v>
      </c>
      <c r="N168" s="9">
        <v>0.6967</v>
      </c>
      <c r="O168" s="9">
        <v>0.7128</v>
      </c>
      <c r="P168" s="9">
        <v>0.722</v>
      </c>
      <c r="Q168" s="9">
        <v>0.7277</v>
      </c>
      <c r="R168" s="9">
        <v>0.7309</v>
      </c>
      <c r="S168" s="9">
        <v>0.7453</v>
      </c>
      <c r="T168" s="9">
        <v>0.7386</v>
      </c>
      <c r="U168" s="9">
        <v>0.7343</v>
      </c>
      <c r="V168" s="9">
        <v>0.745</v>
      </c>
      <c r="W168" s="9">
        <v>0.7437</v>
      </c>
      <c r="X168" s="9">
        <v>0.7491</v>
      </c>
      <c r="Y168" s="9">
        <v>0.7558</v>
      </c>
      <c r="Z168" s="9">
        <v>0.7646</v>
      </c>
      <c r="AA168" s="9">
        <v>0.7706</v>
      </c>
      <c r="AB168" s="9">
        <v>0.7821</v>
      </c>
      <c r="AC168" s="9">
        <v>0.792</v>
      </c>
      <c r="AD168" s="9">
        <v>0.7919</v>
      </c>
      <c r="AE168" s="9">
        <v>0.787</v>
      </c>
      <c r="AF168" s="9">
        <v>0.7984</v>
      </c>
      <c r="AG168" s="9">
        <v>0.8006</v>
      </c>
      <c r="AH168" s="9">
        <v>0.796</v>
      </c>
      <c r="AI168" s="9">
        <v>0.7962</v>
      </c>
      <c r="AJ168" s="9">
        <v>0.7949</v>
      </c>
      <c r="AK168" s="9">
        <v>0.793</v>
      </c>
      <c r="AL168" s="9">
        <v>0.7906</v>
      </c>
      <c r="AM168" s="9">
        <v>0.8007</v>
      </c>
      <c r="AN168" s="9">
        <v>0.8061</v>
      </c>
      <c r="AO168" s="9">
        <v>0.8043</v>
      </c>
      <c r="AP168" s="9">
        <v>0.7992</v>
      </c>
      <c r="AQ168" s="9">
        <v>0.8083</v>
      </c>
      <c r="AR168" s="9">
        <v>0.8045</v>
      </c>
      <c r="AS168" s="9">
        <v>0.8093</v>
      </c>
      <c r="AT168" s="9">
        <v>0.8318</v>
      </c>
    </row>
    <row r="169" ht="14.25" customHeight="1">
      <c r="A169" s="2" t="s">
        <v>312</v>
      </c>
      <c r="B169" s="9">
        <v>0.7209</v>
      </c>
      <c r="C169" s="9">
        <v>0.7261</v>
      </c>
      <c r="D169" s="9">
        <v>0.7307</v>
      </c>
      <c r="E169" s="9">
        <v>0.7359</v>
      </c>
      <c r="F169" s="9">
        <v>0.7392</v>
      </c>
      <c r="G169" s="9">
        <v>0.7413</v>
      </c>
      <c r="H169" s="9">
        <v>0.743</v>
      </c>
      <c r="I169" s="9">
        <v>0.7401</v>
      </c>
      <c r="J169" s="9">
        <v>0.7444</v>
      </c>
      <c r="K169" s="9">
        <v>0.7472</v>
      </c>
      <c r="L169" s="9">
        <v>0.7465</v>
      </c>
      <c r="M169" s="9">
        <v>0.7336</v>
      </c>
      <c r="N169" s="9">
        <v>0.7294</v>
      </c>
      <c r="O169" s="9">
        <v>0.7245</v>
      </c>
      <c r="P169" s="9">
        <v>0.7248</v>
      </c>
      <c r="Q169" s="9">
        <v>0.7237</v>
      </c>
      <c r="R169" s="9">
        <v>0.7253</v>
      </c>
      <c r="S169" s="9">
        <v>0.7249</v>
      </c>
      <c r="T169" s="9">
        <v>0.7262</v>
      </c>
      <c r="U169" s="9">
        <v>0.7288</v>
      </c>
      <c r="V169" s="9">
        <v>0.7299</v>
      </c>
      <c r="W169" s="9">
        <v>0.7425</v>
      </c>
      <c r="X169" s="9">
        <v>0.7397</v>
      </c>
      <c r="Y169" s="9">
        <v>0.7454</v>
      </c>
      <c r="Z169" s="9">
        <v>0.7373</v>
      </c>
      <c r="AA169" s="9">
        <v>0.7319</v>
      </c>
      <c r="AB169" s="9">
        <v>0.7324</v>
      </c>
      <c r="AC169" s="9">
        <v>0.7355</v>
      </c>
      <c r="AD169" s="9">
        <v>0.7305</v>
      </c>
      <c r="AE169" s="9">
        <v>0.7273</v>
      </c>
      <c r="AF169" s="9">
        <v>0.7221</v>
      </c>
      <c r="AG169" s="9">
        <v>0.7155</v>
      </c>
      <c r="AH169" s="9">
        <v>0.7124</v>
      </c>
      <c r="AI169" s="9">
        <v>0.7136</v>
      </c>
      <c r="AJ169" s="9">
        <v>0.7104</v>
      </c>
      <c r="AK169" s="9">
        <v>0.7088</v>
      </c>
      <c r="AL169" s="9">
        <v>0.711</v>
      </c>
      <c r="AM169" s="9">
        <v>0.7164</v>
      </c>
      <c r="AN169" s="9">
        <v>0.7233</v>
      </c>
      <c r="AO169" s="9">
        <v>0.733</v>
      </c>
      <c r="AP169" s="9">
        <v>0.7541</v>
      </c>
      <c r="AQ169" s="9">
        <v>0.741</v>
      </c>
      <c r="AR169" s="9">
        <v>0.7328</v>
      </c>
      <c r="AS169" s="9">
        <v>0.7321</v>
      </c>
      <c r="AT169" s="9">
        <v>0.7347</v>
      </c>
    </row>
    <row r="170" ht="14.25" customHeight="1">
      <c r="A170" s="2" t="s">
        <v>313</v>
      </c>
      <c r="B170" s="9">
        <v>0.6949</v>
      </c>
      <c r="C170" s="9">
        <v>0.6962</v>
      </c>
      <c r="D170" s="9">
        <v>0.698</v>
      </c>
      <c r="E170" s="9">
        <v>0.6995</v>
      </c>
      <c r="F170" s="9">
        <v>0.7014</v>
      </c>
      <c r="G170" s="9">
        <v>0.703</v>
      </c>
      <c r="H170" s="9">
        <v>0.7042</v>
      </c>
      <c r="I170" s="9">
        <v>0.7039</v>
      </c>
      <c r="J170" s="9">
        <v>0.7056</v>
      </c>
      <c r="K170" s="9">
        <v>0.7084</v>
      </c>
      <c r="L170" s="9">
        <v>0.708</v>
      </c>
      <c r="M170" s="9">
        <v>0.6997</v>
      </c>
      <c r="N170" s="9">
        <v>0.6988</v>
      </c>
      <c r="O170" s="9">
        <v>0.6983</v>
      </c>
      <c r="P170" s="9">
        <v>0.6989</v>
      </c>
      <c r="Q170" s="9">
        <v>0.6973</v>
      </c>
      <c r="R170" s="9">
        <v>0.6979</v>
      </c>
      <c r="S170" s="9">
        <v>0.6978</v>
      </c>
      <c r="T170" s="9">
        <v>0.6992</v>
      </c>
      <c r="U170" s="9">
        <v>0.6999</v>
      </c>
      <c r="V170" s="9">
        <v>0.7012</v>
      </c>
      <c r="W170" s="9">
        <v>0.7151</v>
      </c>
      <c r="X170" s="9">
        <v>0.7131</v>
      </c>
      <c r="Y170" s="9">
        <v>0.7193</v>
      </c>
      <c r="Z170" s="9">
        <v>0.7078</v>
      </c>
      <c r="AA170" s="9">
        <v>0.7021</v>
      </c>
      <c r="AB170" s="9">
        <v>0.7009</v>
      </c>
      <c r="AC170" s="9">
        <v>0.7055</v>
      </c>
      <c r="AD170" s="9">
        <v>0.6995</v>
      </c>
      <c r="AE170" s="9">
        <v>0.6945</v>
      </c>
      <c r="AF170" s="9">
        <v>0.6937</v>
      </c>
      <c r="AG170" s="9">
        <v>0.686</v>
      </c>
      <c r="AH170" s="9">
        <v>0.6827</v>
      </c>
      <c r="AI170" s="9">
        <v>0.6864</v>
      </c>
      <c r="AJ170" s="9">
        <v>0.682</v>
      </c>
      <c r="AK170" s="9">
        <v>0.6809</v>
      </c>
      <c r="AL170" s="9">
        <v>0.6848</v>
      </c>
      <c r="AM170" s="9">
        <v>0.6916</v>
      </c>
      <c r="AN170" s="9">
        <v>0.6981</v>
      </c>
      <c r="AO170" s="9">
        <v>0.7034</v>
      </c>
      <c r="AP170" s="9">
        <v>0.7307</v>
      </c>
      <c r="AQ170" s="9">
        <v>0.7186</v>
      </c>
      <c r="AR170" s="9">
        <v>0.7066</v>
      </c>
      <c r="AS170" s="9">
        <v>0.7074</v>
      </c>
      <c r="AT170" s="9">
        <v>0.7117</v>
      </c>
    </row>
    <row r="171" ht="14.25" customHeight="1">
      <c r="A171" s="2" t="s">
        <v>314</v>
      </c>
      <c r="B171" s="9">
        <v>0.7446</v>
      </c>
      <c r="C171" s="9">
        <v>0.7445</v>
      </c>
      <c r="D171" s="9">
        <v>0.7466</v>
      </c>
      <c r="E171" s="9">
        <v>0.7491</v>
      </c>
      <c r="F171" s="9">
        <v>0.746</v>
      </c>
      <c r="G171" s="9">
        <v>0.7459</v>
      </c>
      <c r="H171" s="9">
        <v>0.7431</v>
      </c>
      <c r="I171" s="9">
        <v>0.7411</v>
      </c>
      <c r="J171" s="9">
        <v>0.7435</v>
      </c>
      <c r="K171" s="9">
        <v>0.7517</v>
      </c>
      <c r="L171" s="9">
        <v>0.7477</v>
      </c>
      <c r="M171" s="9">
        <v>0.7809</v>
      </c>
      <c r="N171" s="9">
        <v>0.7814</v>
      </c>
      <c r="O171" s="9">
        <v>0.7741</v>
      </c>
      <c r="P171" s="9">
        <v>0.7805</v>
      </c>
      <c r="Q171" s="9">
        <v>0.7903</v>
      </c>
      <c r="R171" s="9">
        <v>0.7798</v>
      </c>
      <c r="S171" s="9">
        <v>0.7788</v>
      </c>
      <c r="T171" s="9">
        <v>0.7702</v>
      </c>
      <c r="U171" s="9">
        <v>0.7608</v>
      </c>
      <c r="V171" s="9">
        <v>0.7635</v>
      </c>
      <c r="W171" s="9">
        <v>0.7641</v>
      </c>
      <c r="X171" s="9">
        <v>0.7671</v>
      </c>
      <c r="Y171" s="9">
        <v>0.7832</v>
      </c>
      <c r="Z171" s="9">
        <v>0.7751</v>
      </c>
      <c r="AA171" s="9">
        <v>0.7819</v>
      </c>
      <c r="AB171" s="9">
        <v>0.7794</v>
      </c>
      <c r="AC171" s="9">
        <v>0.778</v>
      </c>
      <c r="AD171" s="9">
        <v>0.7726</v>
      </c>
      <c r="AE171" s="9">
        <v>0.7693</v>
      </c>
      <c r="AF171" s="9">
        <v>0.7713</v>
      </c>
      <c r="AG171" s="9">
        <v>0.7799</v>
      </c>
      <c r="AH171" s="9">
        <v>0.7707</v>
      </c>
      <c r="AI171" s="9">
        <v>0.7668</v>
      </c>
      <c r="AJ171" s="9">
        <v>0.7677</v>
      </c>
      <c r="AK171" s="9">
        <v>0.7755</v>
      </c>
      <c r="AL171" s="9">
        <v>0.778</v>
      </c>
      <c r="AM171" s="9">
        <v>0.7811</v>
      </c>
      <c r="AN171" s="9">
        <v>0.784</v>
      </c>
      <c r="AO171" s="9">
        <v>0.7878</v>
      </c>
      <c r="AP171" s="9">
        <v>0.8005</v>
      </c>
      <c r="AQ171" s="9">
        <v>0.8047</v>
      </c>
      <c r="AR171" s="9">
        <v>0.8092</v>
      </c>
      <c r="AS171" s="9">
        <v>0.8132</v>
      </c>
      <c r="AT171" s="9">
        <v>0.8177</v>
      </c>
    </row>
    <row r="172" ht="14.25" customHeight="1">
      <c r="A172" s="2" t="s">
        <v>315</v>
      </c>
      <c r="B172" s="9">
        <v>0.7245</v>
      </c>
      <c r="C172" s="9">
        <v>0.7111</v>
      </c>
      <c r="D172" s="9">
        <v>0.7111</v>
      </c>
      <c r="E172" s="9">
        <v>0.7105</v>
      </c>
      <c r="F172" s="9">
        <v>0.7099</v>
      </c>
      <c r="G172" s="9">
        <v>0.7091</v>
      </c>
      <c r="H172" s="9">
        <v>0.7076</v>
      </c>
      <c r="I172" s="9">
        <v>0.7046</v>
      </c>
      <c r="J172" s="9">
        <v>0.7032</v>
      </c>
      <c r="K172" s="9">
        <v>0.7189</v>
      </c>
      <c r="L172" s="9">
        <v>0.7124</v>
      </c>
      <c r="M172" s="9">
        <v>0.7416</v>
      </c>
      <c r="N172" s="9">
        <v>0.7387</v>
      </c>
      <c r="O172" s="9">
        <v>0.7315</v>
      </c>
      <c r="P172" s="9">
        <v>0.7355</v>
      </c>
      <c r="Q172" s="9">
        <v>0.7444</v>
      </c>
      <c r="R172" s="9">
        <v>0.7303</v>
      </c>
      <c r="S172" s="9">
        <v>0.7288</v>
      </c>
      <c r="T172" s="9">
        <v>0.7196</v>
      </c>
      <c r="U172" s="9">
        <v>0.716</v>
      </c>
      <c r="V172" s="9">
        <v>0.7195</v>
      </c>
      <c r="W172" s="9">
        <v>0.7173</v>
      </c>
      <c r="X172" s="9">
        <v>0.7177</v>
      </c>
      <c r="Y172" s="9">
        <v>0.7344</v>
      </c>
      <c r="Z172" s="9">
        <v>0.7286</v>
      </c>
      <c r="AA172" s="9">
        <v>0.7365</v>
      </c>
      <c r="AB172" s="9">
        <v>0.7365</v>
      </c>
      <c r="AC172" s="9">
        <v>0.7391</v>
      </c>
      <c r="AD172" s="9">
        <v>0.7343</v>
      </c>
      <c r="AE172" s="9">
        <v>0.7267</v>
      </c>
      <c r="AF172" s="9">
        <v>0.7276</v>
      </c>
      <c r="AG172" s="9">
        <v>0.7321</v>
      </c>
      <c r="AH172" s="9">
        <v>0.7375</v>
      </c>
      <c r="AI172" s="9">
        <v>0.7326</v>
      </c>
      <c r="AJ172" s="9">
        <v>0.7291</v>
      </c>
      <c r="AK172" s="9">
        <v>0.7403</v>
      </c>
      <c r="AL172" s="9">
        <v>0.7452</v>
      </c>
      <c r="AM172" s="9">
        <v>0.7492</v>
      </c>
      <c r="AN172" s="9">
        <v>0.7534</v>
      </c>
      <c r="AO172" s="9">
        <v>0.7589</v>
      </c>
      <c r="AP172" s="9">
        <v>0.7692</v>
      </c>
      <c r="AQ172" s="9">
        <v>0.7746</v>
      </c>
      <c r="AR172" s="9">
        <v>0.781</v>
      </c>
      <c r="AS172" s="9">
        <v>0.7878</v>
      </c>
      <c r="AT172" s="9">
        <v>0.7957</v>
      </c>
    </row>
    <row r="173" ht="14.25" customHeight="1">
      <c r="A173" s="2" t="s">
        <v>316</v>
      </c>
      <c r="B173" s="9">
        <v>0.7253</v>
      </c>
      <c r="C173" s="9">
        <v>0.7237</v>
      </c>
      <c r="D173" s="9">
        <v>0.7256</v>
      </c>
      <c r="E173" s="9">
        <v>0.7253</v>
      </c>
      <c r="F173" s="9">
        <v>0.7245</v>
      </c>
      <c r="G173" s="9">
        <v>0.7272</v>
      </c>
      <c r="H173" s="9">
        <v>0.7264</v>
      </c>
      <c r="I173" s="9">
        <v>0.7309</v>
      </c>
      <c r="J173" s="9">
        <v>0.7375</v>
      </c>
      <c r="K173" s="9">
        <v>0.7431</v>
      </c>
      <c r="L173" s="9">
        <v>0.7439</v>
      </c>
      <c r="M173" s="9">
        <v>0.7812</v>
      </c>
      <c r="N173" s="9">
        <v>0.7697</v>
      </c>
      <c r="O173" s="9">
        <v>0.7559</v>
      </c>
      <c r="P173" s="9">
        <v>0.7536</v>
      </c>
      <c r="Q173" s="9">
        <v>0.7611</v>
      </c>
      <c r="R173" s="9">
        <v>0.757</v>
      </c>
      <c r="S173" s="9">
        <v>0.763</v>
      </c>
      <c r="T173" s="9">
        <v>0.7608</v>
      </c>
      <c r="U173" s="9">
        <v>0.7647</v>
      </c>
      <c r="V173" s="9">
        <v>0.7867</v>
      </c>
      <c r="W173" s="9">
        <v>0.7908</v>
      </c>
      <c r="X173" s="9">
        <v>0.7861</v>
      </c>
      <c r="Y173" s="9">
        <v>0.7976</v>
      </c>
      <c r="Z173" s="9">
        <v>0.7976</v>
      </c>
      <c r="AA173" s="9">
        <v>0.8046</v>
      </c>
      <c r="AB173" s="9">
        <v>0.8073</v>
      </c>
      <c r="AC173" s="9">
        <v>0.8059</v>
      </c>
      <c r="AD173" s="9">
        <v>0.7966</v>
      </c>
      <c r="AE173" s="9">
        <v>0.7878</v>
      </c>
      <c r="AF173" s="9">
        <v>0.7801</v>
      </c>
      <c r="AG173" s="9">
        <v>0.7608</v>
      </c>
      <c r="AH173" s="9">
        <v>0.7661</v>
      </c>
      <c r="AI173" s="9">
        <v>0.7649</v>
      </c>
      <c r="AJ173" s="9">
        <v>0.757</v>
      </c>
      <c r="AK173" s="9">
        <v>0.7599</v>
      </c>
      <c r="AL173" s="9">
        <v>0.748</v>
      </c>
      <c r="AM173" s="9">
        <v>0.7508</v>
      </c>
      <c r="AN173" s="9">
        <v>0.7573</v>
      </c>
      <c r="AO173" s="9">
        <v>0.7561</v>
      </c>
      <c r="AP173" s="9">
        <v>0.7515</v>
      </c>
      <c r="AQ173" s="9">
        <v>0.7638</v>
      </c>
      <c r="AR173" s="9">
        <v>0.7681</v>
      </c>
      <c r="AS173" s="9">
        <v>0.7552</v>
      </c>
      <c r="AT173" s="9">
        <v>0.7354</v>
      </c>
    </row>
    <row r="174" ht="14.25" customHeight="1">
      <c r="A174" s="2" t="s">
        <v>317</v>
      </c>
      <c r="B174" s="9">
        <v>0.6739</v>
      </c>
      <c r="C174" s="9">
        <v>0.6745</v>
      </c>
      <c r="D174" s="9">
        <v>0.6748</v>
      </c>
      <c r="E174" s="9">
        <v>0.6741</v>
      </c>
      <c r="F174" s="9">
        <v>0.6739</v>
      </c>
      <c r="G174" s="9">
        <v>0.6746</v>
      </c>
      <c r="H174" s="9">
        <v>0.6749</v>
      </c>
      <c r="I174" s="9">
        <v>0.6788</v>
      </c>
      <c r="J174" s="9">
        <v>0.6848</v>
      </c>
      <c r="K174" s="9">
        <v>0.6909</v>
      </c>
      <c r="L174" s="9">
        <v>0.6923</v>
      </c>
      <c r="M174" s="9">
        <v>0.7222</v>
      </c>
      <c r="N174" s="9">
        <v>0.7126</v>
      </c>
      <c r="O174" s="9">
        <v>0.6984</v>
      </c>
      <c r="P174" s="9">
        <v>0.6974</v>
      </c>
      <c r="Q174" s="9">
        <v>0.7064</v>
      </c>
      <c r="R174" s="9">
        <v>0.7011</v>
      </c>
      <c r="S174" s="9">
        <v>0.7067</v>
      </c>
      <c r="T174" s="9">
        <v>0.7032</v>
      </c>
      <c r="U174" s="9">
        <v>0.7066</v>
      </c>
      <c r="V174" s="9">
        <v>0.727</v>
      </c>
      <c r="W174" s="9">
        <v>0.7307</v>
      </c>
      <c r="X174" s="9">
        <v>0.7271</v>
      </c>
      <c r="Y174" s="9">
        <v>0.7381</v>
      </c>
      <c r="Z174" s="9">
        <v>0.7404</v>
      </c>
      <c r="AA174" s="9">
        <v>0.7455</v>
      </c>
      <c r="AB174" s="9">
        <v>0.749</v>
      </c>
      <c r="AC174" s="9">
        <v>0.7454</v>
      </c>
      <c r="AD174" s="9">
        <v>0.7408</v>
      </c>
      <c r="AE174" s="9">
        <v>0.731</v>
      </c>
      <c r="AF174" s="9">
        <v>0.7224</v>
      </c>
      <c r="AG174" s="9">
        <v>0.707</v>
      </c>
      <c r="AH174" s="9">
        <v>0.7118</v>
      </c>
      <c r="AI174" s="9">
        <v>0.7122</v>
      </c>
      <c r="AJ174" s="9">
        <v>0.7029</v>
      </c>
      <c r="AK174" s="9">
        <v>0.7046</v>
      </c>
      <c r="AL174" s="9">
        <v>0.6971</v>
      </c>
      <c r="AM174" s="9">
        <v>0.6992</v>
      </c>
      <c r="AN174" s="9">
        <v>0.7055</v>
      </c>
      <c r="AO174" s="9">
        <v>0.7035</v>
      </c>
      <c r="AP174" s="9">
        <v>0.6981</v>
      </c>
      <c r="AQ174" s="9">
        <v>0.7079</v>
      </c>
      <c r="AR174" s="9">
        <v>0.712</v>
      </c>
      <c r="AS174" s="9">
        <v>0.7036</v>
      </c>
      <c r="AT174" s="9">
        <v>0.6882</v>
      </c>
    </row>
    <row r="175" ht="14.25" customHeight="1">
      <c r="A175" s="2" t="s">
        <v>318</v>
      </c>
      <c r="B175" s="9">
        <v>0.5457</v>
      </c>
      <c r="C175" s="9">
        <v>0.5433</v>
      </c>
      <c r="D175" s="9">
        <v>0.5508</v>
      </c>
      <c r="E175" s="9">
        <v>0.5494</v>
      </c>
      <c r="F175" s="9">
        <v>0.5552</v>
      </c>
      <c r="G175" s="9">
        <v>0.5573</v>
      </c>
      <c r="H175" s="9">
        <v>0.5555</v>
      </c>
      <c r="I175" s="9">
        <v>0.5547</v>
      </c>
      <c r="J175" s="9">
        <v>0.551</v>
      </c>
      <c r="K175" s="9">
        <v>0.5459</v>
      </c>
      <c r="L175" s="9">
        <v>0.5573</v>
      </c>
      <c r="M175" s="9">
        <v>0.6203</v>
      </c>
      <c r="N175" s="9">
        <v>0.6234</v>
      </c>
      <c r="O175" s="9">
        <v>0.6297</v>
      </c>
      <c r="P175" s="9">
        <v>0.6259</v>
      </c>
      <c r="Q175" s="9">
        <v>0.6238</v>
      </c>
      <c r="R175" s="9">
        <v>0.6277</v>
      </c>
      <c r="S175" s="9">
        <v>0.6286</v>
      </c>
      <c r="T175" s="9">
        <v>0.6255</v>
      </c>
      <c r="U175" s="9">
        <v>0.6279</v>
      </c>
      <c r="V175" s="9">
        <v>0.6424</v>
      </c>
      <c r="W175" s="9">
        <v>0.6484</v>
      </c>
      <c r="X175" s="9">
        <v>0.651</v>
      </c>
      <c r="Y175" s="9">
        <v>0.6665</v>
      </c>
      <c r="Z175" s="9">
        <v>0.6682</v>
      </c>
      <c r="AA175" s="9">
        <v>0.6766</v>
      </c>
      <c r="AB175" s="9">
        <v>0.6785</v>
      </c>
      <c r="AC175" s="9">
        <v>0.6852</v>
      </c>
      <c r="AD175" s="9">
        <v>0.6772</v>
      </c>
      <c r="AE175" s="9">
        <v>0.6776</v>
      </c>
      <c r="AF175" s="9">
        <v>0.6808</v>
      </c>
      <c r="AG175" s="9">
        <v>0.66</v>
      </c>
      <c r="AH175" s="9">
        <v>0.671</v>
      </c>
      <c r="AI175" s="9">
        <v>0.6742</v>
      </c>
      <c r="AJ175" s="9">
        <v>0.6741</v>
      </c>
      <c r="AK175" s="9">
        <v>0.6794</v>
      </c>
      <c r="AL175" s="9">
        <v>0.67</v>
      </c>
      <c r="AM175" s="9">
        <v>0.6714</v>
      </c>
      <c r="AN175" s="9">
        <v>0.6755</v>
      </c>
      <c r="AO175" s="9">
        <v>0.6752</v>
      </c>
      <c r="AP175" s="9">
        <v>0.6702</v>
      </c>
      <c r="AQ175" s="9">
        <v>0.6793</v>
      </c>
      <c r="AR175" s="9">
        <v>0.686</v>
      </c>
      <c r="AS175" s="9">
        <v>0.6734</v>
      </c>
      <c r="AT175" s="9">
        <v>0.6607</v>
      </c>
    </row>
    <row r="176" ht="14.25" customHeight="1">
      <c r="A176" s="2" t="s">
        <v>319</v>
      </c>
      <c r="B176" s="9">
        <v>0.4877</v>
      </c>
      <c r="C176" s="9">
        <v>0.4853</v>
      </c>
      <c r="D176" s="9">
        <v>0.4916</v>
      </c>
      <c r="E176" s="9">
        <v>0.4904</v>
      </c>
      <c r="F176" s="9">
        <v>0.496</v>
      </c>
      <c r="G176" s="9">
        <v>0.498</v>
      </c>
      <c r="H176" s="9">
        <v>0.4965</v>
      </c>
      <c r="I176" s="9">
        <v>0.4965</v>
      </c>
      <c r="J176" s="9">
        <v>0.4935</v>
      </c>
      <c r="K176" s="9">
        <v>0.4868</v>
      </c>
      <c r="L176" s="9">
        <v>0.4993</v>
      </c>
      <c r="M176" s="9">
        <v>0.5666</v>
      </c>
      <c r="N176" s="9">
        <v>0.5703</v>
      </c>
      <c r="O176" s="9">
        <v>0.5787</v>
      </c>
      <c r="P176" s="9">
        <v>0.5744</v>
      </c>
      <c r="Q176" s="9">
        <v>0.5733</v>
      </c>
      <c r="R176" s="9">
        <v>0.578</v>
      </c>
      <c r="S176" s="9">
        <v>0.5793</v>
      </c>
      <c r="T176" s="9">
        <v>0.5749</v>
      </c>
      <c r="U176" s="9">
        <v>0.5793</v>
      </c>
      <c r="V176" s="9">
        <v>0.5959</v>
      </c>
      <c r="W176" s="9">
        <v>0.6029</v>
      </c>
      <c r="X176" s="9">
        <v>0.6053</v>
      </c>
      <c r="Y176" s="9">
        <v>0.625</v>
      </c>
      <c r="Z176" s="9">
        <v>0.6265</v>
      </c>
      <c r="AA176" s="9">
        <v>0.6363</v>
      </c>
      <c r="AB176" s="9">
        <v>0.6379</v>
      </c>
      <c r="AC176" s="9">
        <v>0.6465</v>
      </c>
      <c r="AD176" s="9">
        <v>0.6366</v>
      </c>
      <c r="AE176" s="9">
        <v>0.6371</v>
      </c>
      <c r="AF176" s="9">
        <v>0.64</v>
      </c>
      <c r="AG176" s="9">
        <v>0.6164</v>
      </c>
      <c r="AH176" s="9">
        <v>0.6252</v>
      </c>
      <c r="AI176" s="9">
        <v>0.6304</v>
      </c>
      <c r="AJ176" s="9">
        <v>0.6307</v>
      </c>
      <c r="AK176" s="9">
        <v>0.6386</v>
      </c>
      <c r="AL176" s="9">
        <v>0.6253</v>
      </c>
      <c r="AM176" s="9">
        <v>0.6271</v>
      </c>
      <c r="AN176" s="9">
        <v>0.6319</v>
      </c>
      <c r="AO176" s="9">
        <v>0.6315</v>
      </c>
      <c r="AP176" s="9">
        <v>0.6266</v>
      </c>
      <c r="AQ176" s="9">
        <v>0.6373</v>
      </c>
      <c r="AR176" s="9">
        <v>0.6473</v>
      </c>
      <c r="AS176" s="9">
        <v>0.63</v>
      </c>
      <c r="AT176" s="9">
        <v>0.6178</v>
      </c>
    </row>
    <row r="177" ht="14.25" customHeight="1">
      <c r="A177" s="2" t="s">
        <v>320</v>
      </c>
      <c r="B177" s="9">
        <v>0.6531</v>
      </c>
      <c r="C177" s="9">
        <v>0.6553</v>
      </c>
      <c r="D177" s="9">
        <v>0.6601</v>
      </c>
      <c r="E177" s="9">
        <v>0.6605</v>
      </c>
      <c r="F177" s="9">
        <v>0.661</v>
      </c>
      <c r="G177" s="9">
        <v>0.6634</v>
      </c>
      <c r="H177" s="9">
        <v>0.6615</v>
      </c>
      <c r="I177" s="9">
        <v>0.6664</v>
      </c>
      <c r="J177" s="9">
        <v>0.6785</v>
      </c>
      <c r="K177" s="9">
        <v>0.6883</v>
      </c>
      <c r="L177" s="9">
        <v>0.6935</v>
      </c>
      <c r="M177" s="9">
        <v>0.7089</v>
      </c>
      <c r="N177" s="9">
        <v>0.7005</v>
      </c>
      <c r="O177" s="9">
        <v>0.6856</v>
      </c>
      <c r="P177" s="9">
        <v>0.6824</v>
      </c>
      <c r="Q177" s="9">
        <v>0.6888</v>
      </c>
      <c r="R177" s="9">
        <v>0.6823</v>
      </c>
      <c r="S177" s="9">
        <v>0.6866</v>
      </c>
      <c r="T177" s="9">
        <v>0.6816</v>
      </c>
      <c r="U177" s="9">
        <v>0.6846</v>
      </c>
      <c r="V177" s="9">
        <v>0.6908</v>
      </c>
      <c r="W177" s="9">
        <v>0.696</v>
      </c>
      <c r="X177" s="9">
        <v>0.6949</v>
      </c>
      <c r="Y177" s="9">
        <v>0.6997</v>
      </c>
      <c r="Z177" s="9">
        <v>0.6998</v>
      </c>
      <c r="AA177" s="9">
        <v>0.6997</v>
      </c>
      <c r="AB177" s="9">
        <v>0.7046</v>
      </c>
      <c r="AC177" s="9">
        <v>0.699</v>
      </c>
      <c r="AD177" s="9">
        <v>0.6985</v>
      </c>
      <c r="AE177" s="9">
        <v>0.6923</v>
      </c>
      <c r="AF177" s="9">
        <v>0.688</v>
      </c>
      <c r="AG177" s="9">
        <v>0.6903</v>
      </c>
      <c r="AH177" s="9">
        <v>0.6875</v>
      </c>
      <c r="AI177" s="9">
        <v>0.687</v>
      </c>
      <c r="AJ177" s="9">
        <v>0.6764</v>
      </c>
      <c r="AK177" s="9">
        <v>0.6784</v>
      </c>
      <c r="AL177" s="9">
        <v>0.6742</v>
      </c>
      <c r="AM177" s="9">
        <v>0.678</v>
      </c>
      <c r="AN177" s="9">
        <v>0.6832</v>
      </c>
      <c r="AO177" s="9">
        <v>0.6793</v>
      </c>
      <c r="AP177" s="9">
        <v>0.6765</v>
      </c>
      <c r="AQ177" s="9">
        <v>0.679</v>
      </c>
      <c r="AR177" s="9">
        <v>0.6841</v>
      </c>
      <c r="AS177" s="9">
        <v>0.6777</v>
      </c>
      <c r="AT177" s="9">
        <v>0.6715</v>
      </c>
    </row>
    <row r="178" ht="14.25" customHeight="1">
      <c r="A178" s="2" t="s">
        <v>321</v>
      </c>
      <c r="B178" s="9">
        <v>0.6247</v>
      </c>
      <c r="C178" s="9">
        <v>0.6269</v>
      </c>
      <c r="D178" s="9">
        <v>0.6286</v>
      </c>
      <c r="E178" s="9">
        <v>0.6273</v>
      </c>
      <c r="F178" s="9">
        <v>0.6312</v>
      </c>
      <c r="G178" s="9">
        <v>0.6303</v>
      </c>
      <c r="H178" s="9">
        <v>0.6292</v>
      </c>
      <c r="I178" s="9">
        <v>0.6321</v>
      </c>
      <c r="J178" s="9">
        <v>0.6409</v>
      </c>
      <c r="K178" s="9">
        <v>0.6483</v>
      </c>
      <c r="L178" s="9">
        <v>0.6555</v>
      </c>
      <c r="M178" s="9">
        <v>0.6676</v>
      </c>
      <c r="N178" s="9">
        <v>0.6612</v>
      </c>
      <c r="O178" s="9">
        <v>0.6473</v>
      </c>
      <c r="P178" s="9">
        <v>0.6458</v>
      </c>
      <c r="Q178" s="9">
        <v>0.6526</v>
      </c>
      <c r="R178" s="9">
        <v>0.649</v>
      </c>
      <c r="S178" s="9">
        <v>0.6507</v>
      </c>
      <c r="T178" s="9">
        <v>0.6457</v>
      </c>
      <c r="U178" s="9">
        <v>0.6501</v>
      </c>
      <c r="V178" s="9">
        <v>0.656</v>
      </c>
      <c r="W178" s="9">
        <v>0.6597</v>
      </c>
      <c r="X178" s="9">
        <v>0.6617</v>
      </c>
      <c r="Y178" s="9">
        <v>0.6651</v>
      </c>
      <c r="Z178" s="9">
        <v>0.668</v>
      </c>
      <c r="AA178" s="9">
        <v>0.666</v>
      </c>
      <c r="AB178" s="9">
        <v>0.6688</v>
      </c>
      <c r="AC178" s="9">
        <v>0.6641</v>
      </c>
      <c r="AD178" s="9">
        <v>0.6642</v>
      </c>
      <c r="AE178" s="9">
        <v>0.6591</v>
      </c>
      <c r="AF178" s="9">
        <v>0.6552</v>
      </c>
      <c r="AG178" s="9">
        <v>0.6563</v>
      </c>
      <c r="AH178" s="9">
        <v>0.6533</v>
      </c>
      <c r="AI178" s="9">
        <v>0.6526</v>
      </c>
      <c r="AJ178" s="9">
        <v>0.6452</v>
      </c>
      <c r="AK178" s="9">
        <v>0.6468</v>
      </c>
      <c r="AL178" s="9">
        <v>0.644</v>
      </c>
      <c r="AM178" s="9">
        <v>0.6481</v>
      </c>
      <c r="AN178" s="9">
        <v>0.6537</v>
      </c>
      <c r="AO178" s="9">
        <v>0.6485</v>
      </c>
      <c r="AP178" s="9">
        <v>0.6445</v>
      </c>
      <c r="AQ178" s="9">
        <v>0.6449</v>
      </c>
      <c r="AR178" s="9">
        <v>0.6516</v>
      </c>
      <c r="AS178" s="9">
        <v>0.6493</v>
      </c>
      <c r="AT178" s="9">
        <v>0.6444</v>
      </c>
    </row>
    <row r="179" ht="14.25" customHeight="1">
      <c r="A179" s="2" t="s">
        <v>322</v>
      </c>
      <c r="B179" s="9">
        <v>0.4142</v>
      </c>
      <c r="C179" s="9">
        <v>0.4151</v>
      </c>
      <c r="D179" s="9">
        <v>0.4139</v>
      </c>
      <c r="E179" s="9">
        <v>0.4167</v>
      </c>
      <c r="F179" s="9">
        <v>0.4179</v>
      </c>
      <c r="G179" s="9">
        <v>0.4185</v>
      </c>
      <c r="H179" s="9">
        <v>0.4207</v>
      </c>
      <c r="I179" s="9">
        <v>0.4253</v>
      </c>
      <c r="J179" s="9">
        <v>0.4199</v>
      </c>
      <c r="K179" s="9">
        <v>0.4297</v>
      </c>
      <c r="L179" s="9">
        <v>0.4411</v>
      </c>
      <c r="M179" s="9">
        <v>0.4761</v>
      </c>
      <c r="N179" s="9">
        <v>0.5286</v>
      </c>
      <c r="O179" s="9">
        <v>0.541</v>
      </c>
      <c r="P179" s="9">
        <v>0.5481</v>
      </c>
      <c r="Q179" s="9">
        <v>0.5698</v>
      </c>
      <c r="R179" s="9">
        <v>0.5539</v>
      </c>
      <c r="S179" s="9">
        <v>0.5482</v>
      </c>
      <c r="T179" s="9">
        <v>0.5416</v>
      </c>
      <c r="U179" s="9">
        <v>0.5355</v>
      </c>
      <c r="V179" s="9">
        <v>0.5374</v>
      </c>
      <c r="W179" s="9">
        <v>0.5514</v>
      </c>
      <c r="X179" s="9">
        <v>0.5534</v>
      </c>
      <c r="Y179" s="9">
        <v>0.5548</v>
      </c>
      <c r="Z179" s="9">
        <v>0.556</v>
      </c>
      <c r="AA179" s="9">
        <v>0.5518</v>
      </c>
      <c r="AB179" s="9">
        <v>0.5588</v>
      </c>
      <c r="AC179" s="9">
        <v>0.5508</v>
      </c>
      <c r="AD179" s="9">
        <v>0.5406</v>
      </c>
      <c r="AE179" s="9">
        <v>0.5325</v>
      </c>
      <c r="AF179" s="9">
        <v>0.5272</v>
      </c>
      <c r="AG179" s="9">
        <v>0.529</v>
      </c>
      <c r="AH179" s="9">
        <v>0.5233</v>
      </c>
      <c r="AI179" s="9">
        <v>0.5242</v>
      </c>
      <c r="AJ179" s="9">
        <v>0.5312</v>
      </c>
      <c r="AK179" s="9">
        <v>0.5368</v>
      </c>
      <c r="AL179" s="9">
        <v>0.5456</v>
      </c>
      <c r="AM179" s="9">
        <v>0.5487</v>
      </c>
      <c r="AN179" s="9">
        <v>0.5465</v>
      </c>
      <c r="AO179" s="9">
        <v>0.5483</v>
      </c>
      <c r="AP179" s="9">
        <v>0.5523</v>
      </c>
      <c r="AQ179" s="9">
        <v>0.5504</v>
      </c>
      <c r="AR179" s="9">
        <v>0.5593</v>
      </c>
      <c r="AS179" s="9">
        <v>0.5597</v>
      </c>
      <c r="AT179" s="9">
        <v>0.5624</v>
      </c>
    </row>
    <row r="180" ht="14.25" customHeight="1">
      <c r="A180" s="2" t="s">
        <v>323</v>
      </c>
      <c r="B180" s="9">
        <v>0.4173</v>
      </c>
      <c r="C180" s="9">
        <v>0.4177</v>
      </c>
      <c r="D180" s="9">
        <v>0.4163</v>
      </c>
      <c r="E180" s="9">
        <v>0.4208</v>
      </c>
      <c r="F180" s="9">
        <v>0.4215</v>
      </c>
      <c r="G180" s="9">
        <v>0.4212</v>
      </c>
      <c r="H180" s="9">
        <v>0.4251</v>
      </c>
      <c r="I180" s="9">
        <v>0.43</v>
      </c>
      <c r="J180" s="9">
        <v>0.4249</v>
      </c>
      <c r="K180" s="9">
        <v>0.4355</v>
      </c>
      <c r="L180" s="9">
        <v>0.4484</v>
      </c>
      <c r="M180" s="9">
        <v>0.4788</v>
      </c>
      <c r="N180" s="9">
        <v>0.5329</v>
      </c>
      <c r="O180" s="9">
        <v>0.5401</v>
      </c>
      <c r="P180" s="9">
        <v>0.547</v>
      </c>
      <c r="Q180" s="9">
        <v>0.5694</v>
      </c>
      <c r="R180" s="9">
        <v>0.5493</v>
      </c>
      <c r="S180" s="9">
        <v>0.5456</v>
      </c>
      <c r="T180" s="9">
        <v>0.5384</v>
      </c>
      <c r="U180" s="9">
        <v>0.5279</v>
      </c>
      <c r="V180" s="9">
        <v>0.5329</v>
      </c>
      <c r="W180" s="9">
        <v>0.5475</v>
      </c>
      <c r="X180" s="9">
        <v>0.547</v>
      </c>
      <c r="Y180" s="9">
        <v>0.5522</v>
      </c>
      <c r="Z180" s="9">
        <v>0.5537</v>
      </c>
      <c r="AA180" s="9">
        <v>0.5497</v>
      </c>
      <c r="AB180" s="9">
        <v>0.5574</v>
      </c>
      <c r="AC180" s="9">
        <v>0.5493</v>
      </c>
      <c r="AD180" s="9">
        <v>0.5388</v>
      </c>
      <c r="AE180" s="9">
        <v>0.5259</v>
      </c>
      <c r="AF180" s="9">
        <v>0.5197</v>
      </c>
      <c r="AG180" s="9">
        <v>0.5211</v>
      </c>
      <c r="AH180" s="9">
        <v>0.515</v>
      </c>
      <c r="AI180" s="9">
        <v>0.5122</v>
      </c>
      <c r="AJ180" s="9">
        <v>0.5182</v>
      </c>
      <c r="AK180" s="9">
        <v>0.5221</v>
      </c>
      <c r="AL180" s="9">
        <v>0.531</v>
      </c>
      <c r="AM180" s="9">
        <v>0.5349</v>
      </c>
      <c r="AN180" s="9">
        <v>0.5319</v>
      </c>
      <c r="AO180" s="9">
        <v>0.5352</v>
      </c>
      <c r="AP180" s="9">
        <v>0.5385</v>
      </c>
      <c r="AQ180" s="9">
        <v>0.5354</v>
      </c>
      <c r="AR180" s="9">
        <v>0.5404</v>
      </c>
      <c r="AS180" s="9">
        <v>0.5399</v>
      </c>
      <c r="AT180" s="9">
        <v>0.5424</v>
      </c>
    </row>
    <row r="181" ht="14.25" customHeight="1">
      <c r="A181" s="2" t="s">
        <v>324</v>
      </c>
      <c r="B181" s="9">
        <v>0.7501</v>
      </c>
      <c r="C181" s="9">
        <v>0.7452</v>
      </c>
      <c r="D181" s="9">
        <v>0.7482</v>
      </c>
      <c r="E181" s="9">
        <v>0.7505</v>
      </c>
      <c r="F181" s="9">
        <v>0.7526</v>
      </c>
      <c r="G181" s="9">
        <v>0.7484</v>
      </c>
      <c r="H181" s="9">
        <v>0.7421</v>
      </c>
      <c r="I181" s="9">
        <v>0.75</v>
      </c>
      <c r="J181" s="9">
        <v>0.7587</v>
      </c>
      <c r="K181" s="9">
        <v>0.7667</v>
      </c>
      <c r="L181" s="9">
        <v>0.7735</v>
      </c>
      <c r="M181" s="9">
        <v>0.782</v>
      </c>
      <c r="N181" s="9">
        <v>0.787</v>
      </c>
      <c r="O181" s="9">
        <v>0.7977</v>
      </c>
      <c r="P181" s="9">
        <v>0.8129</v>
      </c>
      <c r="Q181" s="9">
        <v>0.8103</v>
      </c>
      <c r="R181" s="9">
        <v>0.8173</v>
      </c>
      <c r="S181" s="9">
        <v>0.8227</v>
      </c>
      <c r="T181" s="9">
        <v>0.8217</v>
      </c>
      <c r="U181" s="9">
        <v>0.8286</v>
      </c>
      <c r="V181" s="9">
        <v>0.8281</v>
      </c>
      <c r="W181" s="9">
        <v>0.83</v>
      </c>
      <c r="X181" s="9">
        <v>0.8252</v>
      </c>
      <c r="Y181" s="9">
        <v>0.8243</v>
      </c>
      <c r="Z181" s="9">
        <v>0.8288</v>
      </c>
      <c r="AA181" s="9">
        <v>0.8291</v>
      </c>
      <c r="AB181" s="9">
        <v>0.8283</v>
      </c>
      <c r="AC181" s="9">
        <v>0.8244</v>
      </c>
      <c r="AD181" s="9">
        <v>0.8217</v>
      </c>
      <c r="AE181" s="9">
        <v>0.8115</v>
      </c>
      <c r="AF181" s="9">
        <v>0.8191</v>
      </c>
      <c r="AG181" s="9">
        <v>0.817</v>
      </c>
      <c r="AH181" s="9">
        <v>0.8132</v>
      </c>
      <c r="AI181" s="9">
        <v>0.8152</v>
      </c>
      <c r="AJ181" s="9">
        <v>0.8131</v>
      </c>
      <c r="AK181" s="9">
        <v>0.8116</v>
      </c>
      <c r="AL181" s="9">
        <v>0.8069</v>
      </c>
      <c r="AM181" s="9">
        <v>0.8041</v>
      </c>
      <c r="AN181" s="9">
        <v>0.8016</v>
      </c>
      <c r="AO181" s="9">
        <v>0.7986</v>
      </c>
      <c r="AP181" s="9">
        <v>0.8005</v>
      </c>
      <c r="AQ181" s="9">
        <v>0.8096</v>
      </c>
      <c r="AR181" s="9">
        <v>0.8131</v>
      </c>
      <c r="AS181" s="9">
        <v>0.8068</v>
      </c>
      <c r="AT181" s="9">
        <v>0.8065</v>
      </c>
    </row>
    <row r="182" ht="14.25" customHeight="1">
      <c r="A182" s="2" t="s">
        <v>325</v>
      </c>
      <c r="B182" s="9">
        <v>0.6826</v>
      </c>
      <c r="C182" s="9">
        <v>0.6757</v>
      </c>
      <c r="D182" s="9">
        <v>0.679</v>
      </c>
      <c r="E182" s="9">
        <v>0.6818</v>
      </c>
      <c r="F182" s="9">
        <v>0.6831</v>
      </c>
      <c r="G182" s="9">
        <v>0.6768</v>
      </c>
      <c r="H182" s="9">
        <v>0.6722</v>
      </c>
      <c r="I182" s="9">
        <v>0.677</v>
      </c>
      <c r="J182" s="9">
        <v>0.6846</v>
      </c>
      <c r="K182" s="9">
        <v>0.6932</v>
      </c>
      <c r="L182" s="9">
        <v>0.7001</v>
      </c>
      <c r="M182" s="9">
        <v>0.7085</v>
      </c>
      <c r="N182" s="9">
        <v>0.7135</v>
      </c>
      <c r="O182" s="9">
        <v>0.7278</v>
      </c>
      <c r="P182" s="9">
        <v>0.7469</v>
      </c>
      <c r="Q182" s="9">
        <v>0.7425</v>
      </c>
      <c r="R182" s="9">
        <v>0.7513</v>
      </c>
      <c r="S182" s="9">
        <v>0.7571</v>
      </c>
      <c r="T182" s="9">
        <v>0.7559</v>
      </c>
      <c r="U182" s="9">
        <v>0.7613</v>
      </c>
      <c r="V182" s="9">
        <v>0.7634</v>
      </c>
      <c r="W182" s="9">
        <v>0.7641</v>
      </c>
      <c r="X182" s="9">
        <v>0.7573</v>
      </c>
      <c r="Y182" s="9">
        <v>0.7552</v>
      </c>
      <c r="Z182" s="9">
        <v>0.7601</v>
      </c>
      <c r="AA182" s="9">
        <v>0.7604</v>
      </c>
      <c r="AB182" s="9">
        <v>0.7596</v>
      </c>
      <c r="AC182" s="9">
        <v>0.7528</v>
      </c>
      <c r="AD182" s="9">
        <v>0.75</v>
      </c>
      <c r="AE182" s="9">
        <v>0.7362</v>
      </c>
      <c r="AF182" s="9">
        <v>0.7424</v>
      </c>
      <c r="AG182" s="9">
        <v>0.7399</v>
      </c>
      <c r="AH182" s="9">
        <v>0.7343</v>
      </c>
      <c r="AI182" s="9">
        <v>0.7349</v>
      </c>
      <c r="AJ182" s="9">
        <v>0.7314</v>
      </c>
      <c r="AK182" s="9">
        <v>0.7315</v>
      </c>
      <c r="AL182" s="9">
        <v>0.7253</v>
      </c>
      <c r="AM182" s="9">
        <v>0.724</v>
      </c>
      <c r="AN182" s="9">
        <v>0.722</v>
      </c>
      <c r="AO182" s="9">
        <v>0.7207</v>
      </c>
      <c r="AP182" s="9">
        <v>0.7213</v>
      </c>
      <c r="AQ182" s="9">
        <v>0.7326</v>
      </c>
      <c r="AR182" s="9">
        <v>0.7387</v>
      </c>
      <c r="AS182" s="9">
        <v>0.7342</v>
      </c>
      <c r="AT182" s="9">
        <v>0.7325</v>
      </c>
    </row>
    <row r="183" ht="14.25" customHeight="1">
      <c r="A183" s="2" t="s">
        <v>326</v>
      </c>
      <c r="B183" s="9">
        <v>0.7167</v>
      </c>
      <c r="C183" s="9">
        <v>0.7169</v>
      </c>
      <c r="D183" s="9">
        <v>0.7175</v>
      </c>
      <c r="E183" s="9">
        <v>0.7221</v>
      </c>
      <c r="F183" s="9">
        <v>0.7239</v>
      </c>
      <c r="G183" s="9">
        <v>0.7222</v>
      </c>
      <c r="H183" s="9">
        <v>0.7182</v>
      </c>
      <c r="I183" s="9">
        <v>0.7152</v>
      </c>
      <c r="J183" s="9">
        <v>0.7166</v>
      </c>
      <c r="K183" s="9">
        <v>0.7175</v>
      </c>
      <c r="L183" s="9">
        <v>0.7168</v>
      </c>
      <c r="M183" s="9">
        <v>0.7141</v>
      </c>
      <c r="N183" s="9">
        <v>0.7122</v>
      </c>
      <c r="O183" s="9">
        <v>0.704</v>
      </c>
      <c r="P183" s="9">
        <v>0.7015</v>
      </c>
      <c r="Q183" s="9">
        <v>0.6996</v>
      </c>
      <c r="R183" s="9">
        <v>0.6979</v>
      </c>
      <c r="S183" s="9">
        <v>0.7006</v>
      </c>
      <c r="T183" s="9">
        <v>0.7008</v>
      </c>
      <c r="U183" s="9">
        <v>0.6922</v>
      </c>
      <c r="V183" s="9">
        <v>0.6925</v>
      </c>
      <c r="W183" s="9">
        <v>0.6937</v>
      </c>
      <c r="X183" s="9">
        <v>0.6944</v>
      </c>
      <c r="Y183" s="9">
        <v>0.6912</v>
      </c>
      <c r="Z183" s="9">
        <v>0.6899</v>
      </c>
      <c r="AA183" s="9">
        <v>0.6904</v>
      </c>
      <c r="AB183" s="9">
        <v>0.6921</v>
      </c>
      <c r="AC183" s="9">
        <v>0.6935</v>
      </c>
      <c r="AD183" s="9">
        <v>0.6949</v>
      </c>
      <c r="AE183" s="9">
        <v>0.6925</v>
      </c>
      <c r="AF183" s="9">
        <v>0.6892</v>
      </c>
      <c r="AG183" s="9">
        <v>0.6882</v>
      </c>
      <c r="AH183" s="9">
        <v>0.6888</v>
      </c>
      <c r="AI183" s="9">
        <v>0.692</v>
      </c>
      <c r="AJ183" s="9">
        <v>0.6931</v>
      </c>
      <c r="AK183" s="9">
        <v>0.6891</v>
      </c>
      <c r="AL183" s="9">
        <v>0.6867</v>
      </c>
      <c r="AM183" s="9">
        <v>0.6801</v>
      </c>
      <c r="AN183" s="9">
        <v>0.6732</v>
      </c>
      <c r="AO183" s="9">
        <v>0.6682</v>
      </c>
      <c r="AP183" s="9">
        <v>0.6635</v>
      </c>
      <c r="AQ183" s="9">
        <v>0.6634</v>
      </c>
      <c r="AR183" s="9">
        <v>0.6619</v>
      </c>
      <c r="AS183" s="9">
        <v>0.6622</v>
      </c>
      <c r="AT183" s="9">
        <v>0.6626</v>
      </c>
    </row>
    <row r="184" ht="14.25" customHeight="1">
      <c r="A184" s="2" t="s">
        <v>327</v>
      </c>
      <c r="B184" s="9">
        <v>0.7153</v>
      </c>
      <c r="C184" s="9">
        <v>0.7155</v>
      </c>
      <c r="D184" s="9">
        <v>0.7152</v>
      </c>
      <c r="E184" s="9">
        <v>0.7196</v>
      </c>
      <c r="F184" s="9">
        <v>0.7222</v>
      </c>
      <c r="G184" s="9">
        <v>0.7208</v>
      </c>
      <c r="H184" s="9">
        <v>0.7168</v>
      </c>
      <c r="I184" s="9">
        <v>0.7146</v>
      </c>
      <c r="J184" s="9">
        <v>0.7156</v>
      </c>
      <c r="K184" s="9">
        <v>0.7154</v>
      </c>
      <c r="L184" s="9">
        <v>0.7138</v>
      </c>
      <c r="M184" s="9">
        <v>0.7111</v>
      </c>
      <c r="N184" s="9">
        <v>0.7094</v>
      </c>
      <c r="O184" s="9">
        <v>0.699</v>
      </c>
      <c r="P184" s="9">
        <v>0.6973</v>
      </c>
      <c r="Q184" s="9">
        <v>0.6957</v>
      </c>
      <c r="R184" s="9">
        <v>0.6935</v>
      </c>
      <c r="S184" s="9">
        <v>0.697</v>
      </c>
      <c r="T184" s="9">
        <v>0.6961</v>
      </c>
      <c r="U184" s="9">
        <v>0.6886</v>
      </c>
      <c r="V184" s="9">
        <v>0.6894</v>
      </c>
      <c r="W184" s="9">
        <v>0.6906</v>
      </c>
      <c r="X184" s="9">
        <v>0.6913</v>
      </c>
      <c r="Y184" s="9">
        <v>0.6892</v>
      </c>
      <c r="Z184" s="9">
        <v>0.6877</v>
      </c>
      <c r="AA184" s="9">
        <v>0.6888</v>
      </c>
      <c r="AB184" s="9">
        <v>0.6906</v>
      </c>
      <c r="AC184" s="9">
        <v>0.6927</v>
      </c>
      <c r="AD184" s="9">
        <v>0.6919</v>
      </c>
      <c r="AE184" s="9">
        <v>0.689</v>
      </c>
      <c r="AF184" s="9">
        <v>0.6853</v>
      </c>
      <c r="AG184" s="9">
        <v>0.6849</v>
      </c>
      <c r="AH184" s="9">
        <v>0.6867</v>
      </c>
      <c r="AI184" s="9">
        <v>0.6895</v>
      </c>
      <c r="AJ184" s="9">
        <v>0.6903</v>
      </c>
      <c r="AK184" s="9">
        <v>0.6872</v>
      </c>
      <c r="AL184" s="9">
        <v>0.6849</v>
      </c>
      <c r="AM184" s="9">
        <v>0.6784</v>
      </c>
      <c r="AN184" s="9">
        <v>0.6711</v>
      </c>
      <c r="AO184" s="9">
        <v>0.6665</v>
      </c>
      <c r="AP184" s="9">
        <v>0.6631</v>
      </c>
      <c r="AQ184" s="9">
        <v>0.6627</v>
      </c>
      <c r="AR184" s="9">
        <v>0.6613</v>
      </c>
      <c r="AS184" s="9">
        <v>0.6604</v>
      </c>
      <c r="AT184" s="9">
        <v>0.663</v>
      </c>
    </row>
    <row r="185" ht="14.25" customHeight="1">
      <c r="A185" s="2" t="s">
        <v>328</v>
      </c>
      <c r="B185" s="9">
        <v>0.4822</v>
      </c>
      <c r="C185" s="9">
        <v>0.4871</v>
      </c>
      <c r="D185" s="9">
        <v>0.4881</v>
      </c>
      <c r="E185" s="9">
        <v>0.4882</v>
      </c>
      <c r="F185" s="9">
        <v>0.4898</v>
      </c>
      <c r="G185" s="9">
        <v>0.4941</v>
      </c>
      <c r="H185" s="9">
        <v>0.4926</v>
      </c>
      <c r="I185" s="9">
        <v>0.4909</v>
      </c>
      <c r="J185" s="9">
        <v>0.4912</v>
      </c>
      <c r="K185" s="9">
        <v>0.4881</v>
      </c>
      <c r="L185" s="9">
        <v>0.4878</v>
      </c>
      <c r="M185" s="9">
        <v>0.4908</v>
      </c>
      <c r="N185" s="9">
        <v>0.4947</v>
      </c>
      <c r="O185" s="9">
        <v>0.5</v>
      </c>
      <c r="P185" s="9">
        <v>0.5041</v>
      </c>
      <c r="Q185" s="9">
        <v>0.5015</v>
      </c>
      <c r="R185" s="9">
        <v>0.5006</v>
      </c>
      <c r="S185" s="9">
        <v>0.5046</v>
      </c>
      <c r="T185" s="9">
        <v>0.5081</v>
      </c>
      <c r="U185" s="9">
        <v>0.507</v>
      </c>
      <c r="V185" s="9">
        <v>0.5129</v>
      </c>
      <c r="W185" s="9">
        <v>0.5089</v>
      </c>
      <c r="X185" s="9">
        <v>0.4998</v>
      </c>
      <c r="Y185" s="9">
        <v>0.4994</v>
      </c>
      <c r="Z185" s="9">
        <v>0.5039</v>
      </c>
      <c r="AA185" s="9">
        <v>0.5052</v>
      </c>
      <c r="AB185" s="9">
        <v>0.5129</v>
      </c>
      <c r="AC185" s="9">
        <v>0.5097</v>
      </c>
      <c r="AD185" s="9">
        <v>0.4904</v>
      </c>
      <c r="AE185" s="9">
        <v>0.4927</v>
      </c>
      <c r="AF185" s="9">
        <v>0.5099</v>
      </c>
      <c r="AG185" s="9">
        <v>0.51</v>
      </c>
      <c r="AH185" s="9">
        <v>0.5123</v>
      </c>
      <c r="AI185" s="9">
        <v>0.5144</v>
      </c>
      <c r="AJ185" s="9">
        <v>0.5119</v>
      </c>
      <c r="AK185" s="9">
        <v>0.5155</v>
      </c>
      <c r="AL185" s="9">
        <v>0.5143</v>
      </c>
      <c r="AM185" s="9">
        <v>0.509</v>
      </c>
      <c r="AN185" s="9">
        <v>0.504</v>
      </c>
      <c r="AO185" s="9">
        <v>0.5011</v>
      </c>
      <c r="AP185" s="9">
        <v>0.5075</v>
      </c>
      <c r="AQ185" s="9">
        <v>0.5041</v>
      </c>
      <c r="AR185" s="9">
        <v>0.5028</v>
      </c>
      <c r="AS185" s="9">
        <v>0.4975</v>
      </c>
      <c r="AT185" s="9">
        <v>0.4978</v>
      </c>
    </row>
    <row r="186" ht="14.25" customHeight="1">
      <c r="A186" s="2" t="s">
        <v>329</v>
      </c>
      <c r="B186" s="9">
        <v>0.4397</v>
      </c>
      <c r="C186" s="9">
        <v>0.444</v>
      </c>
      <c r="D186" s="9">
        <v>0.4471</v>
      </c>
      <c r="E186" s="9">
        <v>0.4462</v>
      </c>
      <c r="F186" s="9">
        <v>0.4477</v>
      </c>
      <c r="G186" s="9">
        <v>0.4526</v>
      </c>
      <c r="H186" s="9">
        <v>0.4502</v>
      </c>
      <c r="I186" s="9">
        <v>0.4474</v>
      </c>
      <c r="J186" s="9">
        <v>0.4507</v>
      </c>
      <c r="K186" s="9">
        <v>0.448</v>
      </c>
      <c r="L186" s="9">
        <v>0.4466</v>
      </c>
      <c r="M186" s="9">
        <v>0.4501</v>
      </c>
      <c r="N186" s="9">
        <v>0.4546</v>
      </c>
      <c r="O186" s="9">
        <v>0.4616</v>
      </c>
      <c r="P186" s="9">
        <v>0.4671</v>
      </c>
      <c r="Q186" s="9">
        <v>0.465</v>
      </c>
      <c r="R186" s="9">
        <v>0.4632</v>
      </c>
      <c r="S186" s="9">
        <v>0.4702</v>
      </c>
      <c r="T186" s="9">
        <v>0.4741</v>
      </c>
      <c r="U186" s="9">
        <v>0.4732</v>
      </c>
      <c r="V186" s="9">
        <v>0.4788</v>
      </c>
      <c r="W186" s="9">
        <v>0.4767</v>
      </c>
      <c r="X186" s="9">
        <v>0.4669</v>
      </c>
      <c r="Y186" s="9">
        <v>0.4663</v>
      </c>
      <c r="Z186" s="9">
        <v>0.4716</v>
      </c>
      <c r="AA186" s="9">
        <v>0.4724</v>
      </c>
      <c r="AB186" s="9">
        <v>0.4785</v>
      </c>
      <c r="AC186" s="9">
        <v>0.4766</v>
      </c>
      <c r="AD186" s="9">
        <v>0.4574</v>
      </c>
      <c r="AE186" s="9">
        <v>0.4571</v>
      </c>
      <c r="AF186" s="9">
        <v>0.473</v>
      </c>
      <c r="AG186" s="9">
        <v>0.473</v>
      </c>
      <c r="AH186" s="9">
        <v>0.4729</v>
      </c>
      <c r="AI186" s="9">
        <v>0.4754</v>
      </c>
      <c r="AJ186" s="9">
        <v>0.4753</v>
      </c>
      <c r="AK186" s="9">
        <v>0.4783</v>
      </c>
      <c r="AL186" s="9">
        <v>0.4769</v>
      </c>
      <c r="AM186" s="9">
        <v>0.4716</v>
      </c>
      <c r="AN186" s="9">
        <v>0.4664</v>
      </c>
      <c r="AO186" s="9">
        <v>0.4636</v>
      </c>
      <c r="AP186" s="9">
        <v>0.4665</v>
      </c>
      <c r="AQ186" s="9">
        <v>0.4667</v>
      </c>
      <c r="AR186" s="9">
        <v>0.4652</v>
      </c>
      <c r="AS186" s="9">
        <v>0.4606</v>
      </c>
      <c r="AT186" s="9">
        <v>0.4612</v>
      </c>
    </row>
    <row r="187" ht="14.25" customHeight="1">
      <c r="A187" s="2" t="s">
        <v>330</v>
      </c>
      <c r="B187" s="9">
        <v>0.5181</v>
      </c>
      <c r="C187" s="9">
        <v>0.5181</v>
      </c>
      <c r="D187" s="9">
        <v>0.5181</v>
      </c>
      <c r="E187" s="9">
        <v>0.5181</v>
      </c>
      <c r="F187" s="9">
        <v>0.5181</v>
      </c>
      <c r="G187" s="9">
        <v>0.5181</v>
      </c>
      <c r="H187" s="9">
        <v>0.5181</v>
      </c>
      <c r="I187" s="9">
        <v>0.5181</v>
      </c>
      <c r="J187" s="9">
        <v>0.5166</v>
      </c>
      <c r="K187" s="9">
        <v>0.5151</v>
      </c>
      <c r="L187" s="9">
        <v>0.5136</v>
      </c>
      <c r="M187" s="9">
        <v>0.5089</v>
      </c>
      <c r="N187" s="9">
        <v>0.5044</v>
      </c>
      <c r="O187" s="9">
        <v>0.4999</v>
      </c>
      <c r="P187" s="9">
        <v>0.4956</v>
      </c>
      <c r="Q187" s="9">
        <v>0.4913</v>
      </c>
      <c r="R187" s="9">
        <v>0.4871</v>
      </c>
      <c r="S187" s="9">
        <v>0.5083</v>
      </c>
      <c r="T187" s="9">
        <v>0.5282</v>
      </c>
      <c r="U187" s="9">
        <v>0.5231</v>
      </c>
      <c r="V187" s="9">
        <v>0.5164</v>
      </c>
      <c r="W187" s="9">
        <v>0.5088</v>
      </c>
      <c r="X187" s="9">
        <v>0.5179</v>
      </c>
      <c r="Y187" s="9">
        <v>0.5278</v>
      </c>
      <c r="Z187" s="9">
        <v>0.5324</v>
      </c>
      <c r="AA187" s="9">
        <v>0.5428</v>
      </c>
      <c r="AB187" s="9">
        <v>0.5292</v>
      </c>
      <c r="AC187" s="9">
        <v>0.5166</v>
      </c>
      <c r="AD187" s="9">
        <v>0.5042</v>
      </c>
      <c r="AE187" s="9">
        <v>0.498</v>
      </c>
      <c r="AF187" s="9">
        <v>0.5</v>
      </c>
      <c r="AG187" s="9">
        <v>0.4992</v>
      </c>
      <c r="AH187" s="9">
        <v>0.496</v>
      </c>
      <c r="AI187" s="9">
        <v>0.4924</v>
      </c>
      <c r="AJ187" s="9">
        <v>0.5001</v>
      </c>
      <c r="AK187" s="9">
        <v>0.5056</v>
      </c>
      <c r="AL187" s="9">
        <v>0.5012</v>
      </c>
      <c r="AM187" s="9">
        <v>0.4979</v>
      </c>
      <c r="AN187" s="9">
        <v>0.4945</v>
      </c>
      <c r="AO187" s="9">
        <v>0.4945</v>
      </c>
      <c r="AP187" s="9">
        <v>0.4945</v>
      </c>
      <c r="AQ187" s="9">
        <v>0.4945</v>
      </c>
      <c r="AR187" s="9">
        <v>0.4945</v>
      </c>
      <c r="AS187" s="9">
        <v>0.4945</v>
      </c>
      <c r="AT187" s="9">
        <v>0.4945</v>
      </c>
    </row>
    <row r="188" ht="14.25" customHeight="1">
      <c r="A188" s="2" t="s">
        <v>331</v>
      </c>
      <c r="B188" s="9">
        <v>0.4403</v>
      </c>
      <c r="C188" s="9">
        <v>0.4412</v>
      </c>
      <c r="D188" s="9">
        <v>0.4421</v>
      </c>
      <c r="E188" s="9">
        <v>0.443</v>
      </c>
      <c r="F188" s="9">
        <v>0.444</v>
      </c>
      <c r="G188" s="9">
        <v>0.4449</v>
      </c>
      <c r="H188" s="9">
        <v>0.4459</v>
      </c>
      <c r="I188" s="9">
        <v>0.4469</v>
      </c>
      <c r="J188" s="9">
        <v>0.4479</v>
      </c>
      <c r="K188" s="9">
        <v>0.449</v>
      </c>
      <c r="L188" s="9">
        <v>0.45</v>
      </c>
      <c r="M188" s="9">
        <v>0.4515</v>
      </c>
      <c r="N188" s="9">
        <v>0.453</v>
      </c>
      <c r="O188" s="9">
        <v>0.4544</v>
      </c>
      <c r="P188" s="9">
        <v>0.4558</v>
      </c>
      <c r="Q188" s="9">
        <v>0.4571</v>
      </c>
      <c r="R188" s="9">
        <v>0.4584</v>
      </c>
      <c r="S188" s="9">
        <v>0.4596</v>
      </c>
      <c r="T188" s="9">
        <v>0.4608</v>
      </c>
      <c r="U188" s="9">
        <v>0.462</v>
      </c>
      <c r="V188" s="9">
        <v>0.4631</v>
      </c>
      <c r="W188" s="9">
        <v>0.4719</v>
      </c>
      <c r="X188" s="9">
        <v>0.4805</v>
      </c>
      <c r="Y188" s="9">
        <v>0.489</v>
      </c>
      <c r="Z188" s="9">
        <v>0.4972</v>
      </c>
      <c r="AA188" s="9">
        <v>0.5052</v>
      </c>
      <c r="AB188" s="9">
        <v>0.5131</v>
      </c>
      <c r="AC188" s="9">
        <v>0.5207</v>
      </c>
      <c r="AD188" s="9">
        <v>0.5282</v>
      </c>
      <c r="AE188" s="9">
        <v>0.5356</v>
      </c>
      <c r="AF188" s="9">
        <v>0.5428</v>
      </c>
      <c r="AG188" s="9">
        <v>0.5447</v>
      </c>
      <c r="AH188" s="9">
        <v>0.5466</v>
      </c>
      <c r="AI188" s="9">
        <v>0.5483</v>
      </c>
      <c r="AJ188" s="9">
        <v>0.55</v>
      </c>
      <c r="AK188" s="9">
        <v>0.5516</v>
      </c>
      <c r="AL188" s="9">
        <v>0.5531</v>
      </c>
      <c r="AM188" s="9">
        <v>0.5546</v>
      </c>
      <c r="AN188" s="9">
        <v>0.556</v>
      </c>
      <c r="AO188" s="9">
        <v>0.5574</v>
      </c>
      <c r="AP188" s="9">
        <v>0.5587</v>
      </c>
      <c r="AQ188" s="9">
        <v>0.5587</v>
      </c>
      <c r="AR188" s="9">
        <v>0.5587</v>
      </c>
      <c r="AS188" s="9">
        <v>0.5587</v>
      </c>
      <c r="AT188" s="9">
        <v>0.5587</v>
      </c>
    </row>
    <row r="189" ht="14.25" customHeight="1">
      <c r="A189" s="2" t="s">
        <v>332</v>
      </c>
      <c r="B189" s="9">
        <v>0.6159</v>
      </c>
      <c r="C189" s="9">
        <v>0.6159</v>
      </c>
      <c r="D189" s="9">
        <v>0.6159</v>
      </c>
      <c r="E189" s="9">
        <v>0.6159</v>
      </c>
      <c r="F189" s="9">
        <v>0.6159</v>
      </c>
      <c r="G189" s="9">
        <v>0.6159</v>
      </c>
      <c r="H189" s="9">
        <v>0.6159</v>
      </c>
      <c r="I189" s="9">
        <v>0.6159</v>
      </c>
      <c r="J189" s="9">
        <v>0.6159</v>
      </c>
      <c r="K189" s="9">
        <v>0.6159</v>
      </c>
      <c r="L189" s="9">
        <v>0.6159</v>
      </c>
      <c r="M189" s="9">
        <v>0.6159</v>
      </c>
      <c r="N189" s="9">
        <v>0.6159</v>
      </c>
      <c r="O189" s="9">
        <v>0.6159</v>
      </c>
      <c r="P189" s="9">
        <v>0.6159</v>
      </c>
      <c r="Q189" s="9">
        <v>0.6159</v>
      </c>
      <c r="R189" s="9">
        <v>0.6159</v>
      </c>
      <c r="S189" s="9">
        <v>0.6106</v>
      </c>
      <c r="T189" s="9">
        <v>0.6166</v>
      </c>
      <c r="U189" s="9">
        <v>0.6178</v>
      </c>
      <c r="V189" s="9">
        <v>0.6192</v>
      </c>
      <c r="W189" s="9">
        <v>0.6206</v>
      </c>
      <c r="X189" s="9">
        <v>0.6221</v>
      </c>
      <c r="Y189" s="9">
        <v>0.6239</v>
      </c>
      <c r="Z189" s="9">
        <v>0.6257</v>
      </c>
      <c r="AA189" s="9">
        <v>0.6399</v>
      </c>
      <c r="AB189" s="9">
        <v>0.6386</v>
      </c>
      <c r="AC189" s="9">
        <v>0.6616</v>
      </c>
      <c r="AD189" s="9">
        <v>0.6454</v>
      </c>
      <c r="AE189" s="9">
        <v>0.6301</v>
      </c>
      <c r="AF189" s="9">
        <v>0.6329</v>
      </c>
      <c r="AG189" s="9">
        <v>0.6229</v>
      </c>
      <c r="AH189" s="9">
        <v>0.6188</v>
      </c>
      <c r="AI189" s="9">
        <v>0.6137</v>
      </c>
      <c r="AJ189" s="9">
        <v>0.6088</v>
      </c>
      <c r="AK189" s="9">
        <v>0.6041</v>
      </c>
      <c r="AL189" s="9">
        <v>0.5996</v>
      </c>
      <c r="AM189" s="9">
        <v>0.603</v>
      </c>
      <c r="AN189" s="9">
        <v>0.6065</v>
      </c>
      <c r="AO189" s="9">
        <v>0.6101</v>
      </c>
      <c r="AP189" s="9">
        <v>0.6139</v>
      </c>
      <c r="AQ189" s="9">
        <v>0.6179</v>
      </c>
      <c r="AR189" s="9">
        <v>0.6221</v>
      </c>
      <c r="AS189" s="9">
        <v>0.6265</v>
      </c>
      <c r="AT189" s="9">
        <v>0.6265</v>
      </c>
    </row>
    <row r="190" ht="14.25" customHeight="1">
      <c r="A190" s="2" t="s">
        <v>333</v>
      </c>
      <c r="B190" s="9">
        <v>0.682</v>
      </c>
      <c r="C190" s="9">
        <v>0.682</v>
      </c>
      <c r="D190" s="9">
        <v>0.682</v>
      </c>
      <c r="E190" s="9">
        <v>0.682</v>
      </c>
      <c r="F190" s="9">
        <v>0.682</v>
      </c>
      <c r="G190" s="9">
        <v>0.682</v>
      </c>
      <c r="H190" s="9">
        <v>0.682</v>
      </c>
      <c r="I190" s="9">
        <v>0.682</v>
      </c>
      <c r="J190" s="9">
        <v>0.682</v>
      </c>
      <c r="K190" s="9">
        <v>0.682</v>
      </c>
      <c r="L190" s="9">
        <v>0.682</v>
      </c>
      <c r="M190" s="9">
        <v>0.682</v>
      </c>
      <c r="N190" s="9">
        <v>0.682</v>
      </c>
      <c r="O190" s="9">
        <v>0.682</v>
      </c>
      <c r="P190" s="9">
        <v>0.682</v>
      </c>
      <c r="Q190" s="9">
        <v>0.682</v>
      </c>
      <c r="R190" s="9">
        <v>0.682</v>
      </c>
      <c r="S190" s="9">
        <v>0.682</v>
      </c>
      <c r="T190" s="9">
        <v>0.682</v>
      </c>
      <c r="U190" s="9">
        <v>0.682</v>
      </c>
      <c r="V190" s="9">
        <v>0.682</v>
      </c>
      <c r="W190" s="9">
        <v>0.6903</v>
      </c>
      <c r="X190" s="9">
        <v>0.6885</v>
      </c>
      <c r="Y190" s="9">
        <v>0.6848</v>
      </c>
      <c r="Z190" s="9">
        <v>0.6817</v>
      </c>
      <c r="AA190" s="9">
        <v>0.6794</v>
      </c>
      <c r="AB190" s="9">
        <v>0.6749</v>
      </c>
      <c r="AC190" s="9">
        <v>0.6812</v>
      </c>
      <c r="AD190" s="9">
        <v>0.6744</v>
      </c>
      <c r="AE190" s="9">
        <v>0.6684</v>
      </c>
      <c r="AF190" s="9">
        <v>0.6678</v>
      </c>
      <c r="AG190" s="9">
        <v>0.6616</v>
      </c>
      <c r="AH190" s="9">
        <v>0.656</v>
      </c>
      <c r="AI190" s="9">
        <v>0.6594</v>
      </c>
      <c r="AJ190" s="9">
        <v>0.6552</v>
      </c>
      <c r="AK190" s="9">
        <v>0.6514</v>
      </c>
      <c r="AL190" s="9">
        <v>0.6525</v>
      </c>
      <c r="AM190" s="9">
        <v>0.653</v>
      </c>
      <c r="AN190" s="9">
        <v>0.655</v>
      </c>
      <c r="AO190" s="9">
        <v>0.6523</v>
      </c>
      <c r="AP190" s="9">
        <v>0.6739</v>
      </c>
      <c r="AQ190" s="9">
        <v>0.6609</v>
      </c>
      <c r="AR190" s="9">
        <v>0.6502</v>
      </c>
      <c r="AS190" s="9">
        <v>0.6505</v>
      </c>
      <c r="AT190" s="9">
        <v>0.6505</v>
      </c>
    </row>
    <row r="191" ht="14.25" customHeight="1">
      <c r="A191" s="2" t="s">
        <v>334</v>
      </c>
      <c r="B191" s="9">
        <v>0.6157</v>
      </c>
      <c r="C191" s="9">
        <v>0.6157</v>
      </c>
      <c r="D191" s="9">
        <v>0.6157</v>
      </c>
      <c r="E191" s="9">
        <v>0.6157</v>
      </c>
      <c r="F191" s="9">
        <v>0.6157</v>
      </c>
      <c r="G191" s="9">
        <v>0.6157</v>
      </c>
      <c r="H191" s="9">
        <v>0.6157</v>
      </c>
      <c r="I191" s="9">
        <v>0.6157</v>
      </c>
      <c r="J191" s="9">
        <v>0.6157</v>
      </c>
      <c r="K191" s="9">
        <v>0.6157</v>
      </c>
      <c r="L191" s="9">
        <v>0.6157</v>
      </c>
      <c r="M191" s="9">
        <v>0.6157</v>
      </c>
      <c r="N191" s="9">
        <v>0.6157</v>
      </c>
      <c r="O191" s="9">
        <v>0.6157</v>
      </c>
      <c r="P191" s="9">
        <v>0.6157</v>
      </c>
      <c r="Q191" s="9">
        <v>0.6157</v>
      </c>
      <c r="R191" s="9">
        <v>0.6157</v>
      </c>
      <c r="S191" s="9">
        <v>0.6122</v>
      </c>
      <c r="T191" s="9">
        <v>0.6093</v>
      </c>
      <c r="U191" s="9">
        <v>0.6067</v>
      </c>
      <c r="V191" s="9">
        <v>0.6043</v>
      </c>
      <c r="W191" s="9">
        <v>0.6012</v>
      </c>
      <c r="X191" s="9">
        <v>0.5986</v>
      </c>
      <c r="Y191" s="9">
        <v>0.596</v>
      </c>
      <c r="Z191" s="9">
        <v>0.5926</v>
      </c>
      <c r="AA191" s="9">
        <v>0.5901</v>
      </c>
      <c r="AB191" s="9">
        <v>0.5875</v>
      </c>
      <c r="AC191" s="9">
        <v>0.5842</v>
      </c>
      <c r="AD191" s="9">
        <v>0.5796</v>
      </c>
      <c r="AE191" s="9">
        <v>0.5741</v>
      </c>
      <c r="AF191" s="9">
        <v>0.5764</v>
      </c>
      <c r="AG191" s="9">
        <v>0.5765</v>
      </c>
      <c r="AH191" s="9">
        <v>0.5766</v>
      </c>
      <c r="AI191" s="9">
        <v>0.5764</v>
      </c>
      <c r="AJ191" s="9">
        <v>0.5761</v>
      </c>
      <c r="AK191" s="9">
        <v>0.5751</v>
      </c>
      <c r="AL191" s="9">
        <v>0.576</v>
      </c>
      <c r="AM191" s="9">
        <v>0.5767</v>
      </c>
      <c r="AN191" s="9">
        <v>0.5765</v>
      </c>
      <c r="AO191" s="9">
        <v>0.5762</v>
      </c>
      <c r="AP191" s="9">
        <v>0.5762</v>
      </c>
      <c r="AQ191" s="9">
        <v>0.5762</v>
      </c>
      <c r="AR191" s="9">
        <v>0.5762</v>
      </c>
      <c r="AS191" s="9">
        <v>0.5762</v>
      </c>
      <c r="AT191" s="9">
        <v>0.5762</v>
      </c>
    </row>
    <row r="192" ht="14.25" customHeight="1">
      <c r="A192" s="2" t="s">
        <v>335</v>
      </c>
      <c r="B192" s="9">
        <v>0.682</v>
      </c>
      <c r="C192" s="9">
        <v>0.682</v>
      </c>
      <c r="D192" s="9">
        <v>0.682</v>
      </c>
      <c r="E192" s="9">
        <v>0.682</v>
      </c>
      <c r="F192" s="9">
        <v>0.682</v>
      </c>
      <c r="G192" s="9">
        <v>0.682</v>
      </c>
      <c r="H192" s="9">
        <v>0.682</v>
      </c>
      <c r="I192" s="9">
        <v>0.682</v>
      </c>
      <c r="J192" s="9">
        <v>0.682</v>
      </c>
      <c r="K192" s="9">
        <v>0.682</v>
      </c>
      <c r="L192" s="9">
        <v>0.682</v>
      </c>
      <c r="M192" s="9">
        <v>0.682</v>
      </c>
      <c r="N192" s="9">
        <v>0.682</v>
      </c>
      <c r="O192" s="9">
        <v>0.682</v>
      </c>
      <c r="P192" s="9">
        <v>0.682</v>
      </c>
      <c r="Q192" s="9">
        <v>0.682</v>
      </c>
      <c r="R192" s="9">
        <v>0.682</v>
      </c>
      <c r="S192" s="9">
        <v>0.682</v>
      </c>
      <c r="T192" s="9">
        <v>0.682</v>
      </c>
      <c r="U192" s="9">
        <v>0.682</v>
      </c>
      <c r="V192" s="9">
        <v>0.682</v>
      </c>
      <c r="W192" s="9">
        <v>0.6903</v>
      </c>
      <c r="X192" s="9">
        <v>0.6885</v>
      </c>
      <c r="Y192" s="9">
        <v>0.6848</v>
      </c>
      <c r="Z192" s="9">
        <v>0.6817</v>
      </c>
      <c r="AA192" s="9">
        <v>0.6794</v>
      </c>
      <c r="AB192" s="9">
        <v>0.6749</v>
      </c>
      <c r="AC192" s="9">
        <v>0.6812</v>
      </c>
      <c r="AD192" s="9">
        <v>0.6744</v>
      </c>
      <c r="AE192" s="9">
        <v>0.6684</v>
      </c>
      <c r="AF192" s="9">
        <v>0.6678</v>
      </c>
      <c r="AG192" s="9">
        <v>0.6616</v>
      </c>
      <c r="AH192" s="9">
        <v>0.656</v>
      </c>
      <c r="AI192" s="9">
        <v>0.6594</v>
      </c>
      <c r="AJ192" s="9">
        <v>0.6552</v>
      </c>
      <c r="AK192" s="9">
        <v>0.6514</v>
      </c>
      <c r="AL192" s="9">
        <v>0.6525</v>
      </c>
      <c r="AM192" s="9">
        <v>0.653</v>
      </c>
      <c r="AN192" s="9">
        <v>0.655</v>
      </c>
      <c r="AO192" s="9">
        <v>0.6523</v>
      </c>
      <c r="AP192" s="9">
        <v>0.6739</v>
      </c>
      <c r="AQ192" s="9">
        <v>0.6609</v>
      </c>
      <c r="AR192" s="9">
        <v>0.6502</v>
      </c>
      <c r="AS192" s="9">
        <v>0.6505</v>
      </c>
      <c r="AT192" s="9">
        <v>0.6505</v>
      </c>
    </row>
    <row r="193" ht="14.25" customHeight="1">
      <c r="A193" s="2" t="s">
        <v>336</v>
      </c>
      <c r="B193" s="9">
        <v>0.6823</v>
      </c>
      <c r="C193" s="9">
        <v>0.6823</v>
      </c>
      <c r="D193" s="9">
        <v>0.6823</v>
      </c>
      <c r="E193" s="9">
        <v>0.6823</v>
      </c>
      <c r="F193" s="9">
        <v>0.6823</v>
      </c>
      <c r="G193" s="9">
        <v>0.6823</v>
      </c>
      <c r="H193" s="9">
        <v>0.6823</v>
      </c>
      <c r="I193" s="9">
        <v>0.6823</v>
      </c>
      <c r="J193" s="9">
        <v>0.6823</v>
      </c>
      <c r="K193" s="9">
        <v>0.6823</v>
      </c>
      <c r="L193" s="9">
        <v>0.6823</v>
      </c>
      <c r="M193" s="9">
        <v>0.6823</v>
      </c>
      <c r="N193" s="9">
        <v>0.6823</v>
      </c>
      <c r="O193" s="9">
        <v>0.6823</v>
      </c>
      <c r="P193" s="9">
        <v>0.6823</v>
      </c>
      <c r="Q193" s="9">
        <v>0.6823</v>
      </c>
      <c r="R193" s="9">
        <v>0.6823</v>
      </c>
      <c r="S193" s="9">
        <v>0.6823</v>
      </c>
      <c r="T193" s="9">
        <v>0.6823</v>
      </c>
      <c r="U193" s="9">
        <v>0.6823</v>
      </c>
      <c r="V193" s="9">
        <v>0.6823</v>
      </c>
      <c r="W193" s="9">
        <v>0.7394</v>
      </c>
      <c r="X193" s="9">
        <v>0.7271</v>
      </c>
      <c r="Y193" s="9">
        <v>0.7652</v>
      </c>
      <c r="Z193" s="9">
        <v>0.7194</v>
      </c>
      <c r="AA193" s="9">
        <v>0.706</v>
      </c>
      <c r="AB193" s="9">
        <v>0.7125</v>
      </c>
      <c r="AC193" s="9">
        <v>0.699</v>
      </c>
      <c r="AD193" s="9">
        <v>0.695</v>
      </c>
      <c r="AE193" s="9">
        <v>0.6799</v>
      </c>
      <c r="AF193" s="9">
        <v>0.6785</v>
      </c>
      <c r="AG193" s="9">
        <v>0.677</v>
      </c>
      <c r="AH193" s="9">
        <v>0.6711</v>
      </c>
      <c r="AI193" s="9">
        <v>0.6745</v>
      </c>
      <c r="AJ193" s="9">
        <v>0.6669</v>
      </c>
      <c r="AK193" s="9">
        <v>0.6694</v>
      </c>
      <c r="AL193" s="9">
        <v>0.6719</v>
      </c>
      <c r="AM193" s="9">
        <v>0.6978</v>
      </c>
      <c r="AN193" s="9">
        <v>0.6801</v>
      </c>
      <c r="AO193" s="9">
        <v>0.6715</v>
      </c>
      <c r="AP193" s="9">
        <v>0.7624</v>
      </c>
      <c r="AQ193" s="9">
        <v>0.7295</v>
      </c>
      <c r="AR193" s="9">
        <v>0.6966</v>
      </c>
      <c r="AS193" s="9">
        <v>0.6856</v>
      </c>
      <c r="AT193" s="9">
        <v>0.6856</v>
      </c>
    </row>
    <row r="194" ht="14.25" customHeight="1">
      <c r="A194" s="2" t="s">
        <v>337</v>
      </c>
      <c r="B194" s="9">
        <v>0.5838</v>
      </c>
      <c r="C194" s="9">
        <v>0.5838</v>
      </c>
      <c r="D194" s="9">
        <v>0.5838</v>
      </c>
      <c r="E194" s="9">
        <v>0.5838</v>
      </c>
      <c r="F194" s="9">
        <v>0.5838</v>
      </c>
      <c r="G194" s="9">
        <v>0.5838</v>
      </c>
      <c r="H194" s="9">
        <v>0.5816</v>
      </c>
      <c r="I194" s="9">
        <v>0.5795</v>
      </c>
      <c r="J194" s="9">
        <v>0.5775</v>
      </c>
      <c r="K194" s="9">
        <v>0.588</v>
      </c>
      <c r="L194" s="9">
        <v>0.5981</v>
      </c>
      <c r="M194" s="9">
        <v>0.6077</v>
      </c>
      <c r="N194" s="9">
        <v>0.6036</v>
      </c>
      <c r="O194" s="9">
        <v>0.5996</v>
      </c>
      <c r="P194" s="9">
        <v>0.5972</v>
      </c>
      <c r="Q194" s="9">
        <v>0.6117</v>
      </c>
      <c r="R194" s="9">
        <v>0.6236</v>
      </c>
      <c r="S194" s="9">
        <v>0.6349</v>
      </c>
      <c r="T194" s="9">
        <v>0.625</v>
      </c>
      <c r="U194" s="9">
        <v>0.6145</v>
      </c>
      <c r="V194" s="9">
        <v>0.6094</v>
      </c>
      <c r="W194" s="9">
        <v>0.6074</v>
      </c>
      <c r="X194" s="9">
        <v>0.6002</v>
      </c>
      <c r="Y194" s="9">
        <v>0.5923</v>
      </c>
      <c r="Z194" s="9">
        <v>0.594</v>
      </c>
      <c r="AA194" s="9">
        <v>0.5927</v>
      </c>
      <c r="AB194" s="9">
        <v>0.5902</v>
      </c>
      <c r="AC194" s="9">
        <v>0.5877</v>
      </c>
      <c r="AD194" s="9">
        <v>0.5857</v>
      </c>
      <c r="AE194" s="9">
        <v>0.5871</v>
      </c>
      <c r="AF194" s="9">
        <v>0.5867</v>
      </c>
      <c r="AG194" s="9">
        <v>0.584</v>
      </c>
      <c r="AH194" s="9">
        <v>0.5816</v>
      </c>
      <c r="AI194" s="9">
        <v>0.5777</v>
      </c>
      <c r="AJ194" s="9">
        <v>0.5723</v>
      </c>
      <c r="AK194" s="9">
        <v>0.568</v>
      </c>
      <c r="AL194" s="9">
        <v>0.5616</v>
      </c>
      <c r="AM194" s="9">
        <v>0.5544</v>
      </c>
      <c r="AN194" s="9">
        <v>0.5469</v>
      </c>
      <c r="AO194" s="9">
        <v>0.5469</v>
      </c>
      <c r="AP194" s="9">
        <v>0.5469</v>
      </c>
      <c r="AQ194" s="9">
        <v>0.5469</v>
      </c>
      <c r="AR194" s="9">
        <v>0.5469</v>
      </c>
      <c r="AS194" s="9">
        <v>0.5469</v>
      </c>
      <c r="AT194" s="9">
        <v>0.5469</v>
      </c>
    </row>
    <row r="195" ht="14.25" customHeight="1">
      <c r="A195" s="2" t="s">
        <v>338</v>
      </c>
      <c r="B195" s="9">
        <v>0.2879</v>
      </c>
      <c r="C195" s="9">
        <v>0.2879</v>
      </c>
      <c r="D195" s="9">
        <v>0.2879</v>
      </c>
      <c r="E195" s="9">
        <v>0.2879</v>
      </c>
      <c r="F195" s="9">
        <v>0.2972</v>
      </c>
      <c r="G195" s="9">
        <v>0.2935</v>
      </c>
      <c r="H195" s="9">
        <v>0.3087</v>
      </c>
      <c r="I195" s="9">
        <v>0.3009</v>
      </c>
      <c r="J195" s="9">
        <v>0.2956</v>
      </c>
      <c r="K195" s="9">
        <v>0.3074</v>
      </c>
      <c r="L195" s="9">
        <v>0.3336</v>
      </c>
      <c r="M195" s="9">
        <v>0.3396</v>
      </c>
      <c r="N195" s="9">
        <v>0.3503</v>
      </c>
      <c r="O195" s="9">
        <v>0.3583</v>
      </c>
      <c r="P195" s="9">
        <v>0.3799</v>
      </c>
      <c r="Q195" s="9">
        <v>0.4074</v>
      </c>
      <c r="R195" s="9">
        <v>0.4081</v>
      </c>
      <c r="S195" s="9">
        <v>0.4061</v>
      </c>
      <c r="T195" s="9">
        <v>0.4067</v>
      </c>
      <c r="U195" s="9">
        <v>0.4126</v>
      </c>
      <c r="V195" s="9">
        <v>0.432</v>
      </c>
      <c r="W195" s="9">
        <v>0.4368</v>
      </c>
      <c r="X195" s="9">
        <v>0.4461</v>
      </c>
      <c r="Y195" s="9">
        <v>0.4626</v>
      </c>
      <c r="Z195" s="9">
        <v>0.4672</v>
      </c>
      <c r="AA195" s="9">
        <v>0.4803</v>
      </c>
      <c r="AB195" s="9">
        <v>0.4791</v>
      </c>
      <c r="AC195" s="9">
        <v>0.4726</v>
      </c>
      <c r="AD195" s="9">
        <v>0.4786</v>
      </c>
      <c r="AE195" s="9">
        <v>0.4713</v>
      </c>
      <c r="AF195" s="9">
        <v>0.4697</v>
      </c>
      <c r="AG195" s="9">
        <v>0.4742</v>
      </c>
      <c r="AH195" s="9">
        <v>0.4719</v>
      </c>
      <c r="AI195" s="9">
        <v>0.472</v>
      </c>
      <c r="AJ195" s="9">
        <v>0.477</v>
      </c>
      <c r="AK195" s="9">
        <v>0.4817</v>
      </c>
      <c r="AL195" s="9">
        <v>0.4811</v>
      </c>
      <c r="AM195" s="9">
        <v>0.4761</v>
      </c>
      <c r="AN195" s="9">
        <v>0.4803</v>
      </c>
      <c r="AO195" s="9">
        <v>0.4824</v>
      </c>
      <c r="AP195" s="9">
        <v>0.4824</v>
      </c>
      <c r="AQ195" s="9">
        <v>0.4832</v>
      </c>
      <c r="AR195" s="9">
        <v>0.484</v>
      </c>
      <c r="AS195" s="9">
        <v>0.484</v>
      </c>
      <c r="AT195" s="9">
        <v>0.484</v>
      </c>
    </row>
    <row r="196" ht="14.25" customHeight="1">
      <c r="A196" s="2" t="s">
        <v>339</v>
      </c>
      <c r="B196" s="9">
        <v>0.3864</v>
      </c>
      <c r="C196" s="9">
        <v>0.371</v>
      </c>
      <c r="D196" s="9">
        <v>0.4169</v>
      </c>
      <c r="E196" s="9">
        <v>0.4196</v>
      </c>
      <c r="F196" s="9">
        <v>0.4305</v>
      </c>
      <c r="G196" s="9">
        <v>0.4367</v>
      </c>
      <c r="H196" s="9">
        <v>0.4395</v>
      </c>
      <c r="I196" s="9">
        <v>0.4373</v>
      </c>
      <c r="J196" s="9">
        <v>0.4421</v>
      </c>
      <c r="K196" s="9">
        <v>0.4428</v>
      </c>
      <c r="L196" s="9">
        <v>0.4376</v>
      </c>
      <c r="M196" s="9">
        <v>0.4471</v>
      </c>
      <c r="N196" s="9">
        <v>0.4586</v>
      </c>
      <c r="O196" s="9">
        <v>0.4785</v>
      </c>
      <c r="P196" s="9">
        <v>0.4899</v>
      </c>
      <c r="Q196" s="9">
        <v>0.4898</v>
      </c>
      <c r="R196" s="9">
        <v>0.4787</v>
      </c>
      <c r="S196" s="9">
        <v>0.4851</v>
      </c>
      <c r="T196" s="9">
        <v>0.4823</v>
      </c>
      <c r="U196" s="9">
        <v>0.4875</v>
      </c>
      <c r="V196" s="9">
        <v>0.4848</v>
      </c>
      <c r="W196" s="9">
        <v>0.5086</v>
      </c>
      <c r="X196" s="9">
        <v>0.4966</v>
      </c>
      <c r="Y196" s="9">
        <v>0.4926</v>
      </c>
      <c r="Z196" s="9">
        <v>0.5091</v>
      </c>
      <c r="AA196" s="9">
        <v>0.5017</v>
      </c>
      <c r="AB196" s="9">
        <v>0.5037</v>
      </c>
      <c r="AC196" s="9">
        <v>0.5048</v>
      </c>
      <c r="AD196" s="9">
        <v>0.4877</v>
      </c>
      <c r="AE196" s="9">
        <v>0.4845</v>
      </c>
      <c r="AF196" s="9">
        <v>0.4885</v>
      </c>
      <c r="AG196" s="9">
        <v>0.4939</v>
      </c>
      <c r="AH196" s="9">
        <v>0.4846</v>
      </c>
      <c r="AI196" s="9">
        <v>0.4964</v>
      </c>
      <c r="AJ196" s="9">
        <v>0.4925</v>
      </c>
      <c r="AK196" s="9">
        <v>0.4873</v>
      </c>
      <c r="AL196" s="9">
        <v>0.4869</v>
      </c>
      <c r="AM196" s="9">
        <v>0.4847</v>
      </c>
      <c r="AN196" s="9">
        <v>0.4747</v>
      </c>
      <c r="AO196" s="9">
        <v>0.4661</v>
      </c>
      <c r="AP196" s="9">
        <v>0.4661</v>
      </c>
      <c r="AQ196" s="9">
        <v>0.4572</v>
      </c>
      <c r="AR196" s="9">
        <v>0.4573</v>
      </c>
      <c r="AS196" s="9">
        <v>0.4574</v>
      </c>
      <c r="AT196" s="9">
        <v>0.4574</v>
      </c>
    </row>
    <row r="197" ht="14.25" customHeight="1">
      <c r="A197" s="2" t="s">
        <v>340</v>
      </c>
      <c r="B197" s="9">
        <v>0.6852</v>
      </c>
      <c r="C197" s="9">
        <v>0.6854</v>
      </c>
      <c r="D197" s="9">
        <v>0.6857</v>
      </c>
      <c r="E197" s="9">
        <v>0.6859</v>
      </c>
      <c r="F197" s="9">
        <v>0.6861</v>
      </c>
      <c r="G197" s="9">
        <v>0.6863</v>
      </c>
      <c r="H197" s="9">
        <v>0.6866</v>
      </c>
      <c r="I197" s="9">
        <v>0.6868</v>
      </c>
      <c r="J197" s="9">
        <v>0.6871</v>
      </c>
      <c r="K197" s="9">
        <v>0.6877</v>
      </c>
      <c r="L197" s="9">
        <v>0.6879</v>
      </c>
      <c r="M197" s="9">
        <v>0.6868</v>
      </c>
      <c r="N197" s="9">
        <v>0.6859</v>
      </c>
      <c r="O197" s="9">
        <v>0.6851</v>
      </c>
      <c r="P197" s="9">
        <v>0.6842</v>
      </c>
      <c r="Q197" s="9">
        <v>0.6834</v>
      </c>
      <c r="R197" s="9">
        <v>0.6826</v>
      </c>
      <c r="S197" s="9">
        <v>0.6818</v>
      </c>
      <c r="T197" s="9">
        <v>0.681</v>
      </c>
      <c r="U197" s="9">
        <v>0.6802</v>
      </c>
      <c r="V197" s="9">
        <v>0.6794</v>
      </c>
      <c r="W197" s="9">
        <v>0.6781</v>
      </c>
      <c r="X197" s="9">
        <v>0.6768</v>
      </c>
      <c r="Y197" s="9">
        <v>0.6756</v>
      </c>
      <c r="Z197" s="9">
        <v>0.6745</v>
      </c>
      <c r="AA197" s="9">
        <v>0.6734</v>
      </c>
      <c r="AB197" s="9">
        <v>0.6724</v>
      </c>
      <c r="AC197" s="9">
        <v>0.6714</v>
      </c>
      <c r="AD197" s="9">
        <v>0.6704</v>
      </c>
      <c r="AE197" s="9">
        <v>0.6695</v>
      </c>
      <c r="AF197" s="9">
        <v>0.6687</v>
      </c>
      <c r="AG197" s="9">
        <v>0.6601</v>
      </c>
      <c r="AH197" s="9">
        <v>0.6516</v>
      </c>
      <c r="AI197" s="9">
        <v>0.6431</v>
      </c>
      <c r="AJ197" s="9">
        <v>0.6347</v>
      </c>
      <c r="AK197" s="9">
        <v>0.6264</v>
      </c>
      <c r="AL197" s="9">
        <v>0.6182</v>
      </c>
      <c r="AM197" s="9">
        <v>0.6099</v>
      </c>
      <c r="AN197" s="9">
        <v>0.6018</v>
      </c>
      <c r="AO197" s="9">
        <v>0.5937</v>
      </c>
      <c r="AP197" s="9">
        <v>0.5868</v>
      </c>
      <c r="AQ197" s="9">
        <v>0.5868</v>
      </c>
      <c r="AR197" s="9">
        <v>0.5868</v>
      </c>
      <c r="AS197" s="9">
        <v>0.5868</v>
      </c>
      <c r="AT197" s="9">
        <v>0.5868</v>
      </c>
    </row>
    <row r="198" ht="14.25" customHeight="1">
      <c r="A198" s="2" t="s">
        <v>341</v>
      </c>
      <c r="B198" s="9">
        <v>0.663</v>
      </c>
      <c r="C198" s="9">
        <v>0.663</v>
      </c>
      <c r="D198" s="9">
        <v>0.663</v>
      </c>
      <c r="E198" s="9">
        <v>0.663</v>
      </c>
      <c r="F198" s="9">
        <v>0.663</v>
      </c>
      <c r="G198" s="9">
        <v>0.663</v>
      </c>
      <c r="H198" s="9">
        <v>0.663</v>
      </c>
      <c r="I198" s="9">
        <v>0.663</v>
      </c>
      <c r="J198" s="9">
        <v>0.663</v>
      </c>
      <c r="K198" s="9">
        <v>0.663</v>
      </c>
      <c r="L198" s="9">
        <v>0.663</v>
      </c>
      <c r="M198" s="9">
        <v>0.663</v>
      </c>
      <c r="N198" s="9">
        <v>0.663</v>
      </c>
      <c r="O198" s="9">
        <v>0.663</v>
      </c>
      <c r="P198" s="9">
        <v>0.663</v>
      </c>
      <c r="Q198" s="9">
        <v>0.663</v>
      </c>
      <c r="R198" s="9">
        <v>0.663</v>
      </c>
      <c r="S198" s="9">
        <v>0.663</v>
      </c>
      <c r="T198" s="9">
        <v>0.663</v>
      </c>
      <c r="U198" s="9">
        <v>0.663</v>
      </c>
      <c r="V198" s="9">
        <v>0.663</v>
      </c>
      <c r="W198" s="9">
        <v>0.663</v>
      </c>
      <c r="X198" s="9">
        <v>0.663</v>
      </c>
      <c r="Y198" s="9">
        <v>0.663</v>
      </c>
      <c r="Z198" s="9">
        <v>0.663</v>
      </c>
      <c r="AA198" s="9">
        <v>0.663</v>
      </c>
      <c r="AB198" s="9">
        <v>0.663</v>
      </c>
      <c r="AC198" s="9">
        <v>0.663</v>
      </c>
      <c r="AD198" s="9">
        <v>0.6621</v>
      </c>
      <c r="AE198" s="9">
        <v>0.6611</v>
      </c>
      <c r="AF198" s="9">
        <v>0.6603</v>
      </c>
      <c r="AG198" s="9">
        <v>0.6594</v>
      </c>
      <c r="AH198" s="9">
        <v>0.6586</v>
      </c>
      <c r="AI198" s="9">
        <v>0.6586</v>
      </c>
      <c r="AJ198" s="9">
        <v>0.6586</v>
      </c>
      <c r="AK198" s="9">
        <v>0.6586</v>
      </c>
      <c r="AL198" s="9">
        <v>0.6586</v>
      </c>
      <c r="AM198" s="9">
        <v>0.6586</v>
      </c>
      <c r="AN198" s="9">
        <v>0.6586</v>
      </c>
      <c r="AO198" s="9">
        <v>0.6586</v>
      </c>
      <c r="AP198" s="9">
        <v>0.6586</v>
      </c>
      <c r="AQ198" s="9">
        <v>0.6586</v>
      </c>
      <c r="AR198" s="9">
        <v>0.6586</v>
      </c>
      <c r="AS198" s="9">
        <v>0.6586</v>
      </c>
      <c r="AT198" s="9">
        <v>0.6586</v>
      </c>
    </row>
    <row r="199" ht="14.25" customHeight="1">
      <c r="A199" s="2" t="s">
        <v>342</v>
      </c>
      <c r="B199" s="9">
        <v>0.3104</v>
      </c>
      <c r="C199" s="9">
        <v>0.3104</v>
      </c>
      <c r="D199" s="9">
        <v>0.3104</v>
      </c>
      <c r="E199" s="9">
        <v>0.3104</v>
      </c>
      <c r="F199" s="9">
        <v>0.3104</v>
      </c>
      <c r="G199" s="9">
        <v>0.3104</v>
      </c>
      <c r="H199" s="9">
        <v>0.3104</v>
      </c>
      <c r="I199" s="9">
        <v>0.3104</v>
      </c>
      <c r="J199" s="9">
        <v>0.3104</v>
      </c>
      <c r="K199" s="9">
        <v>0.3104</v>
      </c>
      <c r="L199" s="9">
        <v>0.3261</v>
      </c>
      <c r="M199" s="9">
        <v>0.3427</v>
      </c>
      <c r="N199" s="9">
        <v>0.3591</v>
      </c>
      <c r="O199" s="9">
        <v>0.3745</v>
      </c>
      <c r="P199" s="9">
        <v>0.393</v>
      </c>
      <c r="Q199" s="9">
        <v>0.4677</v>
      </c>
      <c r="R199" s="9">
        <v>0.4649</v>
      </c>
      <c r="S199" s="9">
        <v>0.4692</v>
      </c>
      <c r="T199" s="9">
        <v>0.4804</v>
      </c>
      <c r="U199" s="9">
        <v>0.466</v>
      </c>
      <c r="V199" s="9">
        <v>0.4628</v>
      </c>
      <c r="W199" s="9">
        <v>0.465</v>
      </c>
      <c r="X199" s="9">
        <v>0.4892</v>
      </c>
      <c r="Y199" s="9">
        <v>0.5239</v>
      </c>
      <c r="Z199" s="9">
        <v>0.5206</v>
      </c>
      <c r="AA199" s="9">
        <v>0.5315</v>
      </c>
      <c r="AB199" s="9">
        <v>0.5331</v>
      </c>
      <c r="AC199" s="9">
        <v>0.569</v>
      </c>
      <c r="AD199" s="9">
        <v>0.5628</v>
      </c>
      <c r="AE199" s="9">
        <v>0.5627</v>
      </c>
      <c r="AF199" s="9">
        <v>0.5203</v>
      </c>
      <c r="AG199" s="9">
        <v>0.5291</v>
      </c>
      <c r="AH199" s="9">
        <v>0.5421</v>
      </c>
      <c r="AI199" s="9">
        <v>0.5344</v>
      </c>
      <c r="AJ199" s="9">
        <v>0.549</v>
      </c>
      <c r="AK199" s="9">
        <v>0.5457</v>
      </c>
      <c r="AL199" s="9">
        <v>0.5113</v>
      </c>
      <c r="AM199" s="9">
        <v>0.5202</v>
      </c>
      <c r="AN199" s="9">
        <v>0.543</v>
      </c>
      <c r="AO199" s="9">
        <v>0.539</v>
      </c>
      <c r="AP199" s="9">
        <v>0.539</v>
      </c>
      <c r="AQ199" s="9">
        <v>0.5396</v>
      </c>
      <c r="AR199" s="9">
        <v>0.541</v>
      </c>
      <c r="AS199" s="9">
        <v>0.5406</v>
      </c>
      <c r="AT199" s="9">
        <v>0.5406</v>
      </c>
    </row>
    <row r="200" ht="14.25" customHeight="1">
      <c r="A200" s="2" t="s">
        <v>410</v>
      </c>
      <c r="B200" s="9">
        <v>0.3329</v>
      </c>
      <c r="C200" s="9">
        <v>0.3422</v>
      </c>
      <c r="D200" s="9">
        <v>0.349</v>
      </c>
      <c r="E200" s="9">
        <v>0.3542</v>
      </c>
      <c r="F200" s="9">
        <v>0.3584</v>
      </c>
      <c r="G200" s="9">
        <v>0.3619</v>
      </c>
      <c r="H200" s="9">
        <v>0.3707</v>
      </c>
      <c r="I200" s="9">
        <v>0.3774</v>
      </c>
      <c r="J200" s="9">
        <v>0.3827</v>
      </c>
      <c r="K200" s="9">
        <v>0.387</v>
      </c>
      <c r="L200" s="9">
        <v>0.3907</v>
      </c>
      <c r="M200" s="9">
        <v>0.4043</v>
      </c>
      <c r="N200" s="9">
        <v>0.4128</v>
      </c>
      <c r="O200" s="9">
        <v>0.4201</v>
      </c>
      <c r="P200" s="9">
        <v>0.4262</v>
      </c>
      <c r="Q200" s="9">
        <v>0.4275</v>
      </c>
      <c r="R200" s="9">
        <v>0.43</v>
      </c>
      <c r="S200" s="9">
        <v>0.4315</v>
      </c>
      <c r="T200" s="9">
        <v>0.4267</v>
      </c>
      <c r="U200" s="9">
        <v>0.4311</v>
      </c>
      <c r="V200" s="9">
        <v>0.4531</v>
      </c>
      <c r="W200" s="9">
        <v>0.4608</v>
      </c>
      <c r="X200" s="9">
        <v>0.4665</v>
      </c>
      <c r="Y200" s="9">
        <v>0.4677</v>
      </c>
      <c r="Z200" s="9">
        <v>0.4601</v>
      </c>
      <c r="AA200" s="9">
        <v>0.4886</v>
      </c>
      <c r="AB200" s="9">
        <v>0.483</v>
      </c>
      <c r="AC200" s="9">
        <v>0.4921</v>
      </c>
      <c r="AD200" s="9">
        <v>0.4903</v>
      </c>
      <c r="AE200" s="9">
        <v>0.4963</v>
      </c>
      <c r="AF200" s="9">
        <v>0.5239</v>
      </c>
      <c r="AG200" s="9">
        <v>0.5292</v>
      </c>
      <c r="AH200" s="9">
        <v>0.5259</v>
      </c>
      <c r="AI200" s="9">
        <v>0.524</v>
      </c>
      <c r="AJ200" s="9">
        <v>0.5232</v>
      </c>
      <c r="AK200" s="9">
        <v>0.524</v>
      </c>
      <c r="AL200" s="9"/>
      <c r="AM200" s="9"/>
      <c r="AN200" s="9"/>
      <c r="AO200" s="9"/>
      <c r="AP200" s="9"/>
      <c r="AQ200" s="9"/>
      <c r="AR200" s="9"/>
      <c r="AS200" s="9"/>
      <c r="AT200" s="9"/>
    </row>
    <row r="201" ht="14.25" customHeight="1">
      <c r="A201" s="2" t="s">
        <v>343</v>
      </c>
      <c r="B201" s="9">
        <v>0.3657</v>
      </c>
      <c r="C201" s="9">
        <v>0.3662</v>
      </c>
      <c r="D201" s="9">
        <v>0.3663</v>
      </c>
      <c r="E201" s="9">
        <v>0.3677</v>
      </c>
      <c r="F201" s="9">
        <v>0.3674</v>
      </c>
      <c r="G201" s="9">
        <v>0.3681</v>
      </c>
      <c r="H201" s="9">
        <v>0.371</v>
      </c>
      <c r="I201" s="9">
        <v>0.3717</v>
      </c>
      <c r="J201" s="9">
        <v>0.369</v>
      </c>
      <c r="K201" s="9">
        <v>0.3763</v>
      </c>
      <c r="L201" s="9">
        <v>0.3961</v>
      </c>
      <c r="M201" s="9">
        <v>0.4168</v>
      </c>
      <c r="N201" s="9">
        <v>0.5067</v>
      </c>
      <c r="O201" s="9">
        <v>0.5334</v>
      </c>
      <c r="P201" s="9">
        <v>0.5856</v>
      </c>
      <c r="Q201" s="9">
        <v>0.6229</v>
      </c>
      <c r="R201" s="9">
        <v>0.6674</v>
      </c>
      <c r="S201" s="9">
        <v>0.6374</v>
      </c>
      <c r="T201" s="9">
        <v>0.6101</v>
      </c>
      <c r="U201" s="9">
        <v>0.6223</v>
      </c>
      <c r="V201" s="9">
        <v>0.6451</v>
      </c>
      <c r="W201" s="9">
        <v>0.6507</v>
      </c>
      <c r="X201" s="9">
        <v>0.6423</v>
      </c>
      <c r="Y201" s="9">
        <v>0.6422</v>
      </c>
      <c r="Z201" s="9">
        <v>0.6337</v>
      </c>
      <c r="AA201" s="9">
        <v>0.635</v>
      </c>
      <c r="AB201" s="9">
        <v>0.6412</v>
      </c>
      <c r="AC201" s="9">
        <v>0.6448</v>
      </c>
      <c r="AD201" s="9">
        <v>0.6404</v>
      </c>
      <c r="AE201" s="9">
        <v>0.62</v>
      </c>
      <c r="AF201" s="9">
        <v>0.5989</v>
      </c>
      <c r="AG201" s="9">
        <v>0.6083</v>
      </c>
      <c r="AH201" s="9">
        <v>0.5993</v>
      </c>
      <c r="AI201" s="9">
        <v>0.6058</v>
      </c>
      <c r="AJ201" s="9">
        <v>0.6002</v>
      </c>
      <c r="AK201" s="9">
        <v>0.5972</v>
      </c>
      <c r="AL201" s="9">
        <v>0.601</v>
      </c>
      <c r="AM201" s="9">
        <v>0.5983</v>
      </c>
      <c r="AN201" s="9">
        <v>0.603</v>
      </c>
      <c r="AO201" s="9">
        <v>0.6022</v>
      </c>
      <c r="AP201" s="9">
        <v>0.6205</v>
      </c>
      <c r="AQ201" s="9">
        <v>0.624</v>
      </c>
      <c r="AR201" s="9">
        <v>0.6267</v>
      </c>
      <c r="AS201" s="9">
        <v>0.6251</v>
      </c>
      <c r="AT201" s="9">
        <v>0.6244</v>
      </c>
    </row>
    <row r="202" ht="14.25" customHeight="1">
      <c r="A202" s="2" t="s">
        <v>344</v>
      </c>
      <c r="B202" s="9">
        <v>0.3625</v>
      </c>
      <c r="C202" s="9">
        <v>0.362</v>
      </c>
      <c r="D202" s="9">
        <v>0.3616</v>
      </c>
      <c r="E202" s="9">
        <v>0.363</v>
      </c>
      <c r="F202" s="9">
        <v>0.3631</v>
      </c>
      <c r="G202" s="9">
        <v>0.3633</v>
      </c>
      <c r="H202" s="9">
        <v>0.3659</v>
      </c>
      <c r="I202" s="9">
        <v>0.3669</v>
      </c>
      <c r="J202" s="9">
        <v>0.3647</v>
      </c>
      <c r="K202" s="9">
        <v>0.3703</v>
      </c>
      <c r="L202" s="9">
        <v>0.3897</v>
      </c>
      <c r="M202" s="9">
        <v>0.4083</v>
      </c>
      <c r="N202" s="9">
        <v>0.4979</v>
      </c>
      <c r="O202" s="9">
        <v>0.5244</v>
      </c>
      <c r="P202" s="9">
        <v>0.5761</v>
      </c>
      <c r="Q202" s="9">
        <v>0.6131</v>
      </c>
      <c r="R202" s="9">
        <v>0.6535</v>
      </c>
      <c r="S202" s="9">
        <v>0.6248</v>
      </c>
      <c r="T202" s="9">
        <v>0.598</v>
      </c>
      <c r="U202" s="9">
        <v>0.61</v>
      </c>
      <c r="V202" s="9">
        <v>0.6331</v>
      </c>
      <c r="W202" s="9">
        <v>0.6403</v>
      </c>
      <c r="X202" s="9">
        <v>0.6306</v>
      </c>
      <c r="Y202" s="9">
        <v>0.6308</v>
      </c>
      <c r="Z202" s="9">
        <v>0.6224</v>
      </c>
      <c r="AA202" s="9">
        <v>0.6241</v>
      </c>
      <c r="AB202" s="9">
        <v>0.6311</v>
      </c>
      <c r="AC202" s="9">
        <v>0.6348</v>
      </c>
      <c r="AD202" s="9">
        <v>0.6292</v>
      </c>
      <c r="AE202" s="9">
        <v>0.6079</v>
      </c>
      <c r="AF202" s="9">
        <v>0.5862</v>
      </c>
      <c r="AG202" s="9">
        <v>0.5957</v>
      </c>
      <c r="AH202" s="9">
        <v>0.5858</v>
      </c>
      <c r="AI202" s="9">
        <v>0.594</v>
      </c>
      <c r="AJ202" s="9">
        <v>0.5869</v>
      </c>
      <c r="AK202" s="9">
        <v>0.5837</v>
      </c>
      <c r="AL202" s="9">
        <v>0.5873</v>
      </c>
      <c r="AM202" s="9">
        <v>0.5842</v>
      </c>
      <c r="AN202" s="9">
        <v>0.5896</v>
      </c>
      <c r="AO202" s="9">
        <v>0.5889</v>
      </c>
      <c r="AP202" s="9">
        <v>0.6078</v>
      </c>
      <c r="AQ202" s="9">
        <v>0.6105</v>
      </c>
      <c r="AR202" s="9">
        <v>0.6135</v>
      </c>
      <c r="AS202" s="9">
        <v>0.612</v>
      </c>
      <c r="AT202" s="9">
        <v>0.6116</v>
      </c>
    </row>
    <row r="203" ht="14.25" customHeight="1">
      <c r="A203" s="2" t="s">
        <v>345</v>
      </c>
      <c r="B203" s="9">
        <v>0.3026</v>
      </c>
      <c r="C203" s="9">
        <v>0.3009</v>
      </c>
      <c r="D203" s="9">
        <v>0.2993</v>
      </c>
      <c r="E203" s="9">
        <v>0.2977</v>
      </c>
      <c r="F203" s="9">
        <v>0.2961</v>
      </c>
      <c r="G203" s="9">
        <v>0.2946</v>
      </c>
      <c r="H203" s="9">
        <v>0.2938</v>
      </c>
      <c r="I203" s="9">
        <v>0.2929</v>
      </c>
      <c r="J203" s="9">
        <v>0.2921</v>
      </c>
      <c r="K203" s="9">
        <v>0.2953</v>
      </c>
      <c r="L203" s="9">
        <v>0.309</v>
      </c>
      <c r="M203" s="9">
        <v>0.3191</v>
      </c>
      <c r="N203" s="9">
        <v>0.4354</v>
      </c>
      <c r="O203" s="9">
        <v>0.4594</v>
      </c>
      <c r="P203" s="9">
        <v>0.5381</v>
      </c>
      <c r="Q203" s="9">
        <v>0.5619</v>
      </c>
      <c r="R203" s="9">
        <v>0.6343</v>
      </c>
      <c r="S203" s="9">
        <v>0.5923</v>
      </c>
      <c r="T203" s="9">
        <v>0.5636</v>
      </c>
      <c r="U203" s="9">
        <v>0.5816</v>
      </c>
      <c r="V203" s="9">
        <v>0.6014</v>
      </c>
      <c r="W203" s="9">
        <v>0.6079</v>
      </c>
      <c r="X203" s="9">
        <v>0.5931</v>
      </c>
      <c r="Y203" s="9">
        <v>0.5963</v>
      </c>
      <c r="Z203" s="9">
        <v>0.5892</v>
      </c>
      <c r="AA203" s="9">
        <v>0.5826</v>
      </c>
      <c r="AB203" s="9">
        <v>0.597</v>
      </c>
      <c r="AC203" s="9">
        <v>0.5982</v>
      </c>
      <c r="AD203" s="9">
        <v>0.6121</v>
      </c>
      <c r="AE203" s="9">
        <v>0.5863</v>
      </c>
      <c r="AF203" s="9">
        <v>0.5491</v>
      </c>
      <c r="AG203" s="9">
        <v>0.5649</v>
      </c>
      <c r="AH203" s="9">
        <v>0.5468</v>
      </c>
      <c r="AI203" s="9">
        <v>0.5609</v>
      </c>
      <c r="AJ203" s="9">
        <v>0.5439</v>
      </c>
      <c r="AK203" s="9">
        <v>0.5407</v>
      </c>
      <c r="AL203" s="9">
        <v>0.5433</v>
      </c>
      <c r="AM203" s="9">
        <v>0.5397</v>
      </c>
      <c r="AN203" s="9">
        <v>0.5465</v>
      </c>
      <c r="AO203" s="9">
        <v>0.5475</v>
      </c>
      <c r="AP203" s="9">
        <v>0.582</v>
      </c>
      <c r="AQ203" s="9">
        <v>0.582</v>
      </c>
      <c r="AR203" s="9">
        <v>0.582</v>
      </c>
      <c r="AS203" s="9">
        <v>0.582</v>
      </c>
      <c r="AT203" s="9">
        <v>0.582</v>
      </c>
    </row>
    <row r="204" ht="14.25" customHeight="1">
      <c r="A204" s="2" t="s">
        <v>346</v>
      </c>
      <c r="B204" s="9">
        <v>0.668</v>
      </c>
      <c r="C204" s="9">
        <v>0.668</v>
      </c>
      <c r="D204" s="9">
        <v>0.668</v>
      </c>
      <c r="E204" s="9">
        <v>0.668</v>
      </c>
      <c r="F204" s="9">
        <v>0.668</v>
      </c>
      <c r="G204" s="9">
        <v>0.668</v>
      </c>
      <c r="H204" s="9">
        <v>0.668</v>
      </c>
      <c r="I204" s="9">
        <v>0.668</v>
      </c>
      <c r="J204" s="9">
        <v>0.668</v>
      </c>
      <c r="K204" s="9">
        <v>0.668</v>
      </c>
      <c r="L204" s="9">
        <v>0.668</v>
      </c>
      <c r="M204" s="9">
        <v>0.668</v>
      </c>
      <c r="N204" s="9">
        <v>0.668</v>
      </c>
      <c r="O204" s="9">
        <v>0.668</v>
      </c>
      <c r="P204" s="9">
        <v>0.668</v>
      </c>
      <c r="Q204" s="9">
        <v>0.668</v>
      </c>
      <c r="R204" s="9">
        <v>0.668</v>
      </c>
      <c r="S204" s="9">
        <v>0.668</v>
      </c>
      <c r="T204" s="9">
        <v>0.668</v>
      </c>
      <c r="U204" s="9">
        <v>0.668</v>
      </c>
      <c r="V204" s="9">
        <v>0.668</v>
      </c>
      <c r="W204" s="9">
        <v>0.6738</v>
      </c>
      <c r="X204" s="9">
        <v>0.6796</v>
      </c>
      <c r="Y204" s="9">
        <v>0.6854</v>
      </c>
      <c r="Z204" s="9">
        <v>0.6913</v>
      </c>
      <c r="AA204" s="9">
        <v>0.6971</v>
      </c>
      <c r="AB204" s="9">
        <v>0.6894</v>
      </c>
      <c r="AC204" s="9">
        <v>0.6817</v>
      </c>
      <c r="AD204" s="9">
        <v>0.674</v>
      </c>
      <c r="AE204" s="9">
        <v>0.6663</v>
      </c>
      <c r="AF204" s="9">
        <v>0.6586</v>
      </c>
      <c r="AG204" s="9">
        <v>0.6524</v>
      </c>
      <c r="AH204" s="9">
        <v>0.6461</v>
      </c>
      <c r="AI204" s="9">
        <v>0.6399</v>
      </c>
      <c r="AJ204" s="9">
        <v>0.6333</v>
      </c>
      <c r="AK204" s="9">
        <v>0.6267</v>
      </c>
      <c r="AL204" s="9">
        <v>0.6202</v>
      </c>
      <c r="AM204" s="9">
        <v>0.6159</v>
      </c>
      <c r="AN204" s="9">
        <v>0.6117</v>
      </c>
      <c r="AO204" s="9">
        <v>0.6074</v>
      </c>
      <c r="AP204" s="9">
        <v>0.6032</v>
      </c>
      <c r="AQ204" s="9">
        <v>0.599</v>
      </c>
      <c r="AR204" s="9">
        <v>0.5947</v>
      </c>
      <c r="AS204" s="9">
        <v>0.5905</v>
      </c>
      <c r="AT204" s="9">
        <v>0.5905</v>
      </c>
    </row>
    <row r="205" ht="14.25" customHeight="1">
      <c r="A205" s="2" t="s">
        <v>347</v>
      </c>
      <c r="B205" s="9">
        <v>0.6852</v>
      </c>
      <c r="C205" s="9">
        <v>0.6854</v>
      </c>
      <c r="D205" s="9">
        <v>0.6857</v>
      </c>
      <c r="E205" s="9">
        <v>0.6859</v>
      </c>
      <c r="F205" s="9">
        <v>0.6861</v>
      </c>
      <c r="G205" s="9">
        <v>0.6863</v>
      </c>
      <c r="H205" s="9">
        <v>0.6866</v>
      </c>
      <c r="I205" s="9">
        <v>0.6868</v>
      </c>
      <c r="J205" s="9">
        <v>0.6871</v>
      </c>
      <c r="K205" s="9">
        <v>0.6877</v>
      </c>
      <c r="L205" s="9">
        <v>0.6879</v>
      </c>
      <c r="M205" s="9">
        <v>0.6868</v>
      </c>
      <c r="N205" s="9">
        <v>0.6859</v>
      </c>
      <c r="O205" s="9">
        <v>0.6851</v>
      </c>
      <c r="P205" s="9">
        <v>0.6842</v>
      </c>
      <c r="Q205" s="9">
        <v>0.6834</v>
      </c>
      <c r="R205" s="9">
        <v>0.6826</v>
      </c>
      <c r="S205" s="9">
        <v>0.6818</v>
      </c>
      <c r="T205" s="9">
        <v>0.681</v>
      </c>
      <c r="U205" s="9">
        <v>0.6802</v>
      </c>
      <c r="V205" s="9">
        <v>0.6794</v>
      </c>
      <c r="W205" s="9">
        <v>0.6781</v>
      </c>
      <c r="X205" s="9">
        <v>0.6768</v>
      </c>
      <c r="Y205" s="9">
        <v>0.6756</v>
      </c>
      <c r="Z205" s="9">
        <v>0.6745</v>
      </c>
      <c r="AA205" s="9">
        <v>0.6734</v>
      </c>
      <c r="AB205" s="9">
        <v>0.6724</v>
      </c>
      <c r="AC205" s="9">
        <v>0.6714</v>
      </c>
      <c r="AD205" s="9">
        <v>0.6704</v>
      </c>
      <c r="AE205" s="9">
        <v>0.6695</v>
      </c>
      <c r="AF205" s="9">
        <v>0.6687</v>
      </c>
      <c r="AG205" s="9">
        <v>0.6601</v>
      </c>
      <c r="AH205" s="9">
        <v>0.6516</v>
      </c>
      <c r="AI205" s="9">
        <v>0.6431</v>
      </c>
      <c r="AJ205" s="9">
        <v>0.6347</v>
      </c>
      <c r="AK205" s="9">
        <v>0.6264</v>
      </c>
      <c r="AL205" s="9">
        <v>0.6182</v>
      </c>
      <c r="AM205" s="9">
        <v>0.6099</v>
      </c>
      <c r="AN205" s="9">
        <v>0.6018</v>
      </c>
      <c r="AO205" s="9">
        <v>0.5937</v>
      </c>
      <c r="AP205" s="9">
        <v>0.5868</v>
      </c>
      <c r="AQ205" s="9">
        <v>0.5868</v>
      </c>
      <c r="AR205" s="9">
        <v>0.5868</v>
      </c>
      <c r="AS205" s="9">
        <v>0.5868</v>
      </c>
      <c r="AT205" s="9">
        <v>0.5868</v>
      </c>
    </row>
    <row r="206" ht="14.25" customHeight="1">
      <c r="A206" s="2" t="s">
        <v>348</v>
      </c>
      <c r="B206" s="9">
        <v>0.6852</v>
      </c>
      <c r="C206" s="9">
        <v>0.6854</v>
      </c>
      <c r="D206" s="9">
        <v>0.6857</v>
      </c>
      <c r="E206" s="9">
        <v>0.6859</v>
      </c>
      <c r="F206" s="9">
        <v>0.6861</v>
      </c>
      <c r="G206" s="9">
        <v>0.6863</v>
      </c>
      <c r="H206" s="9">
        <v>0.6866</v>
      </c>
      <c r="I206" s="9">
        <v>0.6868</v>
      </c>
      <c r="J206" s="9">
        <v>0.6871</v>
      </c>
      <c r="K206" s="9">
        <v>0.6877</v>
      </c>
      <c r="L206" s="9">
        <v>0.6879</v>
      </c>
      <c r="M206" s="9">
        <v>0.6868</v>
      </c>
      <c r="N206" s="9">
        <v>0.6859</v>
      </c>
      <c r="O206" s="9">
        <v>0.6851</v>
      </c>
      <c r="P206" s="9">
        <v>0.6842</v>
      </c>
      <c r="Q206" s="9">
        <v>0.6834</v>
      </c>
      <c r="R206" s="9">
        <v>0.6826</v>
      </c>
      <c r="S206" s="9">
        <v>0.6818</v>
      </c>
      <c r="T206" s="9">
        <v>0.681</v>
      </c>
      <c r="U206" s="9">
        <v>0.6802</v>
      </c>
      <c r="V206" s="9">
        <v>0.6794</v>
      </c>
      <c r="W206" s="9">
        <v>0.6781</v>
      </c>
      <c r="X206" s="9">
        <v>0.6768</v>
      </c>
      <c r="Y206" s="9">
        <v>0.6756</v>
      </c>
      <c r="Z206" s="9">
        <v>0.6745</v>
      </c>
      <c r="AA206" s="9">
        <v>0.6734</v>
      </c>
      <c r="AB206" s="9">
        <v>0.6724</v>
      </c>
      <c r="AC206" s="9">
        <v>0.6714</v>
      </c>
      <c r="AD206" s="9">
        <v>0.6704</v>
      </c>
      <c r="AE206" s="9">
        <v>0.6695</v>
      </c>
      <c r="AF206" s="9">
        <v>0.6687</v>
      </c>
      <c r="AG206" s="9">
        <v>0.6601</v>
      </c>
      <c r="AH206" s="9">
        <v>0.6516</v>
      </c>
      <c r="AI206" s="9">
        <v>0.6431</v>
      </c>
      <c r="AJ206" s="9">
        <v>0.6347</v>
      </c>
      <c r="AK206" s="9">
        <v>0.6264</v>
      </c>
      <c r="AL206" s="9">
        <v>0.6182</v>
      </c>
      <c r="AM206" s="9">
        <v>0.6099</v>
      </c>
      <c r="AN206" s="9">
        <v>0.6018</v>
      </c>
      <c r="AO206" s="9">
        <v>0.5937</v>
      </c>
      <c r="AP206" s="9">
        <v>0.5868</v>
      </c>
      <c r="AQ206" s="9">
        <v>0.5868</v>
      </c>
      <c r="AR206" s="9">
        <v>0.5868</v>
      </c>
      <c r="AS206" s="9">
        <v>0.5868</v>
      </c>
      <c r="AT206" s="9">
        <v>0.5868</v>
      </c>
    </row>
    <row r="207" ht="14.25" customHeight="1">
      <c r="A207" s="2" t="s">
        <v>349</v>
      </c>
      <c r="B207" s="9">
        <v>0.6852</v>
      </c>
      <c r="C207" s="9">
        <v>0.6854</v>
      </c>
      <c r="D207" s="9">
        <v>0.6857</v>
      </c>
      <c r="E207" s="9">
        <v>0.6859</v>
      </c>
      <c r="F207" s="9">
        <v>0.6861</v>
      </c>
      <c r="G207" s="9">
        <v>0.6863</v>
      </c>
      <c r="H207" s="9">
        <v>0.6866</v>
      </c>
      <c r="I207" s="9">
        <v>0.6868</v>
      </c>
      <c r="J207" s="9">
        <v>0.6871</v>
      </c>
      <c r="K207" s="9">
        <v>0.6877</v>
      </c>
      <c r="L207" s="9">
        <v>0.6879</v>
      </c>
      <c r="M207" s="9">
        <v>0.6868</v>
      </c>
      <c r="N207" s="9">
        <v>0.6859</v>
      </c>
      <c r="O207" s="9">
        <v>0.6851</v>
      </c>
      <c r="P207" s="9">
        <v>0.6842</v>
      </c>
      <c r="Q207" s="9">
        <v>0.6834</v>
      </c>
      <c r="R207" s="9">
        <v>0.6826</v>
      </c>
      <c r="S207" s="9">
        <v>0.6818</v>
      </c>
      <c r="T207" s="9">
        <v>0.681</v>
      </c>
      <c r="U207" s="9">
        <v>0.6802</v>
      </c>
      <c r="V207" s="9">
        <v>0.6794</v>
      </c>
      <c r="W207" s="9">
        <v>0.6781</v>
      </c>
      <c r="X207" s="9">
        <v>0.6768</v>
      </c>
      <c r="Y207" s="9">
        <v>0.6756</v>
      </c>
      <c r="Z207" s="9">
        <v>0.6745</v>
      </c>
      <c r="AA207" s="9">
        <v>0.6734</v>
      </c>
      <c r="AB207" s="9">
        <v>0.6724</v>
      </c>
      <c r="AC207" s="9">
        <v>0.6714</v>
      </c>
      <c r="AD207" s="9">
        <v>0.6704</v>
      </c>
      <c r="AE207" s="9">
        <v>0.6695</v>
      </c>
      <c r="AF207" s="9">
        <v>0.6687</v>
      </c>
      <c r="AG207" s="9">
        <v>0.6601</v>
      </c>
      <c r="AH207" s="9">
        <v>0.6516</v>
      </c>
      <c r="AI207" s="9">
        <v>0.6431</v>
      </c>
      <c r="AJ207" s="9">
        <v>0.6347</v>
      </c>
      <c r="AK207" s="9">
        <v>0.6264</v>
      </c>
      <c r="AL207" s="9">
        <v>0.6182</v>
      </c>
      <c r="AM207" s="9">
        <v>0.6099</v>
      </c>
      <c r="AN207" s="9">
        <v>0.6018</v>
      </c>
      <c r="AO207" s="9">
        <v>0.5937</v>
      </c>
      <c r="AP207" s="9">
        <v>0.5868</v>
      </c>
      <c r="AQ207" s="9">
        <v>0.5868</v>
      </c>
      <c r="AR207" s="9">
        <v>0.5868</v>
      </c>
      <c r="AS207" s="9">
        <v>0.5868</v>
      </c>
      <c r="AT207" s="9">
        <v>0.5868</v>
      </c>
    </row>
    <row r="208" ht="14.25" customHeight="1">
      <c r="A208" s="2" t="s">
        <v>350</v>
      </c>
      <c r="B208" s="9">
        <v>0.4403</v>
      </c>
      <c r="C208" s="9">
        <v>0.4412</v>
      </c>
      <c r="D208" s="9">
        <v>0.4421</v>
      </c>
      <c r="E208" s="9">
        <v>0.443</v>
      </c>
      <c r="F208" s="9">
        <v>0.444</v>
      </c>
      <c r="G208" s="9">
        <v>0.4449</v>
      </c>
      <c r="H208" s="9">
        <v>0.4459</v>
      </c>
      <c r="I208" s="9">
        <v>0.4469</v>
      </c>
      <c r="J208" s="9">
        <v>0.4479</v>
      </c>
      <c r="K208" s="9">
        <v>0.449</v>
      </c>
      <c r="L208" s="9">
        <v>0.45</v>
      </c>
      <c r="M208" s="9">
        <v>0.4515</v>
      </c>
      <c r="N208" s="9">
        <v>0.453</v>
      </c>
      <c r="O208" s="9">
        <v>0.4544</v>
      </c>
      <c r="P208" s="9">
        <v>0.4558</v>
      </c>
      <c r="Q208" s="9">
        <v>0.4571</v>
      </c>
      <c r="R208" s="9">
        <v>0.4584</v>
      </c>
      <c r="S208" s="9">
        <v>0.4596</v>
      </c>
      <c r="T208" s="9">
        <v>0.4608</v>
      </c>
      <c r="U208" s="9">
        <v>0.462</v>
      </c>
      <c r="V208" s="9">
        <v>0.4631</v>
      </c>
      <c r="W208" s="9">
        <v>0.4719</v>
      </c>
      <c r="X208" s="9">
        <v>0.4805</v>
      </c>
      <c r="Y208" s="9">
        <v>0.489</v>
      </c>
      <c r="Z208" s="9">
        <v>0.4972</v>
      </c>
      <c r="AA208" s="9">
        <v>0.5052</v>
      </c>
      <c r="AB208" s="9">
        <v>0.5131</v>
      </c>
      <c r="AC208" s="9">
        <v>0.5207</v>
      </c>
      <c r="AD208" s="9">
        <v>0.5282</v>
      </c>
      <c r="AE208" s="9">
        <v>0.5356</v>
      </c>
      <c r="AF208" s="9">
        <v>0.5428</v>
      </c>
      <c r="AG208" s="9">
        <v>0.5447</v>
      </c>
      <c r="AH208" s="9">
        <v>0.5466</v>
      </c>
      <c r="AI208" s="9">
        <v>0.5483</v>
      </c>
      <c r="AJ208" s="9">
        <v>0.55</v>
      </c>
      <c r="AK208" s="9">
        <v>0.5516</v>
      </c>
      <c r="AL208" s="9">
        <v>0.5531</v>
      </c>
      <c r="AM208" s="9">
        <v>0.5546</v>
      </c>
      <c r="AN208" s="9">
        <v>0.556</v>
      </c>
      <c r="AO208" s="9">
        <v>0.5574</v>
      </c>
      <c r="AP208" s="9">
        <v>0.5587</v>
      </c>
      <c r="AQ208" s="9">
        <v>0.5587</v>
      </c>
      <c r="AR208" s="9">
        <v>0.5587</v>
      </c>
      <c r="AS208" s="9">
        <v>0.5587</v>
      </c>
      <c r="AT208" s="9">
        <v>0.5587</v>
      </c>
    </row>
    <row r="209" ht="14.25" customHeight="1">
      <c r="A209" s="2" t="s">
        <v>351</v>
      </c>
      <c r="B209" s="9">
        <v>0.4447</v>
      </c>
      <c r="C209" s="9">
        <v>0.4462</v>
      </c>
      <c r="D209" s="9">
        <v>0.4474</v>
      </c>
      <c r="E209" s="9">
        <v>0.4467</v>
      </c>
      <c r="F209" s="9">
        <v>0.4511</v>
      </c>
      <c r="G209" s="9">
        <v>0.4558</v>
      </c>
      <c r="H209" s="9">
        <v>0.4511</v>
      </c>
      <c r="I209" s="9">
        <v>0.4493</v>
      </c>
      <c r="J209" s="9">
        <v>0.4446</v>
      </c>
      <c r="K209" s="9">
        <v>0.4448</v>
      </c>
      <c r="L209" s="9">
        <v>0.4437</v>
      </c>
      <c r="M209" s="9">
        <v>0.4412</v>
      </c>
      <c r="N209" s="9">
        <v>0.45</v>
      </c>
      <c r="O209" s="9">
        <v>0.4578</v>
      </c>
      <c r="P209" s="9">
        <v>0.4658</v>
      </c>
      <c r="Q209" s="9">
        <v>0.463</v>
      </c>
      <c r="R209" s="9">
        <v>0.4639</v>
      </c>
      <c r="S209" s="9">
        <v>0.4717</v>
      </c>
      <c r="T209" s="9">
        <v>0.4714</v>
      </c>
      <c r="U209" s="9">
        <v>0.472</v>
      </c>
      <c r="V209" s="9">
        <v>0.4786</v>
      </c>
      <c r="W209" s="9">
        <v>0.476</v>
      </c>
      <c r="X209" s="9">
        <v>0.471</v>
      </c>
      <c r="Y209" s="9">
        <v>0.4747</v>
      </c>
      <c r="Z209" s="9">
        <v>0.4829</v>
      </c>
      <c r="AA209" s="9">
        <v>0.4832</v>
      </c>
      <c r="AB209" s="9">
        <v>0.4881</v>
      </c>
      <c r="AC209" s="9">
        <v>0.486</v>
      </c>
      <c r="AD209" s="9">
        <v>0.4697</v>
      </c>
      <c r="AE209" s="9">
        <v>0.4627</v>
      </c>
      <c r="AF209" s="9">
        <v>0.481</v>
      </c>
      <c r="AG209" s="9">
        <v>0.4817</v>
      </c>
      <c r="AH209" s="9">
        <v>0.4774</v>
      </c>
      <c r="AI209" s="9">
        <v>0.4812</v>
      </c>
      <c r="AJ209" s="9">
        <v>0.4848</v>
      </c>
      <c r="AK209" s="9">
        <v>0.484</v>
      </c>
      <c r="AL209" s="9">
        <v>0.4836</v>
      </c>
      <c r="AM209" s="9">
        <v>0.4829</v>
      </c>
      <c r="AN209" s="9">
        <v>0.4811</v>
      </c>
      <c r="AO209" s="9">
        <v>0.478</v>
      </c>
      <c r="AP209" s="9">
        <v>0.4784</v>
      </c>
      <c r="AQ209" s="9">
        <v>0.4829</v>
      </c>
      <c r="AR209" s="9">
        <v>0.4833</v>
      </c>
      <c r="AS209" s="9">
        <v>0.4833</v>
      </c>
      <c r="AT209" s="9">
        <v>0.4833</v>
      </c>
    </row>
    <row r="210" ht="14.25" customHeight="1">
      <c r="A210" s="2" t="s">
        <v>352</v>
      </c>
      <c r="B210" s="9">
        <v>0.4945</v>
      </c>
      <c r="C210" s="9">
        <v>0.4945</v>
      </c>
      <c r="D210" s="9">
        <v>0.4945</v>
      </c>
      <c r="E210" s="9">
        <v>0.4945</v>
      </c>
      <c r="F210" s="9">
        <v>0.4945</v>
      </c>
      <c r="G210" s="9">
        <v>0.4945</v>
      </c>
      <c r="H210" s="9">
        <v>0.4945</v>
      </c>
      <c r="I210" s="9">
        <v>0.4945</v>
      </c>
      <c r="J210" s="9">
        <v>0.4945</v>
      </c>
      <c r="K210" s="9">
        <v>0.4945</v>
      </c>
      <c r="L210" s="9">
        <v>0.4945</v>
      </c>
      <c r="M210" s="9">
        <v>0.4945</v>
      </c>
      <c r="N210" s="9">
        <v>0.4945</v>
      </c>
      <c r="O210" s="9">
        <v>0.4945</v>
      </c>
      <c r="P210" s="9">
        <v>0.4945</v>
      </c>
      <c r="Q210" s="9">
        <v>0.4945</v>
      </c>
      <c r="R210" s="9">
        <v>0.4945</v>
      </c>
      <c r="S210" s="9">
        <v>0.4945</v>
      </c>
      <c r="T210" s="9">
        <v>0.4945</v>
      </c>
      <c r="U210" s="9">
        <v>0.4945</v>
      </c>
      <c r="V210" s="9">
        <v>0.4945</v>
      </c>
      <c r="W210" s="9">
        <v>0.4935</v>
      </c>
      <c r="X210" s="9">
        <v>0.4925</v>
      </c>
      <c r="Y210" s="9">
        <v>0.4915</v>
      </c>
      <c r="Z210" s="9">
        <v>0.4905</v>
      </c>
      <c r="AA210" s="9">
        <v>0.4895</v>
      </c>
      <c r="AB210" s="9">
        <v>0.4886</v>
      </c>
      <c r="AC210" s="9">
        <v>0.4876</v>
      </c>
      <c r="AD210" s="9">
        <v>0.4866</v>
      </c>
      <c r="AE210" s="9">
        <v>0.4856</v>
      </c>
      <c r="AF210" s="9">
        <v>0.4846</v>
      </c>
      <c r="AG210" s="9">
        <v>0.4996</v>
      </c>
      <c r="AH210" s="9">
        <v>0.5146</v>
      </c>
      <c r="AI210" s="9">
        <v>0.5296</v>
      </c>
      <c r="AJ210" s="9">
        <v>0.5445</v>
      </c>
      <c r="AK210" s="9">
        <v>0.5595</v>
      </c>
      <c r="AL210" s="9">
        <v>0.5745</v>
      </c>
      <c r="AM210" s="9">
        <v>0.5895</v>
      </c>
      <c r="AN210" s="9">
        <v>0.5895</v>
      </c>
      <c r="AO210" s="9">
        <v>0.5895</v>
      </c>
      <c r="AP210" s="9">
        <v>0.5895</v>
      </c>
      <c r="AQ210" s="9">
        <v>0.5895</v>
      </c>
      <c r="AR210" s="9">
        <v>0.5895</v>
      </c>
      <c r="AS210" s="9">
        <v>0.5895</v>
      </c>
      <c r="AT210" s="9">
        <v>0.5895</v>
      </c>
    </row>
    <row r="211" ht="14.25" customHeight="1">
      <c r="A211" s="2" t="s">
        <v>353</v>
      </c>
      <c r="B211" s="9">
        <v>0.6259</v>
      </c>
      <c r="C211" s="9">
        <v>0.6259</v>
      </c>
      <c r="D211" s="9">
        <v>0.6259</v>
      </c>
      <c r="E211" s="9">
        <v>0.6259</v>
      </c>
      <c r="F211" s="9">
        <v>0.6259</v>
      </c>
      <c r="G211" s="9">
        <v>0.6259</v>
      </c>
      <c r="H211" s="9">
        <v>0.6259</v>
      </c>
      <c r="I211" s="9">
        <v>0.6259</v>
      </c>
      <c r="J211" s="9">
        <v>0.6259</v>
      </c>
      <c r="K211" s="9">
        <v>0.6259</v>
      </c>
      <c r="L211" s="9">
        <v>0.6259</v>
      </c>
      <c r="M211" s="9">
        <v>0.6259</v>
      </c>
      <c r="N211" s="9">
        <v>0.6259</v>
      </c>
      <c r="O211" s="9">
        <v>0.6259</v>
      </c>
      <c r="P211" s="9">
        <v>0.6259</v>
      </c>
      <c r="Q211" s="9">
        <v>0.6259</v>
      </c>
      <c r="R211" s="9">
        <v>0.6259</v>
      </c>
      <c r="S211" s="9">
        <v>0.6259</v>
      </c>
      <c r="T211" s="9">
        <v>0.6259</v>
      </c>
      <c r="U211" s="9">
        <v>0.6259</v>
      </c>
      <c r="V211" s="9">
        <v>0.6259</v>
      </c>
      <c r="W211" s="9">
        <v>0.6259</v>
      </c>
      <c r="X211" s="9">
        <v>0.6259</v>
      </c>
      <c r="Y211" s="9">
        <v>0.6259</v>
      </c>
      <c r="Z211" s="9">
        <v>0.6259</v>
      </c>
      <c r="AA211" s="9">
        <v>0.6259</v>
      </c>
      <c r="AB211" s="9">
        <v>0.6259</v>
      </c>
      <c r="AC211" s="9">
        <v>0.6259</v>
      </c>
      <c r="AD211" s="9">
        <v>0.6259</v>
      </c>
      <c r="AE211" s="9">
        <v>0.6259</v>
      </c>
      <c r="AF211" s="9">
        <v>0.6259</v>
      </c>
      <c r="AG211" s="9">
        <v>0.6259</v>
      </c>
      <c r="AH211" s="9">
        <v>0.6259</v>
      </c>
      <c r="AI211" s="9">
        <v>0.6259</v>
      </c>
      <c r="AJ211" s="9">
        <v>0.6259</v>
      </c>
      <c r="AK211" s="9">
        <v>0.6259</v>
      </c>
      <c r="AL211" s="9">
        <v>0.6259</v>
      </c>
      <c r="AM211" s="9">
        <v>0.6259</v>
      </c>
      <c r="AN211" s="9">
        <v>0.6259</v>
      </c>
      <c r="AO211" s="9">
        <v>0.6259</v>
      </c>
      <c r="AP211" s="9">
        <v>0.6259</v>
      </c>
      <c r="AQ211" s="9">
        <v>0.6259</v>
      </c>
      <c r="AR211" s="9">
        <v>0.6259</v>
      </c>
      <c r="AS211" s="9">
        <v>0.6259</v>
      </c>
      <c r="AT211" s="9">
        <v>0.6259</v>
      </c>
    </row>
    <row r="212" ht="14.25" customHeight="1">
      <c r="A212" s="2" t="s">
        <v>354</v>
      </c>
      <c r="B212" s="9">
        <v>0.7003</v>
      </c>
      <c r="C212" s="9">
        <v>0.7003</v>
      </c>
      <c r="D212" s="9">
        <v>0.7003</v>
      </c>
      <c r="E212" s="9">
        <v>0.7003</v>
      </c>
      <c r="F212" s="9">
        <v>0.7003</v>
      </c>
      <c r="G212" s="9">
        <v>0.7003</v>
      </c>
      <c r="H212" s="9">
        <v>0.7003</v>
      </c>
      <c r="I212" s="9">
        <v>0.7003</v>
      </c>
      <c r="J212" s="9">
        <v>0.7003</v>
      </c>
      <c r="K212" s="9">
        <v>0.7003</v>
      </c>
      <c r="L212" s="9">
        <v>0.7003</v>
      </c>
      <c r="M212" s="9">
        <v>0.7003</v>
      </c>
      <c r="N212" s="9">
        <v>0.6598</v>
      </c>
      <c r="O212" s="9">
        <v>0.6192</v>
      </c>
      <c r="P212" s="9">
        <v>0.5787</v>
      </c>
      <c r="Q212" s="9">
        <v>0.5817</v>
      </c>
      <c r="R212" s="9">
        <v>0.5848</v>
      </c>
      <c r="S212" s="9">
        <v>0.5878</v>
      </c>
      <c r="T212" s="9">
        <v>0.5908</v>
      </c>
      <c r="U212" s="9">
        <v>0.5938</v>
      </c>
      <c r="V212" s="9">
        <v>0.5968</v>
      </c>
      <c r="W212" s="9">
        <v>0.5999</v>
      </c>
      <c r="X212" s="9">
        <v>0.5912</v>
      </c>
      <c r="Y212" s="9">
        <v>0.5826</v>
      </c>
      <c r="Z212" s="9">
        <v>0.5739</v>
      </c>
      <c r="AA212" s="9">
        <v>0.5653</v>
      </c>
      <c r="AB212" s="9">
        <v>0.5667</v>
      </c>
      <c r="AC212" s="9">
        <v>0.568</v>
      </c>
      <c r="AD212" s="9">
        <v>0.5694</v>
      </c>
      <c r="AE212" s="9">
        <v>0.5708</v>
      </c>
      <c r="AF212" s="9">
        <v>0.5722</v>
      </c>
      <c r="AG212" s="9">
        <v>0.5735</v>
      </c>
      <c r="AH212" s="9">
        <v>0.5726</v>
      </c>
      <c r="AI212" s="9">
        <v>0.5716</v>
      </c>
      <c r="AJ212" s="9">
        <v>0.5707</v>
      </c>
      <c r="AK212" s="9">
        <v>0.5697</v>
      </c>
      <c r="AL212" s="9">
        <v>0.5688</v>
      </c>
      <c r="AM212" s="9">
        <v>0.5678</v>
      </c>
      <c r="AN212" s="9">
        <v>0.5669</v>
      </c>
      <c r="AO212" s="9">
        <v>0.5592</v>
      </c>
      <c r="AP212" s="9">
        <v>0.5516</v>
      </c>
      <c r="AQ212" s="9">
        <v>0.5439</v>
      </c>
      <c r="AR212" s="9">
        <v>0.5439</v>
      </c>
      <c r="AS212" s="9">
        <v>0.5439</v>
      </c>
      <c r="AT212" s="9">
        <v>0.5439</v>
      </c>
    </row>
    <row r="213" ht="14.25" customHeight="1">
      <c r="A213" s="2" t="s">
        <v>355</v>
      </c>
      <c r="B213" s="9">
        <v>0.403</v>
      </c>
      <c r="C213" s="9">
        <v>0.403</v>
      </c>
      <c r="D213" s="9">
        <v>0.403</v>
      </c>
      <c r="E213" s="9">
        <v>0.403</v>
      </c>
      <c r="F213" s="9">
        <v>0.4265</v>
      </c>
      <c r="G213" s="9">
        <v>0.4117</v>
      </c>
      <c r="H213" s="9">
        <v>0.4186</v>
      </c>
      <c r="I213" s="9">
        <v>0.4299</v>
      </c>
      <c r="J213" s="9">
        <v>0.434</v>
      </c>
      <c r="K213" s="9">
        <v>0.419</v>
      </c>
      <c r="L213" s="9">
        <v>0.4184</v>
      </c>
      <c r="M213" s="9">
        <v>0.4218</v>
      </c>
      <c r="N213" s="9">
        <v>0.425</v>
      </c>
      <c r="O213" s="9">
        <v>0.4286</v>
      </c>
      <c r="P213" s="9">
        <v>0.4326</v>
      </c>
      <c r="Q213" s="9">
        <v>0.4371</v>
      </c>
      <c r="R213" s="9">
        <v>0.4377</v>
      </c>
      <c r="S213" s="9">
        <v>0.4391</v>
      </c>
      <c r="T213" s="9">
        <v>0.4414</v>
      </c>
      <c r="U213" s="9">
        <v>0.4253</v>
      </c>
      <c r="V213" s="9">
        <v>0.4988</v>
      </c>
      <c r="W213" s="9">
        <v>0.4584</v>
      </c>
      <c r="X213" s="9">
        <v>0.4737</v>
      </c>
      <c r="Y213" s="9">
        <v>0.4909</v>
      </c>
      <c r="Z213" s="9">
        <v>0.5094</v>
      </c>
      <c r="AA213" s="9">
        <v>0.524</v>
      </c>
      <c r="AB213" s="9">
        <v>0.538</v>
      </c>
      <c r="AC213" s="9">
        <v>0.5431</v>
      </c>
      <c r="AD213" s="9">
        <v>0.5402</v>
      </c>
      <c r="AE213" s="9">
        <v>0.5289</v>
      </c>
      <c r="AF213" s="9">
        <v>0.5316</v>
      </c>
      <c r="AG213" s="9">
        <v>0.5332</v>
      </c>
      <c r="AH213" s="9">
        <v>0.5515</v>
      </c>
      <c r="AI213" s="9">
        <v>0.5588</v>
      </c>
      <c r="AJ213" s="9">
        <v>0.5745</v>
      </c>
      <c r="AK213" s="9">
        <v>0.5576</v>
      </c>
      <c r="AL213" s="9">
        <v>0.5681</v>
      </c>
      <c r="AM213" s="9">
        <v>0.523</v>
      </c>
      <c r="AN213" s="9">
        <v>0.4964</v>
      </c>
      <c r="AO213" s="9">
        <v>0.5107</v>
      </c>
      <c r="AP213" s="9">
        <v>0.5107</v>
      </c>
      <c r="AQ213" s="9">
        <v>0.5071</v>
      </c>
      <c r="AR213" s="9">
        <v>0.5167</v>
      </c>
      <c r="AS213" s="9">
        <v>0.5265</v>
      </c>
      <c r="AT213" s="9">
        <v>0.5265</v>
      </c>
    </row>
    <row r="214" ht="14.25" customHeight="1">
      <c r="A214" s="2" t="s">
        <v>356</v>
      </c>
      <c r="B214" s="9">
        <v>0.6126</v>
      </c>
      <c r="C214" s="9">
        <v>0.6126</v>
      </c>
      <c r="D214" s="9">
        <v>0.6126</v>
      </c>
      <c r="E214" s="9">
        <v>0.6126</v>
      </c>
      <c r="F214" s="9">
        <v>0.6126</v>
      </c>
      <c r="G214" s="9">
        <v>0.6126</v>
      </c>
      <c r="H214" s="9">
        <v>0.6126</v>
      </c>
      <c r="I214" s="9">
        <v>0.6126</v>
      </c>
      <c r="J214" s="9">
        <v>0.6126</v>
      </c>
      <c r="K214" s="9">
        <v>0.6126</v>
      </c>
      <c r="L214" s="9">
        <v>0.6126</v>
      </c>
      <c r="M214" s="9">
        <v>0.6126</v>
      </c>
      <c r="N214" s="9">
        <v>0.6126</v>
      </c>
      <c r="O214" s="9">
        <v>0.6126</v>
      </c>
      <c r="P214" s="9">
        <v>0.6126</v>
      </c>
      <c r="Q214" s="9">
        <v>0.6126</v>
      </c>
      <c r="R214" s="9">
        <v>0.6126</v>
      </c>
      <c r="S214" s="9">
        <v>0.6126</v>
      </c>
      <c r="T214" s="9">
        <v>0.6126</v>
      </c>
      <c r="U214" s="9">
        <v>0.6126</v>
      </c>
      <c r="V214" s="9">
        <v>0.6123</v>
      </c>
      <c r="W214" s="9">
        <v>0.6119</v>
      </c>
      <c r="X214" s="9">
        <v>0.6116</v>
      </c>
      <c r="Y214" s="9">
        <v>0.6113</v>
      </c>
      <c r="Z214" s="9">
        <v>0.611</v>
      </c>
      <c r="AA214" s="9">
        <v>0.6107</v>
      </c>
      <c r="AB214" s="9">
        <v>0.6104</v>
      </c>
      <c r="AC214" s="9">
        <v>0.6184</v>
      </c>
      <c r="AD214" s="9">
        <v>0.6265</v>
      </c>
      <c r="AE214" s="9">
        <v>0.6345</v>
      </c>
      <c r="AF214" s="9">
        <v>0.6426</v>
      </c>
      <c r="AG214" s="9">
        <v>0.6507</v>
      </c>
      <c r="AH214" s="9">
        <v>0.6588</v>
      </c>
      <c r="AI214" s="9">
        <v>0.6668</v>
      </c>
      <c r="AJ214" s="9">
        <v>0.6309</v>
      </c>
      <c r="AK214" s="9">
        <v>0.595</v>
      </c>
      <c r="AL214" s="9">
        <v>0.5591</v>
      </c>
      <c r="AM214" s="9">
        <v>0.5232</v>
      </c>
      <c r="AN214" s="9">
        <v>0.4874</v>
      </c>
      <c r="AO214" s="9">
        <v>0.4874</v>
      </c>
      <c r="AP214" s="9">
        <v>0.4874</v>
      </c>
      <c r="AQ214" s="9">
        <v>0.4874</v>
      </c>
      <c r="AR214" s="9">
        <v>0.4874</v>
      </c>
      <c r="AS214" s="9">
        <v>0.4874</v>
      </c>
      <c r="AT214" s="9">
        <v>0.4874</v>
      </c>
    </row>
    <row r="215" ht="14.25" customHeight="1">
      <c r="A215" s="2" t="s">
        <v>357</v>
      </c>
      <c r="B215" s="9">
        <v>0.5777</v>
      </c>
      <c r="C215" s="9">
        <v>0.5777</v>
      </c>
      <c r="D215" s="9">
        <v>0.5777</v>
      </c>
      <c r="E215" s="9">
        <v>0.5777</v>
      </c>
      <c r="F215" s="9">
        <v>0.5777</v>
      </c>
      <c r="G215" s="9">
        <v>0.5777</v>
      </c>
      <c r="H215" s="9">
        <v>0.5777</v>
      </c>
      <c r="I215" s="9">
        <v>0.5777</v>
      </c>
      <c r="J215" s="9">
        <v>0.5777</v>
      </c>
      <c r="K215" s="9">
        <v>0.5777</v>
      </c>
      <c r="L215" s="9">
        <v>0.5777</v>
      </c>
      <c r="M215" s="9">
        <v>0.5777</v>
      </c>
      <c r="N215" s="9">
        <v>0.5777</v>
      </c>
      <c r="O215" s="9">
        <v>0.5777</v>
      </c>
      <c r="P215" s="9">
        <v>0.5777</v>
      </c>
      <c r="Q215" s="9">
        <v>0.5777</v>
      </c>
      <c r="R215" s="9">
        <v>0.5777</v>
      </c>
      <c r="S215" s="9">
        <v>0.5777</v>
      </c>
      <c r="T215" s="9">
        <v>0.5777</v>
      </c>
      <c r="U215" s="9">
        <v>0.5777</v>
      </c>
      <c r="V215" s="9">
        <v>0.5777</v>
      </c>
      <c r="W215" s="9">
        <v>0.5777</v>
      </c>
      <c r="X215" s="9">
        <v>0.5777</v>
      </c>
      <c r="Y215" s="9">
        <v>0.5777</v>
      </c>
      <c r="Z215" s="9">
        <v>0.5704</v>
      </c>
      <c r="AA215" s="9">
        <v>0.563</v>
      </c>
      <c r="AB215" s="9">
        <v>0.5557</v>
      </c>
      <c r="AC215" s="9">
        <v>0.5483</v>
      </c>
      <c r="AD215" s="9">
        <v>0.541</v>
      </c>
      <c r="AE215" s="9">
        <v>0.5336</v>
      </c>
      <c r="AF215" s="9">
        <v>0.5263</v>
      </c>
      <c r="AG215" s="9">
        <v>0.5189</v>
      </c>
      <c r="AH215" s="9">
        <v>0.5231</v>
      </c>
      <c r="AI215" s="9">
        <v>0.5273</v>
      </c>
      <c r="AJ215" s="9">
        <v>0.5315</v>
      </c>
      <c r="AK215" s="9">
        <v>0.5357</v>
      </c>
      <c r="AL215" s="9">
        <v>0.5399</v>
      </c>
      <c r="AM215" s="9">
        <v>0.5441</v>
      </c>
      <c r="AN215" s="9">
        <v>0.5483</v>
      </c>
      <c r="AO215" s="9">
        <v>0.5483</v>
      </c>
      <c r="AP215" s="9">
        <v>0.5483</v>
      </c>
      <c r="AQ215" s="9">
        <v>0.5483</v>
      </c>
      <c r="AR215" s="9">
        <v>0.5483</v>
      </c>
      <c r="AS215" s="9">
        <v>0.5483</v>
      </c>
      <c r="AT215" s="9">
        <v>0.5483</v>
      </c>
    </row>
    <row r="216" ht="14.25" customHeight="1">
      <c r="A216" s="2" t="s">
        <v>358</v>
      </c>
      <c r="B216" s="9">
        <v>0.4179</v>
      </c>
      <c r="C216" s="9">
        <v>0.4185</v>
      </c>
      <c r="D216" s="9">
        <v>0.4275</v>
      </c>
      <c r="E216" s="9">
        <v>0.4187</v>
      </c>
      <c r="F216" s="9">
        <v>0.4138</v>
      </c>
      <c r="G216" s="9">
        <v>0.4324</v>
      </c>
      <c r="H216" s="9">
        <v>0.4264</v>
      </c>
      <c r="I216" s="9">
        <v>0.4482</v>
      </c>
      <c r="J216" s="9">
        <v>0.4312</v>
      </c>
      <c r="K216" s="9">
        <v>0.4361</v>
      </c>
      <c r="L216" s="9">
        <v>0.44</v>
      </c>
      <c r="M216" s="9">
        <v>0.4228</v>
      </c>
      <c r="N216" s="9">
        <v>0.4202</v>
      </c>
      <c r="O216" s="9">
        <v>0.4199</v>
      </c>
      <c r="P216" s="9">
        <v>0.4008</v>
      </c>
      <c r="Q216" s="9">
        <v>0.3992</v>
      </c>
      <c r="R216" s="9">
        <v>0.4264</v>
      </c>
      <c r="S216" s="9">
        <v>0.427</v>
      </c>
      <c r="T216" s="9">
        <v>0.4469</v>
      </c>
      <c r="U216" s="9">
        <v>0.4756</v>
      </c>
      <c r="V216" s="9">
        <v>0.487</v>
      </c>
      <c r="W216" s="9">
        <v>0.523</v>
      </c>
      <c r="X216" s="9">
        <v>0.5181</v>
      </c>
      <c r="Y216" s="9">
        <v>0.5042</v>
      </c>
      <c r="Z216" s="9">
        <v>0.4826</v>
      </c>
      <c r="AA216" s="9">
        <v>0.472</v>
      </c>
      <c r="AB216" s="9">
        <v>0.4856</v>
      </c>
      <c r="AC216" s="9">
        <v>0.4778</v>
      </c>
      <c r="AD216" s="9">
        <v>0.5182</v>
      </c>
      <c r="AE216" s="9">
        <v>0.5026</v>
      </c>
      <c r="AF216" s="9">
        <v>0.4896</v>
      </c>
      <c r="AG216" s="9">
        <v>0.5043</v>
      </c>
      <c r="AH216" s="9">
        <v>0.5033</v>
      </c>
      <c r="AI216" s="9">
        <v>0.506</v>
      </c>
      <c r="AJ216" s="9">
        <v>0.5142</v>
      </c>
      <c r="AK216" s="9">
        <v>0.5145</v>
      </c>
      <c r="AL216" s="9">
        <v>0.515</v>
      </c>
      <c r="AM216" s="9">
        <v>0.515</v>
      </c>
      <c r="AN216" s="9">
        <v>0.5151</v>
      </c>
      <c r="AO216" s="9">
        <v>0.5151</v>
      </c>
      <c r="AP216" s="9">
        <v>0.5151</v>
      </c>
      <c r="AQ216" s="9">
        <v>0.5151</v>
      </c>
      <c r="AR216" s="9">
        <v>0.5151</v>
      </c>
      <c r="AS216" s="9">
        <v>0.5151</v>
      </c>
      <c r="AT216" s="9">
        <v>0.5151</v>
      </c>
    </row>
    <row r="217" ht="14.25" customHeight="1">
      <c r="A217" s="2" t="s">
        <v>359</v>
      </c>
      <c r="B217" s="9">
        <v>0.6852</v>
      </c>
      <c r="C217" s="9">
        <v>0.6854</v>
      </c>
      <c r="D217" s="9">
        <v>0.6857</v>
      </c>
      <c r="E217" s="9">
        <v>0.6859</v>
      </c>
      <c r="F217" s="9">
        <v>0.6861</v>
      </c>
      <c r="G217" s="9">
        <v>0.6863</v>
      </c>
      <c r="H217" s="9">
        <v>0.6866</v>
      </c>
      <c r="I217" s="9">
        <v>0.6868</v>
      </c>
      <c r="J217" s="9">
        <v>0.6871</v>
      </c>
      <c r="K217" s="9">
        <v>0.6877</v>
      </c>
      <c r="L217" s="9">
        <v>0.6879</v>
      </c>
      <c r="M217" s="9">
        <v>0.6868</v>
      </c>
      <c r="N217" s="9">
        <v>0.6859</v>
      </c>
      <c r="O217" s="9">
        <v>0.6851</v>
      </c>
      <c r="P217" s="9">
        <v>0.6842</v>
      </c>
      <c r="Q217" s="9">
        <v>0.6834</v>
      </c>
      <c r="R217" s="9">
        <v>0.6826</v>
      </c>
      <c r="S217" s="9">
        <v>0.6818</v>
      </c>
      <c r="T217" s="9">
        <v>0.681</v>
      </c>
      <c r="U217" s="9">
        <v>0.6802</v>
      </c>
      <c r="V217" s="9">
        <v>0.6794</v>
      </c>
      <c r="W217" s="9">
        <v>0.6781</v>
      </c>
      <c r="X217" s="9">
        <v>0.6768</v>
      </c>
      <c r="Y217" s="9">
        <v>0.6756</v>
      </c>
      <c r="Z217" s="9">
        <v>0.6745</v>
      </c>
      <c r="AA217" s="9">
        <v>0.6734</v>
      </c>
      <c r="AB217" s="9">
        <v>0.6724</v>
      </c>
      <c r="AC217" s="9">
        <v>0.6714</v>
      </c>
      <c r="AD217" s="9">
        <v>0.6704</v>
      </c>
      <c r="AE217" s="9">
        <v>0.6695</v>
      </c>
      <c r="AF217" s="9">
        <v>0.6687</v>
      </c>
      <c r="AG217" s="9">
        <v>0.6601</v>
      </c>
      <c r="AH217" s="9">
        <v>0.6516</v>
      </c>
      <c r="AI217" s="9">
        <v>0.6431</v>
      </c>
      <c r="AJ217" s="9">
        <v>0.6347</v>
      </c>
      <c r="AK217" s="9">
        <v>0.6264</v>
      </c>
      <c r="AL217" s="9">
        <v>0.6182</v>
      </c>
      <c r="AM217" s="9">
        <v>0.6099</v>
      </c>
      <c r="AN217" s="9">
        <v>0.6018</v>
      </c>
      <c r="AO217" s="9">
        <v>0.5937</v>
      </c>
      <c r="AP217" s="9">
        <v>0.5868</v>
      </c>
      <c r="AQ217" s="9">
        <v>0.5868</v>
      </c>
      <c r="AR217" s="9">
        <v>0.5868</v>
      </c>
      <c r="AS217" s="9">
        <v>0.5868</v>
      </c>
      <c r="AT217" s="9">
        <v>0.5868</v>
      </c>
    </row>
    <row r="218" ht="14.25" customHeight="1">
      <c r="A218" s="2" t="s">
        <v>360</v>
      </c>
      <c r="B218" s="9">
        <v>0.2998</v>
      </c>
      <c r="C218" s="9">
        <v>0.3033</v>
      </c>
      <c r="D218" s="9">
        <v>0.2945</v>
      </c>
      <c r="E218" s="9">
        <v>0.2925</v>
      </c>
      <c r="F218" s="9">
        <v>0.2911</v>
      </c>
      <c r="G218" s="9">
        <v>0.2897</v>
      </c>
      <c r="H218" s="9">
        <v>0.2886</v>
      </c>
      <c r="I218" s="9">
        <v>0.287</v>
      </c>
      <c r="J218" s="9">
        <v>0.2886</v>
      </c>
      <c r="K218" s="9">
        <v>0.2905</v>
      </c>
      <c r="L218" s="9">
        <v>0.2934</v>
      </c>
      <c r="M218" s="9">
        <v>0.3161</v>
      </c>
      <c r="N218" s="9">
        <v>0.3068</v>
      </c>
      <c r="O218" s="9">
        <v>0.3279</v>
      </c>
      <c r="P218" s="9">
        <v>0.3427</v>
      </c>
      <c r="Q218" s="9">
        <v>0.3474</v>
      </c>
      <c r="R218" s="9">
        <v>0.3479</v>
      </c>
      <c r="S218" s="9">
        <v>0.3545</v>
      </c>
      <c r="T218" s="9">
        <v>0.3685</v>
      </c>
      <c r="U218" s="9">
        <v>0.3795</v>
      </c>
      <c r="V218" s="9">
        <v>0.3804</v>
      </c>
      <c r="W218" s="9">
        <v>0.3964</v>
      </c>
      <c r="X218" s="9">
        <v>0.3983</v>
      </c>
      <c r="Y218" s="9">
        <v>0.3924</v>
      </c>
      <c r="Z218" s="9">
        <v>0.4273</v>
      </c>
      <c r="AA218" s="9">
        <v>0.4194</v>
      </c>
      <c r="AB218" s="9">
        <v>0.4171</v>
      </c>
      <c r="AC218" s="9">
        <v>0.4087</v>
      </c>
      <c r="AD218" s="9">
        <v>0.3973</v>
      </c>
      <c r="AE218" s="9">
        <v>0.4018</v>
      </c>
      <c r="AF218" s="9">
        <v>0.4241</v>
      </c>
      <c r="AG218" s="9">
        <v>0.4099</v>
      </c>
      <c r="AH218" s="9">
        <v>0.4059</v>
      </c>
      <c r="AI218" s="9">
        <v>0.4246</v>
      </c>
      <c r="AJ218" s="9">
        <v>0.3879</v>
      </c>
      <c r="AK218" s="9">
        <v>0.4009</v>
      </c>
      <c r="AL218" s="9">
        <v>0.382</v>
      </c>
      <c r="AM218" s="9">
        <v>0.36</v>
      </c>
      <c r="AN218" s="9">
        <v>0.37</v>
      </c>
      <c r="AO218" s="9">
        <v>0.3539</v>
      </c>
      <c r="AP218" s="9">
        <v>0.3539</v>
      </c>
      <c r="AQ218" s="9">
        <v>0.3539</v>
      </c>
      <c r="AR218" s="9">
        <v>0.3539</v>
      </c>
      <c r="AS218" s="9">
        <v>0.3532</v>
      </c>
      <c r="AT218" s="9">
        <v>0.3532</v>
      </c>
    </row>
    <row r="219" ht="14.25" customHeight="1">
      <c r="A219" s="2" t="s">
        <v>361</v>
      </c>
      <c r="B219" s="9">
        <v>0.3063</v>
      </c>
      <c r="C219" s="9">
        <v>0.3063</v>
      </c>
      <c r="D219" s="9">
        <v>0.3063</v>
      </c>
      <c r="E219" s="9">
        <v>0.3063</v>
      </c>
      <c r="F219" s="9">
        <v>0.3063</v>
      </c>
      <c r="G219" s="9">
        <v>0.3063</v>
      </c>
      <c r="H219" s="9">
        <v>0.3063</v>
      </c>
      <c r="I219" s="9">
        <v>0.3063</v>
      </c>
      <c r="J219" s="9">
        <v>0.3063</v>
      </c>
      <c r="K219" s="9">
        <v>0.3063</v>
      </c>
      <c r="L219" s="9">
        <v>0.3063</v>
      </c>
      <c r="M219" s="9">
        <v>0.3071</v>
      </c>
      <c r="N219" s="9">
        <v>0.3228</v>
      </c>
      <c r="O219" s="9">
        <v>0.3741</v>
      </c>
      <c r="P219" s="9">
        <v>0.3517</v>
      </c>
      <c r="Q219" s="9">
        <v>0.3849</v>
      </c>
      <c r="R219" s="9">
        <v>0.3892</v>
      </c>
      <c r="S219" s="9">
        <v>0.3837</v>
      </c>
      <c r="T219" s="9">
        <v>0.3924</v>
      </c>
      <c r="U219" s="9">
        <v>0.4007</v>
      </c>
      <c r="V219" s="9">
        <v>0.3907</v>
      </c>
      <c r="W219" s="9">
        <v>0.388</v>
      </c>
      <c r="X219" s="9">
        <v>0.3923</v>
      </c>
      <c r="Y219" s="9">
        <v>0.4024</v>
      </c>
      <c r="Z219" s="9">
        <v>0.4059</v>
      </c>
      <c r="AA219" s="9">
        <v>0.4094</v>
      </c>
      <c r="AB219" s="9">
        <v>0.4101</v>
      </c>
      <c r="AC219" s="9">
        <v>0.4059</v>
      </c>
      <c r="AD219" s="9">
        <v>0.4018</v>
      </c>
      <c r="AE219" s="9">
        <v>0.4006</v>
      </c>
      <c r="AF219" s="9">
        <v>0.406</v>
      </c>
      <c r="AG219" s="9">
        <v>0.4011</v>
      </c>
      <c r="AH219" s="9">
        <v>0.4109</v>
      </c>
      <c r="AI219" s="9">
        <v>0.4101</v>
      </c>
      <c r="AJ219" s="9">
        <v>0.4087</v>
      </c>
      <c r="AK219" s="9">
        <v>0.4014</v>
      </c>
      <c r="AL219" s="9">
        <v>0.399</v>
      </c>
      <c r="AM219" s="9">
        <v>0.3888</v>
      </c>
      <c r="AN219" s="9">
        <v>0.3868</v>
      </c>
      <c r="AO219" s="9">
        <v>0.3869</v>
      </c>
      <c r="AP219" s="9">
        <v>0.3869</v>
      </c>
      <c r="AQ219" s="9">
        <v>0.3869</v>
      </c>
      <c r="AR219" s="9">
        <v>0.3865</v>
      </c>
      <c r="AS219" s="9">
        <v>0.3895</v>
      </c>
      <c r="AT219" s="9">
        <v>0.3895</v>
      </c>
    </row>
    <row r="220" ht="14.25" customHeight="1">
      <c r="A220" s="2" t="s">
        <v>362</v>
      </c>
      <c r="B220" s="9">
        <v>0.4403</v>
      </c>
      <c r="C220" s="9">
        <v>0.4412</v>
      </c>
      <c r="D220" s="9">
        <v>0.4421</v>
      </c>
      <c r="E220" s="9">
        <v>0.443</v>
      </c>
      <c r="F220" s="9">
        <v>0.444</v>
      </c>
      <c r="G220" s="9">
        <v>0.4449</v>
      </c>
      <c r="H220" s="9">
        <v>0.4459</v>
      </c>
      <c r="I220" s="9">
        <v>0.4469</v>
      </c>
      <c r="J220" s="9">
        <v>0.4479</v>
      </c>
      <c r="K220" s="9">
        <v>0.449</v>
      </c>
      <c r="L220" s="9">
        <v>0.45</v>
      </c>
      <c r="M220" s="9">
        <v>0.4515</v>
      </c>
      <c r="N220" s="9">
        <v>0.453</v>
      </c>
      <c r="O220" s="9">
        <v>0.4544</v>
      </c>
      <c r="P220" s="9">
        <v>0.4558</v>
      </c>
      <c r="Q220" s="9">
        <v>0.4571</v>
      </c>
      <c r="R220" s="9">
        <v>0.4584</v>
      </c>
      <c r="S220" s="9">
        <v>0.4596</v>
      </c>
      <c r="T220" s="9">
        <v>0.4608</v>
      </c>
      <c r="U220" s="9">
        <v>0.462</v>
      </c>
      <c r="V220" s="9">
        <v>0.4631</v>
      </c>
      <c r="W220" s="9">
        <v>0.4719</v>
      </c>
      <c r="X220" s="9">
        <v>0.4805</v>
      </c>
      <c r="Y220" s="9">
        <v>0.489</v>
      </c>
      <c r="Z220" s="9">
        <v>0.4972</v>
      </c>
      <c r="AA220" s="9">
        <v>0.5052</v>
      </c>
      <c r="AB220" s="9">
        <v>0.5131</v>
      </c>
      <c r="AC220" s="9">
        <v>0.5207</v>
      </c>
      <c r="AD220" s="9">
        <v>0.5282</v>
      </c>
      <c r="AE220" s="9">
        <v>0.5356</v>
      </c>
      <c r="AF220" s="9">
        <v>0.5428</v>
      </c>
      <c r="AG220" s="9">
        <v>0.5447</v>
      </c>
      <c r="AH220" s="9">
        <v>0.5466</v>
      </c>
      <c r="AI220" s="9">
        <v>0.5483</v>
      </c>
      <c r="AJ220" s="9">
        <v>0.55</v>
      </c>
      <c r="AK220" s="9">
        <v>0.5516</v>
      </c>
      <c r="AL220" s="9">
        <v>0.5531</v>
      </c>
      <c r="AM220" s="9">
        <v>0.5546</v>
      </c>
      <c r="AN220" s="9">
        <v>0.556</v>
      </c>
      <c r="AO220" s="9">
        <v>0.5574</v>
      </c>
      <c r="AP220" s="9">
        <v>0.5587</v>
      </c>
      <c r="AQ220" s="9">
        <v>0.5587</v>
      </c>
      <c r="AR220" s="9">
        <v>0.5587</v>
      </c>
      <c r="AS220" s="9">
        <v>0.5587</v>
      </c>
      <c r="AT220" s="9">
        <v>0.5587</v>
      </c>
    </row>
    <row r="221" ht="14.25" customHeight="1">
      <c r="A221" s="2" t="s">
        <v>363</v>
      </c>
      <c r="B221" s="9">
        <v>0.6451</v>
      </c>
      <c r="C221" s="9">
        <v>0.6452</v>
      </c>
      <c r="D221" s="9">
        <v>0.6455</v>
      </c>
      <c r="E221" s="9">
        <v>0.6457</v>
      </c>
      <c r="F221" s="9">
        <v>0.6459</v>
      </c>
      <c r="G221" s="9">
        <v>0.646</v>
      </c>
      <c r="H221" s="9">
        <v>0.6462</v>
      </c>
      <c r="I221" s="9">
        <v>0.6463</v>
      </c>
      <c r="J221" s="9">
        <v>0.6466</v>
      </c>
      <c r="K221" s="9">
        <v>0.6469</v>
      </c>
      <c r="L221" s="9">
        <v>0.6469</v>
      </c>
      <c r="M221" s="9">
        <v>0.6468</v>
      </c>
      <c r="N221" s="9">
        <v>0.646</v>
      </c>
      <c r="O221" s="9">
        <v>0.6377</v>
      </c>
      <c r="P221" s="9">
        <v>0.6277</v>
      </c>
      <c r="Q221" s="9">
        <v>0.6263</v>
      </c>
      <c r="R221" s="9">
        <v>0.6151</v>
      </c>
      <c r="S221" s="9">
        <v>0.6056</v>
      </c>
      <c r="T221" s="9">
        <v>0.594</v>
      </c>
      <c r="U221" s="9">
        <v>0.5814</v>
      </c>
      <c r="V221" s="9">
        <v>0.5829</v>
      </c>
      <c r="W221" s="9">
        <v>0.585</v>
      </c>
      <c r="X221" s="9">
        <v>0.5834</v>
      </c>
      <c r="Y221" s="9">
        <v>0.5828</v>
      </c>
      <c r="Z221" s="9">
        <v>0.5823</v>
      </c>
      <c r="AA221" s="9">
        <v>0.5828</v>
      </c>
      <c r="AB221" s="9">
        <v>0.5843</v>
      </c>
      <c r="AC221" s="9">
        <v>0.5859</v>
      </c>
      <c r="AD221" s="9">
        <v>0.5861</v>
      </c>
      <c r="AE221" s="9">
        <v>0.5875</v>
      </c>
      <c r="AF221" s="9">
        <v>0.5874</v>
      </c>
      <c r="AG221" s="9">
        <v>0.5866</v>
      </c>
      <c r="AH221" s="9">
        <v>0.5871</v>
      </c>
      <c r="AI221" s="9">
        <v>0.5887</v>
      </c>
      <c r="AJ221" s="9">
        <v>0.5901</v>
      </c>
      <c r="AK221" s="9">
        <v>0.5903</v>
      </c>
      <c r="AL221" s="9">
        <v>0.5868</v>
      </c>
      <c r="AM221" s="9">
        <v>0.5819</v>
      </c>
      <c r="AN221" s="9">
        <v>0.5773</v>
      </c>
      <c r="AO221" s="9">
        <v>0.5728</v>
      </c>
      <c r="AP221" s="9">
        <v>0.5685</v>
      </c>
      <c r="AQ221" s="9">
        <v>0.5698</v>
      </c>
      <c r="AR221" s="9">
        <v>0.5671</v>
      </c>
      <c r="AS221" s="9">
        <v>0.5669</v>
      </c>
      <c r="AT221" s="9">
        <v>0.5669</v>
      </c>
    </row>
    <row r="222" ht="14.25" customHeight="1">
      <c r="A222" s="2" t="s">
        <v>364</v>
      </c>
      <c r="B222" s="9">
        <v>0.5751</v>
      </c>
      <c r="C222" s="9">
        <v>0.5717</v>
      </c>
      <c r="D222" s="9">
        <v>0.57</v>
      </c>
      <c r="E222" s="9">
        <v>0.5877</v>
      </c>
      <c r="F222" s="9">
        <v>0.5792</v>
      </c>
      <c r="G222" s="9">
        <v>0.581</v>
      </c>
      <c r="H222" s="9">
        <v>0.5809</v>
      </c>
      <c r="I222" s="9">
        <v>0.5842</v>
      </c>
      <c r="J222" s="9">
        <v>0.5906</v>
      </c>
      <c r="K222" s="9">
        <v>0.5944</v>
      </c>
      <c r="L222" s="9">
        <v>0.5928</v>
      </c>
      <c r="M222" s="9">
        <v>0.5994</v>
      </c>
      <c r="N222" s="9">
        <v>0.607</v>
      </c>
      <c r="O222" s="9">
        <v>0.6156</v>
      </c>
      <c r="P222" s="9">
        <v>0.624</v>
      </c>
      <c r="Q222" s="9">
        <v>0.6267</v>
      </c>
      <c r="R222" s="9">
        <v>0.6274</v>
      </c>
      <c r="S222" s="9">
        <v>0.626</v>
      </c>
      <c r="T222" s="9">
        <v>0.6062</v>
      </c>
      <c r="U222" s="9">
        <v>0.6055</v>
      </c>
      <c r="V222" s="9">
        <v>0.6081</v>
      </c>
      <c r="W222" s="9">
        <v>0.612</v>
      </c>
      <c r="X222" s="9">
        <v>0.6155</v>
      </c>
      <c r="Y222" s="9">
        <v>0.6219</v>
      </c>
      <c r="Z222" s="9">
        <v>0.6272</v>
      </c>
      <c r="AA222" s="9">
        <v>0.6314</v>
      </c>
      <c r="AB222" s="9">
        <v>0.63</v>
      </c>
      <c r="AC222" s="9">
        <v>0.6334</v>
      </c>
      <c r="AD222" s="9">
        <v>0.641</v>
      </c>
      <c r="AE222" s="9">
        <v>0.6399</v>
      </c>
      <c r="AF222" s="9">
        <v>0.6448</v>
      </c>
      <c r="AG222" s="9">
        <v>0.6493</v>
      </c>
      <c r="AH222" s="9">
        <v>0.6491</v>
      </c>
      <c r="AI222" s="9">
        <v>0.648</v>
      </c>
      <c r="AJ222" s="9">
        <v>0.6503</v>
      </c>
      <c r="AK222" s="9">
        <v>0.6516</v>
      </c>
      <c r="AL222" s="9">
        <v>0.6553</v>
      </c>
      <c r="AM222" s="9">
        <v>0.6562</v>
      </c>
      <c r="AN222" s="9">
        <v>0.6535</v>
      </c>
      <c r="AO222" s="9">
        <v>0.6495</v>
      </c>
      <c r="AP222" s="9">
        <v>0.6445</v>
      </c>
      <c r="AQ222" s="9">
        <v>0.6452</v>
      </c>
      <c r="AR222" s="9">
        <v>0.6447</v>
      </c>
      <c r="AS222" s="9">
        <v>0.6443</v>
      </c>
      <c r="AT222" s="9">
        <v>0.6445</v>
      </c>
    </row>
    <row r="223" ht="14.25" customHeight="1">
      <c r="A223" s="2" t="s">
        <v>365</v>
      </c>
      <c r="B223" s="9">
        <v>0.5423</v>
      </c>
      <c r="C223" s="9">
        <v>0.5391</v>
      </c>
      <c r="D223" s="9">
        <v>0.5392</v>
      </c>
      <c r="E223" s="9">
        <v>0.5562</v>
      </c>
      <c r="F223" s="9">
        <v>0.5495</v>
      </c>
      <c r="G223" s="9">
        <v>0.552</v>
      </c>
      <c r="H223" s="9">
        <v>0.5534</v>
      </c>
      <c r="I223" s="9">
        <v>0.5547</v>
      </c>
      <c r="J223" s="9">
        <v>0.5603</v>
      </c>
      <c r="K223" s="9">
        <v>0.5643</v>
      </c>
      <c r="L223" s="9">
        <v>0.5614</v>
      </c>
      <c r="M223" s="9">
        <v>0.5667</v>
      </c>
      <c r="N223" s="9">
        <v>0.5737</v>
      </c>
      <c r="O223" s="9">
        <v>0.5836</v>
      </c>
      <c r="P223" s="9">
        <v>0.5923</v>
      </c>
      <c r="Q223" s="9">
        <v>0.5945</v>
      </c>
      <c r="R223" s="9">
        <v>0.5944</v>
      </c>
      <c r="S223" s="9">
        <v>0.5904</v>
      </c>
      <c r="T223" s="9">
        <v>0.5737</v>
      </c>
      <c r="U223" s="9">
        <v>0.5717</v>
      </c>
      <c r="V223" s="9">
        <v>0.5764</v>
      </c>
      <c r="W223" s="9">
        <v>0.5767</v>
      </c>
      <c r="X223" s="9">
        <v>0.5807</v>
      </c>
      <c r="Y223" s="9">
        <v>0.5869</v>
      </c>
      <c r="Z223" s="9">
        <v>0.5914</v>
      </c>
      <c r="AA223" s="9">
        <v>0.5966</v>
      </c>
      <c r="AB223" s="9">
        <v>0.5979</v>
      </c>
      <c r="AC223" s="9">
        <v>0.6026</v>
      </c>
      <c r="AD223" s="9">
        <v>0.6097</v>
      </c>
      <c r="AE223" s="9">
        <v>0.6125</v>
      </c>
      <c r="AF223" s="9">
        <v>0.6157</v>
      </c>
      <c r="AG223" s="9">
        <v>0.6224</v>
      </c>
      <c r="AH223" s="9">
        <v>0.6232</v>
      </c>
      <c r="AI223" s="9">
        <v>0.6208</v>
      </c>
      <c r="AJ223" s="9">
        <v>0.6246</v>
      </c>
      <c r="AK223" s="9">
        <v>0.6256</v>
      </c>
      <c r="AL223" s="9">
        <v>0.6233</v>
      </c>
      <c r="AM223" s="9">
        <v>0.6249</v>
      </c>
      <c r="AN223" s="9">
        <v>0.6225</v>
      </c>
      <c r="AO223" s="9">
        <v>0.6239</v>
      </c>
      <c r="AP223" s="9">
        <v>0.6141</v>
      </c>
      <c r="AQ223" s="9">
        <v>0.6154</v>
      </c>
      <c r="AR223" s="9">
        <v>0.6221</v>
      </c>
      <c r="AS223" s="9">
        <v>0.6234</v>
      </c>
      <c r="AT223" s="9">
        <v>0.6208</v>
      </c>
    </row>
    <row r="224" ht="14.25" customHeight="1">
      <c r="A224" s="2" t="s">
        <v>366</v>
      </c>
      <c r="B224" s="9">
        <v>0.5441</v>
      </c>
      <c r="C224" s="9">
        <v>0.5441</v>
      </c>
      <c r="D224" s="9">
        <v>0.5441</v>
      </c>
      <c r="E224" s="9">
        <v>0.5441</v>
      </c>
      <c r="F224" s="9">
        <v>0.5441</v>
      </c>
      <c r="G224" s="9">
        <v>0.5441</v>
      </c>
      <c r="H224" s="9">
        <v>0.5441</v>
      </c>
      <c r="I224" s="9">
        <v>0.5441</v>
      </c>
      <c r="J224" s="9">
        <v>0.5441</v>
      </c>
      <c r="K224" s="9">
        <v>0.5441</v>
      </c>
      <c r="L224" s="9">
        <v>0.5441</v>
      </c>
      <c r="M224" s="9">
        <v>0.5655</v>
      </c>
      <c r="N224" s="9">
        <v>0.5615</v>
      </c>
      <c r="O224" s="9">
        <v>0.5358</v>
      </c>
      <c r="P224" s="9">
        <v>0.5483</v>
      </c>
      <c r="Q224" s="9">
        <v>0.5607</v>
      </c>
      <c r="R224" s="9">
        <v>0.5732</v>
      </c>
      <c r="S224" s="9">
        <v>0.5856</v>
      </c>
      <c r="T224" s="9">
        <v>0.5981</v>
      </c>
      <c r="U224" s="9">
        <v>0.6106</v>
      </c>
      <c r="V224" s="9">
        <v>0.623</v>
      </c>
      <c r="W224" s="9">
        <v>0.6281</v>
      </c>
      <c r="X224" s="9">
        <v>0.6332</v>
      </c>
      <c r="Y224" s="9">
        <v>0.6387</v>
      </c>
      <c r="Z224" s="9">
        <v>0.6335</v>
      </c>
      <c r="AA224" s="9">
        <v>0.6444</v>
      </c>
      <c r="AB224" s="9">
        <v>0.6615</v>
      </c>
      <c r="AC224" s="9">
        <v>0.6882</v>
      </c>
      <c r="AD224" s="9">
        <v>0.6737</v>
      </c>
      <c r="AE224" s="9">
        <v>0.6656</v>
      </c>
      <c r="AF224" s="9">
        <v>0.6903</v>
      </c>
      <c r="AG224" s="9">
        <v>0.7023</v>
      </c>
      <c r="AH224" s="9">
        <v>0.7371</v>
      </c>
      <c r="AI224" s="9">
        <v>0.7379</v>
      </c>
      <c r="AJ224" s="9">
        <v>0.7386</v>
      </c>
      <c r="AK224" s="9">
        <v>0.7386</v>
      </c>
      <c r="AL224" s="9">
        <v>0.7386</v>
      </c>
      <c r="AM224" s="9">
        <v>0.7386</v>
      </c>
      <c r="AN224" s="9">
        <v>0.7386</v>
      </c>
      <c r="AO224" s="9">
        <v>0.7386</v>
      </c>
      <c r="AP224" s="9">
        <v>0.7386</v>
      </c>
      <c r="AQ224" s="9">
        <v>0.7386</v>
      </c>
      <c r="AR224" s="9">
        <v>0.7386</v>
      </c>
      <c r="AS224" s="9">
        <v>0.7386</v>
      </c>
      <c r="AT224" s="9">
        <v>0.7564</v>
      </c>
    </row>
    <row r="225" ht="14.25" customHeight="1">
      <c r="A225" s="2" t="s">
        <v>367</v>
      </c>
      <c r="B225" s="9">
        <v>0.6143</v>
      </c>
      <c r="C225" s="9">
        <v>0.6143</v>
      </c>
      <c r="D225" s="9">
        <v>0.6143</v>
      </c>
      <c r="E225" s="9">
        <v>0.6143</v>
      </c>
      <c r="F225" s="9">
        <v>0.6143</v>
      </c>
      <c r="G225" s="9">
        <v>0.6143</v>
      </c>
      <c r="H225" s="9">
        <v>0.6143</v>
      </c>
      <c r="I225" s="9">
        <v>0.6143</v>
      </c>
      <c r="J225" s="9">
        <v>0.6143</v>
      </c>
      <c r="K225" s="9">
        <v>0.6143</v>
      </c>
      <c r="L225" s="9">
        <v>0.6143</v>
      </c>
      <c r="M225" s="9">
        <v>0.6143</v>
      </c>
      <c r="N225" s="9">
        <v>0.6143</v>
      </c>
      <c r="O225" s="9">
        <v>0.6143</v>
      </c>
      <c r="P225" s="9">
        <v>0.6143</v>
      </c>
      <c r="Q225" s="9">
        <v>0.6143</v>
      </c>
      <c r="R225" s="9">
        <v>0.6143</v>
      </c>
      <c r="S225" s="9">
        <v>0.6143</v>
      </c>
      <c r="T225" s="9">
        <v>0.6143</v>
      </c>
      <c r="U225" s="9">
        <v>0.6143</v>
      </c>
      <c r="V225" s="9">
        <v>0.6143</v>
      </c>
      <c r="W225" s="9">
        <v>0.6143</v>
      </c>
      <c r="X225" s="9">
        <v>0.6143</v>
      </c>
      <c r="Y225" s="9">
        <v>0.6143</v>
      </c>
      <c r="Z225" s="9">
        <v>0.6143</v>
      </c>
      <c r="AA225" s="9">
        <v>0.6143</v>
      </c>
      <c r="AB225" s="9">
        <v>0.6143</v>
      </c>
      <c r="AC225" s="9">
        <v>0.6143</v>
      </c>
      <c r="AD225" s="9">
        <v>0.6143</v>
      </c>
      <c r="AE225" s="9">
        <v>0.6143</v>
      </c>
      <c r="AF225" s="9">
        <v>0.613</v>
      </c>
      <c r="AG225" s="9">
        <v>0.6118</v>
      </c>
      <c r="AH225" s="9">
        <v>0.6105</v>
      </c>
      <c r="AI225" s="9">
        <v>0.6093</v>
      </c>
      <c r="AJ225" s="9">
        <v>0.608</v>
      </c>
      <c r="AK225" s="9">
        <v>0.6067</v>
      </c>
      <c r="AL225" s="9">
        <v>0.6055</v>
      </c>
      <c r="AM225" s="9">
        <v>0.6055</v>
      </c>
      <c r="AN225" s="9">
        <v>0.6055</v>
      </c>
      <c r="AO225" s="9">
        <v>0.6055</v>
      </c>
      <c r="AP225" s="9">
        <v>0.6055</v>
      </c>
      <c r="AQ225" s="9">
        <v>0.6055</v>
      </c>
      <c r="AR225" s="9">
        <v>0.6055</v>
      </c>
      <c r="AS225" s="9">
        <v>0.6055</v>
      </c>
      <c r="AT225" s="9">
        <v>0.6055</v>
      </c>
    </row>
    <row r="226" ht="14.25" customHeight="1">
      <c r="A226" s="2" t="s">
        <v>368</v>
      </c>
      <c r="B226" s="9">
        <v>0.4533</v>
      </c>
      <c r="C226" s="9">
        <v>0.4512</v>
      </c>
      <c r="D226" s="9">
        <v>0.4506</v>
      </c>
      <c r="E226" s="9">
        <v>0.4499</v>
      </c>
      <c r="F226" s="9">
        <v>0.4509</v>
      </c>
      <c r="G226" s="9">
        <v>0.4574</v>
      </c>
      <c r="H226" s="9">
        <v>0.4669</v>
      </c>
      <c r="I226" s="9">
        <v>0.468</v>
      </c>
      <c r="J226" s="9">
        <v>0.4688</v>
      </c>
      <c r="K226" s="9">
        <v>0.4778</v>
      </c>
      <c r="L226" s="9">
        <v>0.4739</v>
      </c>
      <c r="M226" s="9">
        <v>0.4675</v>
      </c>
      <c r="N226" s="9">
        <v>0.4583</v>
      </c>
      <c r="O226" s="9">
        <v>0.4518</v>
      </c>
      <c r="P226" s="9">
        <v>0.4582</v>
      </c>
      <c r="Q226" s="9">
        <v>0.464</v>
      </c>
      <c r="R226" s="9">
        <v>0.457</v>
      </c>
      <c r="S226" s="9">
        <v>0.4499</v>
      </c>
      <c r="T226" s="9">
        <v>0.4487</v>
      </c>
      <c r="U226" s="9">
        <v>0.4543</v>
      </c>
      <c r="V226" s="9">
        <v>0.4475</v>
      </c>
      <c r="W226" s="9">
        <v>0.4421</v>
      </c>
      <c r="X226" s="9">
        <v>0.4406</v>
      </c>
      <c r="Y226" s="9">
        <v>0.4416</v>
      </c>
      <c r="Z226" s="9">
        <v>0.442</v>
      </c>
      <c r="AA226" s="9">
        <v>0.4427</v>
      </c>
      <c r="AB226" s="9">
        <v>0.4472</v>
      </c>
      <c r="AC226" s="9">
        <v>0.4436</v>
      </c>
      <c r="AD226" s="9">
        <v>0.447</v>
      </c>
      <c r="AE226" s="9">
        <v>0.4544</v>
      </c>
      <c r="AF226" s="9">
        <v>0.4412</v>
      </c>
      <c r="AG226" s="9">
        <v>0.4411</v>
      </c>
      <c r="AH226" s="9">
        <v>0.4408</v>
      </c>
      <c r="AI226" s="9">
        <v>0.4501</v>
      </c>
      <c r="AJ226" s="9">
        <v>0.452</v>
      </c>
      <c r="AK226" s="9">
        <v>0.4485</v>
      </c>
      <c r="AL226" s="9">
        <v>0.4512</v>
      </c>
      <c r="AM226" s="9">
        <v>0.4405</v>
      </c>
      <c r="AN226" s="9">
        <v>0.4323</v>
      </c>
      <c r="AO226" s="9">
        <v>0.4281</v>
      </c>
      <c r="AP226" s="9">
        <v>0.4281</v>
      </c>
      <c r="AQ226" s="9">
        <v>0.4286</v>
      </c>
      <c r="AR226" s="9">
        <v>0.4269</v>
      </c>
      <c r="AS226" s="9">
        <v>0.4252</v>
      </c>
      <c r="AT226" s="9">
        <v>0.4252</v>
      </c>
    </row>
    <row r="227" ht="14.25" customHeight="1">
      <c r="A227" s="2" t="s">
        <v>369</v>
      </c>
      <c r="B227" s="9">
        <v>0.5058</v>
      </c>
      <c r="C227" s="9">
        <v>0.5058</v>
      </c>
      <c r="D227" s="9">
        <v>0.5058</v>
      </c>
      <c r="E227" s="9">
        <v>0.5058</v>
      </c>
      <c r="F227" s="9">
        <v>0.5058</v>
      </c>
      <c r="G227" s="9">
        <v>0.5058</v>
      </c>
      <c r="H227" s="9">
        <v>0.5088</v>
      </c>
      <c r="I227" s="9">
        <v>0.5115</v>
      </c>
      <c r="J227" s="9">
        <v>0.5141</v>
      </c>
      <c r="K227" s="9">
        <v>0.5165</v>
      </c>
      <c r="L227" s="9">
        <v>0.5188</v>
      </c>
      <c r="M227" s="9">
        <v>0.5228</v>
      </c>
      <c r="N227" s="9">
        <v>0.5264</v>
      </c>
      <c r="O227" s="9">
        <v>0.5298</v>
      </c>
      <c r="P227" s="9">
        <v>0.5328</v>
      </c>
      <c r="Q227" s="9">
        <v>0.5356</v>
      </c>
      <c r="R227" s="9">
        <v>0.5449</v>
      </c>
      <c r="S227" s="9">
        <v>0.5539</v>
      </c>
      <c r="T227" s="9">
        <v>0.5617</v>
      </c>
      <c r="U227" s="9">
        <v>0.5707</v>
      </c>
      <c r="V227" s="9">
        <v>0.5782</v>
      </c>
      <c r="W227" s="9">
        <v>0.585</v>
      </c>
      <c r="X227" s="9">
        <v>0.5935</v>
      </c>
      <c r="Y227" s="9">
        <v>0.5919</v>
      </c>
      <c r="Z227" s="9">
        <v>0.5878</v>
      </c>
      <c r="AA227" s="9">
        <v>0.5848</v>
      </c>
      <c r="AB227" s="9">
        <v>0.5831</v>
      </c>
      <c r="AC227" s="9">
        <v>0.5739</v>
      </c>
      <c r="AD227" s="9">
        <v>0.5574</v>
      </c>
      <c r="AE227" s="9">
        <v>0.546</v>
      </c>
      <c r="AF227" s="9">
        <v>0.5589</v>
      </c>
      <c r="AG227" s="9">
        <v>0.5619</v>
      </c>
      <c r="AH227" s="9">
        <v>0.5665</v>
      </c>
      <c r="AI227" s="9">
        <v>0.567</v>
      </c>
      <c r="AJ227" s="9">
        <v>0.5665</v>
      </c>
      <c r="AK227" s="9">
        <v>0.5647</v>
      </c>
      <c r="AL227" s="9">
        <v>0.5654</v>
      </c>
      <c r="AM227" s="9">
        <v>0.5655</v>
      </c>
      <c r="AN227" s="9">
        <v>0.5655</v>
      </c>
      <c r="AO227" s="9">
        <v>0.5655</v>
      </c>
      <c r="AP227" s="9">
        <v>0.5655</v>
      </c>
      <c r="AQ227" s="9">
        <v>0.5655</v>
      </c>
      <c r="AR227" s="9">
        <v>0.5655</v>
      </c>
      <c r="AS227" s="9">
        <v>0.5655</v>
      </c>
      <c r="AT227" s="9">
        <v>0.5655</v>
      </c>
    </row>
    <row r="228" ht="14.25" customHeight="1">
      <c r="A228" s="2" t="s">
        <v>370</v>
      </c>
      <c r="B228" s="9">
        <v>0.714</v>
      </c>
      <c r="C228" s="9">
        <v>0.7159</v>
      </c>
      <c r="D228" s="9">
        <v>0.7161</v>
      </c>
      <c r="E228" s="9">
        <v>0.7187</v>
      </c>
      <c r="F228" s="9">
        <v>0.7202</v>
      </c>
      <c r="G228" s="9">
        <v>0.7168</v>
      </c>
      <c r="H228" s="9">
        <v>0.711</v>
      </c>
      <c r="I228" s="9">
        <v>0.7103</v>
      </c>
      <c r="J228" s="9">
        <v>0.7116</v>
      </c>
      <c r="K228" s="9">
        <v>0.7126</v>
      </c>
      <c r="L228" s="9">
        <v>0.709</v>
      </c>
      <c r="M228" s="9">
        <v>0.7141</v>
      </c>
      <c r="N228" s="9">
        <v>0.7152</v>
      </c>
      <c r="O228" s="9">
        <v>0.7137</v>
      </c>
      <c r="P228" s="9">
        <v>0.712</v>
      </c>
      <c r="Q228" s="9">
        <v>0.7117</v>
      </c>
      <c r="R228" s="9">
        <v>0.7111</v>
      </c>
      <c r="S228" s="9">
        <v>0.7125</v>
      </c>
      <c r="T228" s="9">
        <v>0.7111</v>
      </c>
      <c r="U228" s="9">
        <v>0.7102</v>
      </c>
      <c r="V228" s="9">
        <v>0.715</v>
      </c>
      <c r="W228" s="9">
        <v>0.7147</v>
      </c>
      <c r="X228" s="9">
        <v>0.7139</v>
      </c>
      <c r="Y228" s="9">
        <v>0.7125</v>
      </c>
      <c r="Z228" s="9">
        <v>0.7074</v>
      </c>
      <c r="AA228" s="9">
        <v>0.7055</v>
      </c>
      <c r="AB228" s="9">
        <v>0.7057</v>
      </c>
      <c r="AC228" s="9">
        <v>0.7071</v>
      </c>
      <c r="AD228" s="9">
        <v>0.6988</v>
      </c>
      <c r="AE228" s="9">
        <v>0.6916</v>
      </c>
      <c r="AF228" s="9">
        <v>0.691</v>
      </c>
      <c r="AG228" s="9">
        <v>0.6899</v>
      </c>
      <c r="AH228" s="9">
        <v>0.6937</v>
      </c>
      <c r="AI228" s="9">
        <v>0.6936</v>
      </c>
      <c r="AJ228" s="9">
        <v>0.69</v>
      </c>
      <c r="AK228" s="9">
        <v>0.6877</v>
      </c>
      <c r="AL228" s="9">
        <v>0.6856</v>
      </c>
      <c r="AM228" s="9">
        <v>0.6821</v>
      </c>
      <c r="AN228" s="9">
        <v>0.6771</v>
      </c>
      <c r="AO228" s="9">
        <v>0.6726</v>
      </c>
      <c r="AP228" s="9">
        <v>0.667</v>
      </c>
      <c r="AQ228" s="9">
        <v>0.6683</v>
      </c>
      <c r="AR228" s="9">
        <v>0.6653</v>
      </c>
      <c r="AS228" s="9">
        <v>0.6636</v>
      </c>
      <c r="AT228" s="9">
        <v>0.6641</v>
      </c>
    </row>
    <row r="229" ht="14.25" customHeight="1">
      <c r="A229" s="2" t="s">
        <v>371</v>
      </c>
      <c r="B229" s="9">
        <v>0.7041</v>
      </c>
      <c r="C229" s="9">
        <v>0.7051</v>
      </c>
      <c r="D229" s="9">
        <v>0.7032</v>
      </c>
      <c r="E229" s="9">
        <v>0.7033</v>
      </c>
      <c r="F229" s="9">
        <v>0.7035</v>
      </c>
      <c r="G229" s="9">
        <v>0.7026</v>
      </c>
      <c r="H229" s="9">
        <v>0.6964</v>
      </c>
      <c r="I229" s="9">
        <v>0.695</v>
      </c>
      <c r="J229" s="9">
        <v>0.6986</v>
      </c>
      <c r="K229" s="9">
        <v>0.6989</v>
      </c>
      <c r="L229" s="9">
        <v>0.6989</v>
      </c>
      <c r="M229" s="9">
        <v>0.7007</v>
      </c>
      <c r="N229" s="9">
        <v>0.7041</v>
      </c>
      <c r="O229" s="9">
        <v>0.6965</v>
      </c>
      <c r="P229" s="9">
        <v>0.6984</v>
      </c>
      <c r="Q229" s="9">
        <v>0.6986</v>
      </c>
      <c r="R229" s="9">
        <v>0.6966</v>
      </c>
      <c r="S229" s="9">
        <v>0.6966</v>
      </c>
      <c r="T229" s="9">
        <v>0.6933</v>
      </c>
      <c r="U229" s="9">
        <v>0.6895</v>
      </c>
      <c r="V229" s="9">
        <v>0.6925</v>
      </c>
      <c r="W229" s="9">
        <v>0.6925</v>
      </c>
      <c r="X229" s="9">
        <v>0.6956</v>
      </c>
      <c r="Y229" s="9">
        <v>0.6943</v>
      </c>
      <c r="Z229" s="9">
        <v>0.6942</v>
      </c>
      <c r="AA229" s="9">
        <v>0.693</v>
      </c>
      <c r="AB229" s="9">
        <v>0.6913</v>
      </c>
      <c r="AC229" s="9">
        <v>0.6915</v>
      </c>
      <c r="AD229" s="9">
        <v>0.6879</v>
      </c>
      <c r="AE229" s="9">
        <v>0.6849</v>
      </c>
      <c r="AF229" s="9">
        <v>0.6845</v>
      </c>
      <c r="AG229" s="9">
        <v>0.6825</v>
      </c>
      <c r="AH229" s="9">
        <v>0.6817</v>
      </c>
      <c r="AI229" s="9">
        <v>0.6822</v>
      </c>
      <c r="AJ229" s="9">
        <v>0.6788</v>
      </c>
      <c r="AK229" s="9">
        <v>0.677</v>
      </c>
      <c r="AL229" s="9">
        <v>0.673</v>
      </c>
      <c r="AM229" s="9">
        <v>0.6677</v>
      </c>
      <c r="AN229" s="9">
        <v>0.6644</v>
      </c>
      <c r="AO229" s="9">
        <v>0.659</v>
      </c>
      <c r="AP229" s="9">
        <v>0.6552</v>
      </c>
      <c r="AQ229" s="9">
        <v>0.6559</v>
      </c>
      <c r="AR229" s="9">
        <v>0.653</v>
      </c>
      <c r="AS229" s="9">
        <v>0.6517</v>
      </c>
      <c r="AT229" s="9">
        <v>0.6538</v>
      </c>
    </row>
    <row r="230" ht="14.25" customHeight="1">
      <c r="A230" s="2" t="s">
        <v>372</v>
      </c>
      <c r="B230" s="9">
        <v>0.5256</v>
      </c>
      <c r="C230" s="9">
        <v>0.5256</v>
      </c>
      <c r="D230" s="9">
        <v>0.5256</v>
      </c>
      <c r="E230" s="9">
        <v>0.5256</v>
      </c>
      <c r="F230" s="9">
        <v>0.5256</v>
      </c>
      <c r="G230" s="9">
        <v>0.5256</v>
      </c>
      <c r="H230" s="9">
        <v>0.5256</v>
      </c>
      <c r="I230" s="9">
        <v>0.5256</v>
      </c>
      <c r="J230" s="9">
        <v>0.5256</v>
      </c>
      <c r="K230" s="9">
        <v>0.5256</v>
      </c>
      <c r="L230" s="9">
        <v>0.5256</v>
      </c>
      <c r="M230" s="9">
        <v>0.5256</v>
      </c>
      <c r="N230" s="9">
        <v>0.5256</v>
      </c>
      <c r="O230" s="9">
        <v>0.5256</v>
      </c>
      <c r="P230" s="9">
        <v>0.5256</v>
      </c>
      <c r="Q230" s="9">
        <v>0.5256</v>
      </c>
      <c r="R230" s="9">
        <v>0.5256</v>
      </c>
      <c r="S230" s="9">
        <v>0.5256</v>
      </c>
      <c r="T230" s="9">
        <v>0.5256</v>
      </c>
      <c r="U230" s="9">
        <v>0.5256</v>
      </c>
      <c r="V230" s="9">
        <v>0.5256</v>
      </c>
      <c r="W230" s="9">
        <v>0.5256</v>
      </c>
      <c r="X230" s="9">
        <v>0.5256</v>
      </c>
      <c r="Y230" s="9">
        <v>0.5256</v>
      </c>
      <c r="Z230" s="9">
        <v>0.5256</v>
      </c>
      <c r="AA230" s="9">
        <v>0.5256</v>
      </c>
      <c r="AB230" s="9">
        <v>0.5256</v>
      </c>
      <c r="AC230" s="9">
        <v>0.5256</v>
      </c>
      <c r="AD230" s="9">
        <v>0.5256</v>
      </c>
      <c r="AE230" s="9">
        <v>0.5256</v>
      </c>
      <c r="AF230" s="9">
        <v>0.5269</v>
      </c>
      <c r="AG230" s="9">
        <v>0.5281</v>
      </c>
      <c r="AH230" s="9">
        <v>0.5294</v>
      </c>
      <c r="AI230" s="9">
        <v>0.5306</v>
      </c>
      <c r="AJ230" s="9">
        <v>0.5319</v>
      </c>
      <c r="AK230" s="9">
        <v>0.5319</v>
      </c>
      <c r="AL230" s="9">
        <v>0.5319</v>
      </c>
      <c r="AM230" s="9">
        <v>0.5319</v>
      </c>
      <c r="AN230" s="9">
        <v>0.5319</v>
      </c>
      <c r="AO230" s="9">
        <v>0.5319</v>
      </c>
      <c r="AP230" s="9">
        <v>0.5319</v>
      </c>
      <c r="AQ230" s="9">
        <v>0.5319</v>
      </c>
      <c r="AR230" s="9">
        <v>0.5319</v>
      </c>
      <c r="AS230" s="9">
        <v>0.5319</v>
      </c>
      <c r="AT230" s="9">
        <v>0.5319</v>
      </c>
    </row>
    <row r="231" ht="14.25" customHeight="1">
      <c r="A231" s="2" t="s">
        <v>373</v>
      </c>
      <c r="B231" s="9">
        <v>0.682</v>
      </c>
      <c r="C231" s="9">
        <v>0.682</v>
      </c>
      <c r="D231" s="9">
        <v>0.682</v>
      </c>
      <c r="E231" s="9">
        <v>0.682</v>
      </c>
      <c r="F231" s="9">
        <v>0.682</v>
      </c>
      <c r="G231" s="9">
        <v>0.682</v>
      </c>
      <c r="H231" s="9">
        <v>0.682</v>
      </c>
      <c r="I231" s="9">
        <v>0.682</v>
      </c>
      <c r="J231" s="9">
        <v>0.682</v>
      </c>
      <c r="K231" s="9">
        <v>0.682</v>
      </c>
      <c r="L231" s="9">
        <v>0.682</v>
      </c>
      <c r="M231" s="9">
        <v>0.682</v>
      </c>
      <c r="N231" s="9">
        <v>0.682</v>
      </c>
      <c r="O231" s="9">
        <v>0.682</v>
      </c>
      <c r="P231" s="9">
        <v>0.682</v>
      </c>
      <c r="Q231" s="9">
        <v>0.682</v>
      </c>
      <c r="R231" s="9">
        <v>0.682</v>
      </c>
      <c r="S231" s="9">
        <v>0.682</v>
      </c>
      <c r="T231" s="9">
        <v>0.682</v>
      </c>
      <c r="U231" s="9">
        <v>0.682</v>
      </c>
      <c r="V231" s="9">
        <v>0.682</v>
      </c>
      <c r="W231" s="9">
        <v>0.6903</v>
      </c>
      <c r="X231" s="9">
        <v>0.6885</v>
      </c>
      <c r="Y231" s="9">
        <v>0.6848</v>
      </c>
      <c r="Z231" s="9">
        <v>0.6817</v>
      </c>
      <c r="AA231" s="9">
        <v>0.6794</v>
      </c>
      <c r="AB231" s="9">
        <v>0.6749</v>
      </c>
      <c r="AC231" s="9">
        <v>0.6812</v>
      </c>
      <c r="AD231" s="9">
        <v>0.6744</v>
      </c>
      <c r="AE231" s="9">
        <v>0.6684</v>
      </c>
      <c r="AF231" s="9">
        <v>0.6678</v>
      </c>
      <c r="AG231" s="9">
        <v>0.6616</v>
      </c>
      <c r="AH231" s="9">
        <v>0.656</v>
      </c>
      <c r="AI231" s="9">
        <v>0.6594</v>
      </c>
      <c r="AJ231" s="9">
        <v>0.6552</v>
      </c>
      <c r="AK231" s="9">
        <v>0.6514</v>
      </c>
      <c r="AL231" s="9">
        <v>0.6525</v>
      </c>
      <c r="AM231" s="9">
        <v>0.653</v>
      </c>
      <c r="AN231" s="9">
        <v>0.655</v>
      </c>
      <c r="AO231" s="9">
        <v>0.6523</v>
      </c>
      <c r="AP231" s="9">
        <v>0.6739</v>
      </c>
      <c r="AQ231" s="9">
        <v>0.6609</v>
      </c>
      <c r="AR231" s="9">
        <v>0.6502</v>
      </c>
      <c r="AS231" s="9">
        <v>0.6505</v>
      </c>
      <c r="AT231" s="9">
        <v>0.6505</v>
      </c>
    </row>
    <row r="232" ht="14.25" customHeight="1">
      <c r="A232" s="2" t="s">
        <v>374</v>
      </c>
      <c r="B232" s="9">
        <v>0.7495</v>
      </c>
      <c r="C232" s="9">
        <v>0.7495</v>
      </c>
      <c r="D232" s="9">
        <v>0.7495</v>
      </c>
      <c r="E232" s="9">
        <v>0.7495</v>
      </c>
      <c r="F232" s="9">
        <v>0.7495</v>
      </c>
      <c r="G232" s="9">
        <v>0.7495</v>
      </c>
      <c r="H232" s="9">
        <v>0.7495</v>
      </c>
      <c r="I232" s="9">
        <v>0.7495</v>
      </c>
      <c r="J232" s="9">
        <v>0.7495</v>
      </c>
      <c r="K232" s="9">
        <v>0.7495</v>
      </c>
      <c r="L232" s="9">
        <v>0.7495</v>
      </c>
      <c r="M232" s="9">
        <v>0.7495</v>
      </c>
      <c r="N232" s="9">
        <v>0.7495</v>
      </c>
      <c r="O232" s="9">
        <v>0.7495</v>
      </c>
      <c r="P232" s="9">
        <v>0.7495</v>
      </c>
      <c r="Q232" s="9">
        <v>0.7407</v>
      </c>
      <c r="R232" s="9">
        <v>0.732</v>
      </c>
      <c r="S232" s="9">
        <v>0.7232</v>
      </c>
      <c r="T232" s="9">
        <v>0.7145</v>
      </c>
      <c r="U232" s="9">
        <v>0.7057</v>
      </c>
      <c r="V232" s="9">
        <v>0.697</v>
      </c>
      <c r="W232" s="9">
        <v>0.694</v>
      </c>
      <c r="X232" s="9">
        <v>0.6911</v>
      </c>
      <c r="Y232" s="9">
        <v>0.6882</v>
      </c>
      <c r="Z232" s="9">
        <v>0.6852</v>
      </c>
      <c r="AA232" s="9">
        <v>0.6823</v>
      </c>
      <c r="AB232" s="9">
        <v>0.6793</v>
      </c>
      <c r="AC232" s="9">
        <v>0.6764</v>
      </c>
      <c r="AD232" s="9">
        <v>0.6734</v>
      </c>
      <c r="AE232" s="9">
        <v>0.6705</v>
      </c>
      <c r="AF232" s="9">
        <v>0.6741</v>
      </c>
      <c r="AG232" s="9">
        <v>0.6778</v>
      </c>
      <c r="AH232" s="9">
        <v>0.6814</v>
      </c>
      <c r="AI232" s="9">
        <v>0.685</v>
      </c>
      <c r="AJ232" s="9">
        <v>0.6887</v>
      </c>
      <c r="AK232" s="9">
        <v>0.6923</v>
      </c>
      <c r="AL232" s="9">
        <v>0.6959</v>
      </c>
      <c r="AM232" s="9">
        <v>0.6959</v>
      </c>
      <c r="AN232" s="9">
        <v>0.6959</v>
      </c>
      <c r="AO232" s="9">
        <v>0.6959</v>
      </c>
      <c r="AP232" s="9">
        <v>0.6959</v>
      </c>
      <c r="AQ232" s="9">
        <v>0.6959</v>
      </c>
      <c r="AR232" s="9">
        <v>0.6959</v>
      </c>
      <c r="AS232" s="9">
        <v>0.6959</v>
      </c>
      <c r="AT232" s="9">
        <v>0.6959</v>
      </c>
    </row>
    <row r="233" ht="14.25" customHeight="1">
      <c r="A233" s="2" t="s">
        <v>375</v>
      </c>
      <c r="B233" s="9">
        <v>0.3314</v>
      </c>
      <c r="C233" s="9">
        <v>0.3255</v>
      </c>
      <c r="D233" s="9">
        <v>0.3315</v>
      </c>
      <c r="E233" s="9">
        <v>0.3375</v>
      </c>
      <c r="F233" s="9">
        <v>0.3436</v>
      </c>
      <c r="G233" s="9">
        <v>0.3431</v>
      </c>
      <c r="H233" s="9">
        <v>0.3435</v>
      </c>
      <c r="I233" s="9">
        <v>0.3412</v>
      </c>
      <c r="J233" s="9">
        <v>0.3458</v>
      </c>
      <c r="K233" s="9">
        <v>0.3402</v>
      </c>
      <c r="L233" s="9">
        <v>0.3293</v>
      </c>
      <c r="M233" s="9">
        <v>0.3367</v>
      </c>
      <c r="N233" s="9">
        <v>0.3362</v>
      </c>
      <c r="O233" s="9">
        <v>0.3458</v>
      </c>
      <c r="P233" s="9">
        <v>0.3721</v>
      </c>
      <c r="Q233" s="9">
        <v>0.3734</v>
      </c>
      <c r="R233" s="9">
        <v>0.3675</v>
      </c>
      <c r="S233" s="9">
        <v>0.3798</v>
      </c>
      <c r="T233" s="9">
        <v>0.3797</v>
      </c>
      <c r="U233" s="9">
        <v>0.3825</v>
      </c>
      <c r="V233" s="9">
        <v>0.361</v>
      </c>
      <c r="W233" s="9">
        <v>0.3528</v>
      </c>
      <c r="X233" s="9">
        <v>0.3525</v>
      </c>
      <c r="Y233" s="9">
        <v>0.369</v>
      </c>
      <c r="Z233" s="9">
        <v>0.3719</v>
      </c>
      <c r="AA233" s="9">
        <v>0.3901</v>
      </c>
      <c r="AB233" s="9">
        <v>0.3949</v>
      </c>
      <c r="AC233" s="9">
        <v>0.3992</v>
      </c>
      <c r="AD233" s="9">
        <v>0.395</v>
      </c>
      <c r="AE233" s="9">
        <v>0.3911</v>
      </c>
      <c r="AF233" s="9">
        <v>0.4096</v>
      </c>
      <c r="AG233" s="9">
        <v>0.4008</v>
      </c>
      <c r="AH233" s="9">
        <v>0.3758</v>
      </c>
      <c r="AI233" s="9">
        <v>0.3806</v>
      </c>
      <c r="AJ233" s="9">
        <v>0.3853</v>
      </c>
      <c r="AK233" s="9">
        <v>0.3915</v>
      </c>
      <c r="AL233" s="9">
        <v>0.3743</v>
      </c>
      <c r="AM233" s="9">
        <v>0.3832</v>
      </c>
      <c r="AN233" s="9">
        <v>0.3802</v>
      </c>
      <c r="AO233" s="9">
        <v>0.3878</v>
      </c>
      <c r="AP233" s="9">
        <v>0.3878</v>
      </c>
      <c r="AQ233" s="9">
        <v>0.3856</v>
      </c>
      <c r="AR233" s="9">
        <v>0.3822</v>
      </c>
      <c r="AS233" s="9">
        <v>0.3763</v>
      </c>
      <c r="AT233" s="9">
        <v>0.3763</v>
      </c>
    </row>
    <row r="234" ht="14.25" customHeight="1">
      <c r="A234" s="2" t="s">
        <v>376</v>
      </c>
      <c r="B234" s="9">
        <v>0.3836</v>
      </c>
      <c r="C234" s="9">
        <v>0.3839</v>
      </c>
      <c r="D234" s="9">
        <v>0.385</v>
      </c>
      <c r="E234" s="9">
        <v>0.3865</v>
      </c>
      <c r="F234" s="9">
        <v>0.3903</v>
      </c>
      <c r="G234" s="9">
        <v>0.3938</v>
      </c>
      <c r="H234" s="9">
        <v>0.3929</v>
      </c>
      <c r="I234" s="9">
        <v>0.3944</v>
      </c>
      <c r="J234" s="9">
        <v>0.3908</v>
      </c>
      <c r="K234" s="9">
        <v>0.3861</v>
      </c>
      <c r="L234" s="9">
        <v>0.3888</v>
      </c>
      <c r="M234" s="9">
        <v>0.3828</v>
      </c>
      <c r="N234" s="9">
        <v>0.3866</v>
      </c>
      <c r="O234" s="9">
        <v>0.384</v>
      </c>
      <c r="P234" s="9">
        <v>0.3817</v>
      </c>
      <c r="Q234" s="9">
        <v>0.3802</v>
      </c>
      <c r="R234" s="9">
        <v>0.3921</v>
      </c>
      <c r="S234" s="9">
        <v>0.3971</v>
      </c>
      <c r="T234" s="9">
        <v>0.4022</v>
      </c>
      <c r="U234" s="9">
        <v>0.396</v>
      </c>
      <c r="V234" s="9">
        <v>0.4023</v>
      </c>
      <c r="W234" s="9">
        <v>0.397</v>
      </c>
      <c r="X234" s="9">
        <v>0.387</v>
      </c>
      <c r="Y234" s="9">
        <v>0.4051</v>
      </c>
      <c r="Z234" s="9">
        <v>0.4116</v>
      </c>
      <c r="AA234" s="9">
        <v>0.4222</v>
      </c>
      <c r="AB234" s="9">
        <v>0.4238</v>
      </c>
      <c r="AC234" s="9">
        <v>0.4125</v>
      </c>
      <c r="AD234" s="9">
        <v>0.3924</v>
      </c>
      <c r="AE234" s="9">
        <v>0.3993</v>
      </c>
      <c r="AF234" s="9">
        <v>0.4183</v>
      </c>
      <c r="AG234" s="9">
        <v>0.4157</v>
      </c>
      <c r="AH234" s="9">
        <v>0.4087</v>
      </c>
      <c r="AI234" s="9">
        <v>0.4095</v>
      </c>
      <c r="AJ234" s="9">
        <v>0.4093</v>
      </c>
      <c r="AK234" s="9">
        <v>0.4088</v>
      </c>
      <c r="AL234" s="9">
        <v>0.4113</v>
      </c>
      <c r="AM234" s="9">
        <v>0.4079</v>
      </c>
      <c r="AN234" s="9">
        <v>0.3971</v>
      </c>
      <c r="AO234" s="9">
        <v>0.3933</v>
      </c>
      <c r="AP234" s="9">
        <v>0.3929</v>
      </c>
      <c r="AQ234" s="9">
        <v>0.3945</v>
      </c>
      <c r="AR234" s="9">
        <v>0.4039</v>
      </c>
      <c r="AS234" s="9">
        <v>0.3987</v>
      </c>
      <c r="AT234" s="9">
        <v>0.3987</v>
      </c>
    </row>
    <row r="235" ht="14.25" customHeight="1">
      <c r="A235" s="2" t="s">
        <v>377</v>
      </c>
      <c r="B235" s="9">
        <v>0.6178</v>
      </c>
      <c r="C235" s="9">
        <v>0.6178</v>
      </c>
      <c r="D235" s="9">
        <v>0.6178</v>
      </c>
      <c r="E235" s="9">
        <v>0.6178</v>
      </c>
      <c r="F235" s="9">
        <v>0.6178</v>
      </c>
      <c r="G235" s="9">
        <v>0.6178</v>
      </c>
      <c r="H235" s="9">
        <v>0.6178</v>
      </c>
      <c r="I235" s="9">
        <v>0.6178</v>
      </c>
      <c r="J235" s="9">
        <v>0.6178</v>
      </c>
      <c r="K235" s="9">
        <v>0.6178</v>
      </c>
      <c r="L235" s="9">
        <v>0.6178</v>
      </c>
      <c r="M235" s="9">
        <v>0.6178</v>
      </c>
      <c r="N235" s="9">
        <v>0.6178</v>
      </c>
      <c r="O235" s="9">
        <v>0.6178</v>
      </c>
      <c r="P235" s="9">
        <v>0.6178</v>
      </c>
      <c r="Q235" s="9">
        <v>0.6178</v>
      </c>
      <c r="R235" s="9">
        <v>0.6178</v>
      </c>
      <c r="S235" s="9">
        <v>0.6194</v>
      </c>
      <c r="T235" s="9">
        <v>0.621</v>
      </c>
      <c r="U235" s="9">
        <v>0.6227</v>
      </c>
      <c r="V235" s="9">
        <v>0.6243</v>
      </c>
      <c r="W235" s="9">
        <v>0.626</v>
      </c>
      <c r="X235" s="9">
        <v>0.6278</v>
      </c>
      <c r="Y235" s="9">
        <v>0.6295</v>
      </c>
      <c r="Z235" s="9">
        <v>0.6382</v>
      </c>
      <c r="AA235" s="9">
        <v>0.6382</v>
      </c>
      <c r="AB235" s="9">
        <v>0.6382</v>
      </c>
      <c r="AC235" s="9">
        <v>0.6382</v>
      </c>
      <c r="AD235" s="9">
        <v>0.6382</v>
      </c>
      <c r="AE235" s="9">
        <v>0.6382</v>
      </c>
      <c r="AF235" s="9">
        <v>0.6382</v>
      </c>
      <c r="AG235" s="9">
        <v>0.6382</v>
      </c>
      <c r="AH235" s="9">
        <v>0.6382</v>
      </c>
      <c r="AI235" s="9">
        <v>0.6382</v>
      </c>
      <c r="AJ235" s="9">
        <v>0.6382</v>
      </c>
      <c r="AK235" s="9">
        <v>0.6382</v>
      </c>
      <c r="AL235" s="9">
        <v>0.6382</v>
      </c>
      <c r="AM235" s="9">
        <v>0.6382</v>
      </c>
      <c r="AN235" s="9">
        <v>0.6382</v>
      </c>
      <c r="AO235" s="9">
        <v>0.6382</v>
      </c>
      <c r="AP235" s="9">
        <v>0.6382</v>
      </c>
      <c r="AQ235" s="9">
        <v>0.6382</v>
      </c>
      <c r="AR235" s="9">
        <v>0.6382</v>
      </c>
      <c r="AS235" s="9">
        <v>0.6382</v>
      </c>
      <c r="AT235" s="9">
        <v>0.6382</v>
      </c>
    </row>
    <row r="236" ht="14.25" customHeight="1">
      <c r="A236" s="2" t="s">
        <v>378</v>
      </c>
      <c r="B236" s="9">
        <v>0.4668</v>
      </c>
      <c r="C236" s="9">
        <v>0.4668</v>
      </c>
      <c r="D236" s="9">
        <v>0.4816</v>
      </c>
      <c r="E236" s="9">
        <v>0.4806</v>
      </c>
      <c r="F236" s="9">
        <v>0.484</v>
      </c>
      <c r="G236" s="9">
        <v>0.4963</v>
      </c>
      <c r="H236" s="9">
        <v>0.4896</v>
      </c>
      <c r="I236" s="9">
        <v>0.4936</v>
      </c>
      <c r="J236" s="9">
        <v>0.486</v>
      </c>
      <c r="K236" s="9">
        <v>0.4951</v>
      </c>
      <c r="L236" s="9">
        <v>0.502</v>
      </c>
      <c r="M236" s="9">
        <v>0.5065</v>
      </c>
      <c r="N236" s="9">
        <v>0.5001</v>
      </c>
      <c r="O236" s="9">
        <v>0.5071</v>
      </c>
      <c r="P236" s="9">
        <v>0.516</v>
      </c>
      <c r="Q236" s="9">
        <v>0.5234</v>
      </c>
      <c r="R236" s="9">
        <v>0.5278</v>
      </c>
      <c r="S236" s="9">
        <v>0.5333</v>
      </c>
      <c r="T236" s="9">
        <v>0.5432</v>
      </c>
      <c r="U236" s="9">
        <v>0.5486</v>
      </c>
      <c r="V236" s="9">
        <v>0.562</v>
      </c>
      <c r="W236" s="9">
        <v>0.5875</v>
      </c>
      <c r="X236" s="9">
        <v>0.5872</v>
      </c>
      <c r="Y236" s="9">
        <v>0.602</v>
      </c>
      <c r="Z236" s="9">
        <v>0.6025</v>
      </c>
      <c r="AA236" s="9">
        <v>0.6137</v>
      </c>
      <c r="AB236" s="9">
        <v>0.614</v>
      </c>
      <c r="AC236" s="9">
        <v>0.6179</v>
      </c>
      <c r="AD236" s="9">
        <v>0.6033</v>
      </c>
      <c r="AE236" s="9">
        <v>0.6048</v>
      </c>
      <c r="AF236" s="9">
        <v>0.6235</v>
      </c>
      <c r="AG236" s="9">
        <v>0.6167</v>
      </c>
      <c r="AH236" s="9">
        <v>0.6078</v>
      </c>
      <c r="AI236" s="9">
        <v>0.6064</v>
      </c>
      <c r="AJ236" s="9">
        <v>0.6236</v>
      </c>
      <c r="AK236" s="9">
        <v>0.6071</v>
      </c>
      <c r="AL236" s="9">
        <v>0.6197</v>
      </c>
      <c r="AM236" s="9">
        <v>0.6052</v>
      </c>
      <c r="AN236" s="9">
        <v>0.6052</v>
      </c>
      <c r="AO236" s="9">
        <v>0.6052</v>
      </c>
      <c r="AP236" s="9">
        <v>0.6052</v>
      </c>
      <c r="AQ236" s="9">
        <v>0.6052</v>
      </c>
      <c r="AR236" s="9">
        <v>0.6079</v>
      </c>
      <c r="AS236" s="9">
        <v>0.6079</v>
      </c>
      <c r="AT236" s="9">
        <v>0.6079</v>
      </c>
    </row>
    <row r="237" ht="14.25" customHeight="1">
      <c r="A237" s="2" t="s">
        <v>379</v>
      </c>
      <c r="B237" s="9">
        <v>0.3026</v>
      </c>
      <c r="C237" s="9">
        <v>0.3009</v>
      </c>
      <c r="D237" s="9">
        <v>0.2993</v>
      </c>
      <c r="E237" s="9">
        <v>0.2977</v>
      </c>
      <c r="F237" s="9">
        <v>0.2961</v>
      </c>
      <c r="G237" s="9">
        <v>0.2946</v>
      </c>
      <c r="H237" s="9">
        <v>0.2937</v>
      </c>
      <c r="I237" s="9">
        <v>0.2929</v>
      </c>
      <c r="J237" s="9">
        <v>0.2921</v>
      </c>
      <c r="K237" s="9">
        <v>0.2953</v>
      </c>
      <c r="L237" s="9">
        <v>0.3092</v>
      </c>
      <c r="M237" s="9">
        <v>0.3272</v>
      </c>
      <c r="N237" s="9">
        <v>0.3452</v>
      </c>
      <c r="O237" s="9">
        <v>0.3632</v>
      </c>
      <c r="P237" s="9">
        <v>0.3812</v>
      </c>
      <c r="Q237" s="9">
        <v>0.3991</v>
      </c>
      <c r="R237" s="9">
        <v>0.4171</v>
      </c>
      <c r="S237" s="9">
        <v>0.435</v>
      </c>
      <c r="T237" s="9">
        <v>0.4529</v>
      </c>
      <c r="U237" s="9">
        <v>0.4709</v>
      </c>
      <c r="V237" s="9">
        <v>0.4833</v>
      </c>
      <c r="W237" s="9">
        <v>0.4974</v>
      </c>
      <c r="X237" s="9">
        <v>0.5104</v>
      </c>
      <c r="Y237" s="9">
        <v>0.5158</v>
      </c>
      <c r="Z237" s="9">
        <v>0.5142</v>
      </c>
      <c r="AA237" s="9">
        <v>0.5178</v>
      </c>
      <c r="AB237" s="9">
        <v>0.5127</v>
      </c>
      <c r="AC237" s="9">
        <v>0.5053</v>
      </c>
      <c r="AD237" s="9">
        <v>0.5046</v>
      </c>
      <c r="AE237" s="9">
        <v>0.5041</v>
      </c>
      <c r="AF237" s="9">
        <v>0.5051</v>
      </c>
      <c r="AG237" s="9">
        <v>0.5026</v>
      </c>
      <c r="AH237" s="9">
        <v>0.5069</v>
      </c>
      <c r="AI237" s="9">
        <v>0.5081</v>
      </c>
      <c r="AJ237" s="9">
        <v>0.5035</v>
      </c>
      <c r="AK237" s="9">
        <v>0.4991</v>
      </c>
      <c r="AL237" s="9">
        <v>0.5159</v>
      </c>
      <c r="AM237" s="9">
        <v>0.5207</v>
      </c>
      <c r="AN237" s="9">
        <v>0.5215</v>
      </c>
      <c r="AO237" s="9">
        <v>0.5215</v>
      </c>
      <c r="AP237" s="9">
        <v>0.5215</v>
      </c>
      <c r="AQ237" s="9">
        <v>0.5215</v>
      </c>
      <c r="AR237" s="9">
        <v>0.5215</v>
      </c>
      <c r="AS237" s="9">
        <v>0.5215</v>
      </c>
      <c r="AT237" s="9">
        <v>0.5215</v>
      </c>
    </row>
    <row r="238" ht="14.25" customHeight="1">
      <c r="A238" s="2" t="s">
        <v>380</v>
      </c>
      <c r="B238" s="9">
        <v>0.5279</v>
      </c>
      <c r="C238" s="9">
        <v>0.5279</v>
      </c>
      <c r="D238" s="9">
        <v>0.5279</v>
      </c>
      <c r="E238" s="9">
        <v>0.5279</v>
      </c>
      <c r="F238" s="9">
        <v>0.5279</v>
      </c>
      <c r="G238" s="9">
        <v>0.5279</v>
      </c>
      <c r="H238" s="9">
        <v>0.5279</v>
      </c>
      <c r="I238" s="9">
        <v>0.5279</v>
      </c>
      <c r="J238" s="9">
        <v>0.5279</v>
      </c>
      <c r="K238" s="9">
        <v>0.5279</v>
      </c>
      <c r="L238" s="9">
        <v>0.5279</v>
      </c>
      <c r="M238" s="9">
        <v>0.5279</v>
      </c>
      <c r="N238" s="9">
        <v>0.5302</v>
      </c>
      <c r="O238" s="9">
        <v>0.5325</v>
      </c>
      <c r="P238" s="9">
        <v>0.5348</v>
      </c>
      <c r="Q238" s="9">
        <v>0.5372</v>
      </c>
      <c r="R238" s="9">
        <v>0.5395</v>
      </c>
      <c r="S238" s="9">
        <v>0.5418</v>
      </c>
      <c r="T238" s="9">
        <v>0.5441</v>
      </c>
      <c r="U238" s="9">
        <v>0.5464</v>
      </c>
      <c r="V238" s="9">
        <v>0.5487</v>
      </c>
      <c r="W238" s="9">
        <v>0.5537</v>
      </c>
      <c r="X238" s="9">
        <v>0.5586</v>
      </c>
      <c r="Y238" s="9">
        <v>0.5635</v>
      </c>
      <c r="Z238" s="9">
        <v>0.5684</v>
      </c>
      <c r="AA238" s="9">
        <v>0.5733</v>
      </c>
      <c r="AB238" s="9">
        <v>0.5782</v>
      </c>
      <c r="AC238" s="9">
        <v>0.5832</v>
      </c>
      <c r="AD238" s="9">
        <v>0.5792</v>
      </c>
      <c r="AE238" s="9">
        <v>0.5753</v>
      </c>
      <c r="AF238" s="9">
        <v>0.5714</v>
      </c>
      <c r="AG238" s="9">
        <v>0.5675</v>
      </c>
      <c r="AH238" s="9">
        <v>0.5718</v>
      </c>
      <c r="AI238" s="9">
        <v>0.5761</v>
      </c>
      <c r="AJ238" s="9">
        <v>0.5804</v>
      </c>
      <c r="AK238" s="9">
        <v>0.5847</v>
      </c>
      <c r="AL238" s="9">
        <v>0.5891</v>
      </c>
      <c r="AM238" s="9">
        <v>0.5934</v>
      </c>
      <c r="AN238" s="9">
        <v>0.5934</v>
      </c>
      <c r="AO238" s="9">
        <v>0.5934</v>
      </c>
      <c r="AP238" s="9">
        <v>0.5934</v>
      </c>
      <c r="AQ238" s="9">
        <v>0.5934</v>
      </c>
      <c r="AR238" s="9">
        <v>0.5934</v>
      </c>
      <c r="AS238" s="9">
        <v>0.5934</v>
      </c>
      <c r="AT238" s="9">
        <v>0.5934</v>
      </c>
    </row>
    <row r="239" ht="14.25" customHeight="1">
      <c r="A239" s="2" t="s">
        <v>381</v>
      </c>
      <c r="B239" s="9">
        <v>0.6687</v>
      </c>
      <c r="C239" s="9">
        <v>0.6687</v>
      </c>
      <c r="D239" s="9">
        <v>0.6688</v>
      </c>
      <c r="E239" s="9">
        <v>0.6689</v>
      </c>
      <c r="F239" s="9">
        <v>0.669</v>
      </c>
      <c r="G239" s="9">
        <v>0.6691</v>
      </c>
      <c r="H239" s="9">
        <v>0.6692</v>
      </c>
      <c r="I239" s="9">
        <v>0.6692</v>
      </c>
      <c r="J239" s="9">
        <v>0.6693</v>
      </c>
      <c r="K239" s="9">
        <v>0.6727</v>
      </c>
      <c r="L239" s="9">
        <v>0.6751</v>
      </c>
      <c r="M239" s="9">
        <v>0.6835</v>
      </c>
      <c r="N239" s="9">
        <v>0.6904</v>
      </c>
      <c r="O239" s="9">
        <v>0.6767</v>
      </c>
      <c r="P239" s="9">
        <v>0.665</v>
      </c>
      <c r="Q239" s="9">
        <v>0.6613</v>
      </c>
      <c r="R239" s="9">
        <v>0.6586</v>
      </c>
      <c r="S239" s="9">
        <v>0.65</v>
      </c>
      <c r="T239" s="9">
        <v>0.6421</v>
      </c>
      <c r="U239" s="9">
        <v>0.6559</v>
      </c>
      <c r="V239" s="9">
        <v>0.658</v>
      </c>
      <c r="W239" s="9">
        <v>0.6809</v>
      </c>
      <c r="X239" s="9">
        <v>0.6582</v>
      </c>
      <c r="Y239" s="9">
        <v>0.673</v>
      </c>
      <c r="Z239" s="9">
        <v>0.6561</v>
      </c>
      <c r="AA239" s="9">
        <v>0.6544</v>
      </c>
      <c r="AB239" s="9">
        <v>0.6521</v>
      </c>
      <c r="AC239" s="9">
        <v>0.6467</v>
      </c>
      <c r="AD239" s="9">
        <v>0.6486</v>
      </c>
      <c r="AE239" s="9">
        <v>0.6355</v>
      </c>
      <c r="AF239" s="9">
        <v>0.6469</v>
      </c>
      <c r="AG239" s="9">
        <v>0.6364</v>
      </c>
      <c r="AH239" s="9">
        <v>0.6416</v>
      </c>
      <c r="AI239" s="9">
        <v>0.6194</v>
      </c>
      <c r="AJ239" s="9">
        <v>0.6251</v>
      </c>
      <c r="AK239" s="9">
        <v>0.6042</v>
      </c>
      <c r="AL239" s="9">
        <v>0.6097</v>
      </c>
      <c r="AM239" s="9">
        <v>0.6465</v>
      </c>
      <c r="AN239" s="9">
        <v>0.6232</v>
      </c>
      <c r="AO239" s="9">
        <v>0.6099</v>
      </c>
      <c r="AP239" s="9">
        <v>0.6184</v>
      </c>
      <c r="AQ239" s="9">
        <v>0.6356</v>
      </c>
      <c r="AR239" s="9">
        <v>0.6356</v>
      </c>
      <c r="AS239" s="9">
        <v>0.6356</v>
      </c>
      <c r="AT239" s="9">
        <v>0.6356</v>
      </c>
    </row>
    <row r="240" ht="14.25" customHeight="1">
      <c r="A240" s="2" t="s">
        <v>382</v>
      </c>
      <c r="B240" s="9">
        <v>0.5698</v>
      </c>
      <c r="C240" s="9">
        <v>0.5698</v>
      </c>
      <c r="D240" s="9">
        <v>0.5698</v>
      </c>
      <c r="E240" s="9">
        <v>0.5698</v>
      </c>
      <c r="F240" s="9">
        <v>0.5698</v>
      </c>
      <c r="G240" s="9">
        <v>0.5698</v>
      </c>
      <c r="H240" s="9">
        <v>0.5698</v>
      </c>
      <c r="I240" s="9">
        <v>0.5698</v>
      </c>
      <c r="J240" s="9">
        <v>0.5698</v>
      </c>
      <c r="K240" s="9">
        <v>0.5698</v>
      </c>
      <c r="L240" s="9">
        <v>0.5698</v>
      </c>
      <c r="M240" s="9">
        <v>0.5698</v>
      </c>
      <c r="N240" s="9">
        <v>0.5698</v>
      </c>
      <c r="O240" s="9">
        <v>0.5698</v>
      </c>
      <c r="P240" s="9">
        <v>0.5698</v>
      </c>
      <c r="Q240" s="9">
        <v>0.5698</v>
      </c>
      <c r="R240" s="9">
        <v>0.5698</v>
      </c>
      <c r="S240" s="9">
        <v>0.5698</v>
      </c>
      <c r="T240" s="9">
        <v>0.5698</v>
      </c>
      <c r="U240" s="9">
        <v>0.5698</v>
      </c>
      <c r="V240" s="9">
        <v>0.5698</v>
      </c>
      <c r="W240" s="9">
        <v>0.5698</v>
      </c>
      <c r="X240" s="9">
        <v>0.5542</v>
      </c>
      <c r="Y240" s="9">
        <v>0.5389</v>
      </c>
      <c r="Z240" s="9">
        <v>0.5284</v>
      </c>
      <c r="AA240" s="9">
        <v>0.5161</v>
      </c>
      <c r="AB240" s="9">
        <v>0.5032</v>
      </c>
      <c r="AC240" s="9">
        <v>0.4926</v>
      </c>
      <c r="AD240" s="9">
        <v>0.4938</v>
      </c>
      <c r="AE240" s="9">
        <v>0.4981</v>
      </c>
      <c r="AF240" s="9">
        <v>0.4993</v>
      </c>
      <c r="AG240" s="9">
        <v>0.4985</v>
      </c>
      <c r="AH240" s="9">
        <v>0.496</v>
      </c>
      <c r="AI240" s="9">
        <v>0.496</v>
      </c>
      <c r="AJ240" s="9">
        <v>0.4982</v>
      </c>
      <c r="AK240" s="9">
        <v>0.4977</v>
      </c>
      <c r="AL240" s="9">
        <v>0.4983</v>
      </c>
      <c r="AM240" s="9">
        <v>0.4977</v>
      </c>
      <c r="AN240" s="9">
        <v>0.4965</v>
      </c>
      <c r="AO240" s="9">
        <v>0.4965</v>
      </c>
      <c r="AP240" s="9">
        <v>0.4965</v>
      </c>
      <c r="AQ240" s="9">
        <v>0.4965</v>
      </c>
      <c r="AR240" s="9">
        <v>0.4965</v>
      </c>
      <c r="AS240" s="9">
        <v>0.4965</v>
      </c>
      <c r="AT240" s="9">
        <v>0.4965</v>
      </c>
    </row>
    <row r="241" ht="14.25" customHeight="1">
      <c r="A241" s="2" t="s">
        <v>383</v>
      </c>
      <c r="B241" s="9">
        <v>0.5934</v>
      </c>
      <c r="C241" s="9">
        <v>0.5934</v>
      </c>
      <c r="D241" s="9">
        <v>0.5934</v>
      </c>
      <c r="E241" s="9">
        <v>0.5934</v>
      </c>
      <c r="F241" s="9">
        <v>0.5934</v>
      </c>
      <c r="G241" s="9">
        <v>0.5934</v>
      </c>
      <c r="H241" s="9">
        <v>0.5934</v>
      </c>
      <c r="I241" s="9">
        <v>0.5934</v>
      </c>
      <c r="J241" s="9">
        <v>0.5934</v>
      </c>
      <c r="K241" s="9">
        <v>0.5934</v>
      </c>
      <c r="L241" s="9">
        <v>0.5934</v>
      </c>
      <c r="M241" s="9">
        <v>0.5934</v>
      </c>
      <c r="N241" s="9">
        <v>0.5934</v>
      </c>
      <c r="O241" s="9">
        <v>0.5934</v>
      </c>
      <c r="P241" s="9">
        <v>0.5934</v>
      </c>
      <c r="Q241" s="9">
        <v>0.5934</v>
      </c>
      <c r="R241" s="9">
        <v>0.5934</v>
      </c>
      <c r="S241" s="9">
        <v>0.5934</v>
      </c>
      <c r="T241" s="9">
        <v>0.5934</v>
      </c>
      <c r="U241" s="9">
        <v>0.5934</v>
      </c>
      <c r="V241" s="9">
        <v>0.5934</v>
      </c>
      <c r="W241" s="9">
        <v>0.5934</v>
      </c>
      <c r="X241" s="9">
        <v>0.5934</v>
      </c>
      <c r="Y241" s="9">
        <v>0.5934</v>
      </c>
      <c r="Z241" s="9">
        <v>0.5934</v>
      </c>
      <c r="AA241" s="9">
        <v>0.5934</v>
      </c>
      <c r="AB241" s="9">
        <v>0.5934</v>
      </c>
      <c r="AC241" s="9">
        <v>0.599</v>
      </c>
      <c r="AD241" s="9">
        <v>0.6047</v>
      </c>
      <c r="AE241" s="9">
        <v>0.6103</v>
      </c>
      <c r="AF241" s="9">
        <v>0.616</v>
      </c>
      <c r="AG241" s="9">
        <v>0.6217</v>
      </c>
      <c r="AH241" s="9">
        <v>0.6143</v>
      </c>
      <c r="AI241" s="9">
        <v>0.6069</v>
      </c>
      <c r="AJ241" s="9">
        <v>0.5995</v>
      </c>
      <c r="AK241" s="9">
        <v>0.5921</v>
      </c>
      <c r="AL241" s="9">
        <v>0.5941</v>
      </c>
      <c r="AM241" s="9">
        <v>0.5962</v>
      </c>
      <c r="AN241" s="9">
        <v>0.5982</v>
      </c>
      <c r="AO241" s="9">
        <v>0.5846</v>
      </c>
      <c r="AP241" s="9">
        <v>0.5711</v>
      </c>
      <c r="AQ241" s="9">
        <v>0.5575</v>
      </c>
      <c r="AR241" s="9">
        <v>0.5575</v>
      </c>
      <c r="AS241" s="9">
        <v>0.5575</v>
      </c>
      <c r="AT241" s="9">
        <v>0.5575</v>
      </c>
    </row>
    <row r="242" ht="14.25" customHeight="1">
      <c r="A242" s="2" t="s">
        <v>384</v>
      </c>
      <c r="B242" s="9">
        <v>0.4403</v>
      </c>
      <c r="C242" s="9">
        <v>0.4412</v>
      </c>
      <c r="D242" s="9">
        <v>0.4421</v>
      </c>
      <c r="E242" s="9">
        <v>0.443</v>
      </c>
      <c r="F242" s="9">
        <v>0.444</v>
      </c>
      <c r="G242" s="9">
        <v>0.4449</v>
      </c>
      <c r="H242" s="9">
        <v>0.4459</v>
      </c>
      <c r="I242" s="9">
        <v>0.4469</v>
      </c>
      <c r="J242" s="9">
        <v>0.4479</v>
      </c>
      <c r="K242" s="9">
        <v>0.449</v>
      </c>
      <c r="L242" s="9">
        <v>0.45</v>
      </c>
      <c r="M242" s="9">
        <v>0.4515</v>
      </c>
      <c r="N242" s="9">
        <v>0.453</v>
      </c>
      <c r="O242" s="9">
        <v>0.4544</v>
      </c>
      <c r="P242" s="9">
        <v>0.4558</v>
      </c>
      <c r="Q242" s="9">
        <v>0.4571</v>
      </c>
      <c r="R242" s="9">
        <v>0.4584</v>
      </c>
      <c r="S242" s="9">
        <v>0.4596</v>
      </c>
      <c r="T242" s="9">
        <v>0.4608</v>
      </c>
      <c r="U242" s="9">
        <v>0.462</v>
      </c>
      <c r="V242" s="9">
        <v>0.4631</v>
      </c>
      <c r="W242" s="9">
        <v>0.4719</v>
      </c>
      <c r="X242" s="9">
        <v>0.4805</v>
      </c>
      <c r="Y242" s="9">
        <v>0.489</v>
      </c>
      <c r="Z242" s="9">
        <v>0.4972</v>
      </c>
      <c r="AA242" s="9">
        <v>0.5052</v>
      </c>
      <c r="AB242" s="9">
        <v>0.5131</v>
      </c>
      <c r="AC242" s="9">
        <v>0.5207</v>
      </c>
      <c r="AD242" s="9">
        <v>0.5282</v>
      </c>
      <c r="AE242" s="9">
        <v>0.5356</v>
      </c>
      <c r="AF242" s="9">
        <v>0.5428</v>
      </c>
      <c r="AG242" s="9">
        <v>0.5447</v>
      </c>
      <c r="AH242" s="9">
        <v>0.5466</v>
      </c>
      <c r="AI242" s="9">
        <v>0.5483</v>
      </c>
      <c r="AJ242" s="9">
        <v>0.55</v>
      </c>
      <c r="AK242" s="9">
        <v>0.5516</v>
      </c>
      <c r="AL242" s="9">
        <v>0.5531</v>
      </c>
      <c r="AM242" s="9">
        <v>0.5546</v>
      </c>
      <c r="AN242" s="9">
        <v>0.556</v>
      </c>
      <c r="AO242" s="9">
        <v>0.5574</v>
      </c>
      <c r="AP242" s="9">
        <v>0.5587</v>
      </c>
      <c r="AQ242" s="9">
        <v>0.5587</v>
      </c>
      <c r="AR242" s="9">
        <v>0.5587</v>
      </c>
      <c r="AS242" s="9">
        <v>0.5587</v>
      </c>
      <c r="AT242" s="9">
        <v>0.5587</v>
      </c>
    </row>
    <row r="243" ht="14.25" customHeight="1">
      <c r="A243" s="2" t="s">
        <v>385</v>
      </c>
      <c r="B243" s="9">
        <v>0.682</v>
      </c>
      <c r="C243" s="9">
        <v>0.682</v>
      </c>
      <c r="D243" s="9">
        <v>0.682</v>
      </c>
      <c r="E243" s="9">
        <v>0.682</v>
      </c>
      <c r="F243" s="9">
        <v>0.682</v>
      </c>
      <c r="G243" s="9">
        <v>0.682</v>
      </c>
      <c r="H243" s="9">
        <v>0.682</v>
      </c>
      <c r="I243" s="9">
        <v>0.682</v>
      </c>
      <c r="J243" s="9">
        <v>0.682</v>
      </c>
      <c r="K243" s="9">
        <v>0.682</v>
      </c>
      <c r="L243" s="9">
        <v>0.682</v>
      </c>
      <c r="M243" s="9">
        <v>0.682</v>
      </c>
      <c r="N243" s="9">
        <v>0.682</v>
      </c>
      <c r="O243" s="9">
        <v>0.682</v>
      </c>
      <c r="P243" s="9">
        <v>0.682</v>
      </c>
      <c r="Q243" s="9">
        <v>0.682</v>
      </c>
      <c r="R243" s="9">
        <v>0.682</v>
      </c>
      <c r="S243" s="9">
        <v>0.682</v>
      </c>
      <c r="T243" s="9">
        <v>0.682</v>
      </c>
      <c r="U243" s="9">
        <v>0.682</v>
      </c>
      <c r="V243" s="9">
        <v>0.682</v>
      </c>
      <c r="W243" s="9">
        <v>0.6903</v>
      </c>
      <c r="X243" s="9">
        <v>0.6885</v>
      </c>
      <c r="Y243" s="9">
        <v>0.6848</v>
      </c>
      <c r="Z243" s="9">
        <v>0.6817</v>
      </c>
      <c r="AA243" s="9">
        <v>0.6794</v>
      </c>
      <c r="AB243" s="9">
        <v>0.6749</v>
      </c>
      <c r="AC243" s="9">
        <v>0.6812</v>
      </c>
      <c r="AD243" s="9">
        <v>0.6744</v>
      </c>
      <c r="AE243" s="9">
        <v>0.6684</v>
      </c>
      <c r="AF243" s="9">
        <v>0.6678</v>
      </c>
      <c r="AG243" s="9">
        <v>0.6616</v>
      </c>
      <c r="AH243" s="9">
        <v>0.656</v>
      </c>
      <c r="AI243" s="9">
        <v>0.6594</v>
      </c>
      <c r="AJ243" s="9">
        <v>0.6552</v>
      </c>
      <c r="AK243" s="9">
        <v>0.6514</v>
      </c>
      <c r="AL243" s="9">
        <v>0.6525</v>
      </c>
      <c r="AM243" s="9">
        <v>0.653</v>
      </c>
      <c r="AN243" s="9">
        <v>0.655</v>
      </c>
      <c r="AO243" s="9">
        <v>0.6523</v>
      </c>
      <c r="AP243" s="9">
        <v>0.6739</v>
      </c>
      <c r="AQ243" s="9">
        <v>0.6609</v>
      </c>
      <c r="AR243" s="9">
        <v>0.6502</v>
      </c>
      <c r="AS243" s="9">
        <v>0.6505</v>
      </c>
      <c r="AT243" s="9">
        <v>0.6505</v>
      </c>
    </row>
    <row r="244" ht="14.25" customHeight="1">
      <c r="A244" s="2" t="s">
        <v>386</v>
      </c>
      <c r="B244" s="9">
        <v>0.6405</v>
      </c>
      <c r="C244" s="9">
        <v>0.6405</v>
      </c>
      <c r="D244" s="9">
        <v>0.6405</v>
      </c>
      <c r="E244" s="9">
        <v>0.6405</v>
      </c>
      <c r="F244" s="9">
        <v>0.6405</v>
      </c>
      <c r="G244" s="9">
        <v>0.6405</v>
      </c>
      <c r="H244" s="9">
        <v>0.6405</v>
      </c>
      <c r="I244" s="9">
        <v>0.6405</v>
      </c>
      <c r="J244" s="9">
        <v>0.6405</v>
      </c>
      <c r="K244" s="9">
        <v>0.6405</v>
      </c>
      <c r="L244" s="9">
        <v>0.6405</v>
      </c>
      <c r="M244" s="9">
        <v>0.6405</v>
      </c>
      <c r="N244" s="9">
        <v>0.6405</v>
      </c>
      <c r="O244" s="9">
        <v>0.6405</v>
      </c>
      <c r="P244" s="9">
        <v>0.6405</v>
      </c>
      <c r="Q244" s="9">
        <v>0.6405</v>
      </c>
      <c r="R244" s="9">
        <v>0.6405</v>
      </c>
      <c r="S244" s="9">
        <v>0.6405</v>
      </c>
      <c r="T244" s="9">
        <v>0.6405</v>
      </c>
      <c r="U244" s="9">
        <v>0.6405</v>
      </c>
      <c r="V244" s="9">
        <v>0.6405</v>
      </c>
      <c r="W244" s="9">
        <v>0.6405</v>
      </c>
      <c r="X244" s="9">
        <v>0.6405</v>
      </c>
      <c r="Y244" s="9">
        <v>0.6405</v>
      </c>
      <c r="Z244" s="9">
        <v>0.6405</v>
      </c>
      <c r="AA244" s="9">
        <v>0.6405</v>
      </c>
      <c r="AB244" s="9">
        <v>0.6342</v>
      </c>
      <c r="AC244" s="9">
        <v>0.6283</v>
      </c>
      <c r="AD244" s="9">
        <v>0.6226</v>
      </c>
      <c r="AE244" s="9">
        <v>0.6173</v>
      </c>
      <c r="AF244" s="9">
        <v>0.6123</v>
      </c>
      <c r="AG244" s="9">
        <v>0.6213</v>
      </c>
      <c r="AH244" s="9">
        <v>0.6187</v>
      </c>
      <c r="AI244" s="9">
        <v>0.6163</v>
      </c>
      <c r="AJ244" s="9">
        <v>0.6163</v>
      </c>
      <c r="AK244" s="9">
        <v>0.6163</v>
      </c>
      <c r="AL244" s="9">
        <v>0.6163</v>
      </c>
      <c r="AM244" s="9">
        <v>0.6163</v>
      </c>
      <c r="AN244" s="9">
        <v>0.6163</v>
      </c>
      <c r="AO244" s="9">
        <v>0.6163</v>
      </c>
      <c r="AP244" s="9">
        <v>0.6163</v>
      </c>
      <c r="AQ244" s="9">
        <v>0.6163</v>
      </c>
      <c r="AR244" s="9">
        <v>0.6163</v>
      </c>
      <c r="AS244" s="9">
        <v>0.6163</v>
      </c>
      <c r="AT244" s="9">
        <v>0.6163</v>
      </c>
    </row>
    <row r="245" ht="14.25" customHeight="1">
      <c r="A245" s="2" t="s">
        <v>387</v>
      </c>
      <c r="B245" s="9">
        <v>0.6607</v>
      </c>
      <c r="C245" s="9">
        <v>0.6607</v>
      </c>
      <c r="D245" s="9">
        <v>0.6607</v>
      </c>
      <c r="E245" s="9">
        <v>0.6607</v>
      </c>
      <c r="F245" s="9">
        <v>0.6607</v>
      </c>
      <c r="G245" s="9">
        <v>0.6607</v>
      </c>
      <c r="H245" s="9">
        <v>0.6607</v>
      </c>
      <c r="I245" s="9">
        <v>0.6607</v>
      </c>
      <c r="J245" s="9">
        <v>0.6544</v>
      </c>
      <c r="K245" s="9">
        <v>0.6482</v>
      </c>
      <c r="L245" s="9">
        <v>0.642</v>
      </c>
      <c r="M245" s="9">
        <v>0.6358</v>
      </c>
      <c r="N245" s="9">
        <v>0.6296</v>
      </c>
      <c r="O245" s="9">
        <v>0.6234</v>
      </c>
      <c r="P245" s="9">
        <v>0.6173</v>
      </c>
      <c r="Q245" s="9">
        <v>0.6172</v>
      </c>
      <c r="R245" s="9">
        <v>0.6171</v>
      </c>
      <c r="S245" s="9">
        <v>0.617</v>
      </c>
      <c r="T245" s="9">
        <v>0.6169</v>
      </c>
      <c r="U245" s="9">
        <v>0.6169</v>
      </c>
      <c r="V245" s="9">
        <v>0.6168</v>
      </c>
      <c r="W245" s="9">
        <v>0.6167</v>
      </c>
      <c r="X245" s="9">
        <v>0.6166</v>
      </c>
      <c r="Y245" s="9">
        <v>0.6082</v>
      </c>
      <c r="Z245" s="9">
        <v>0.5957</v>
      </c>
      <c r="AA245" s="9">
        <v>0.5741</v>
      </c>
      <c r="AB245" s="9">
        <v>0.5588</v>
      </c>
      <c r="AC245" s="9">
        <v>0.5526</v>
      </c>
      <c r="AD245" s="9">
        <v>0.5617</v>
      </c>
      <c r="AE245" s="9">
        <v>0.5794</v>
      </c>
      <c r="AF245" s="9">
        <v>0.5677</v>
      </c>
      <c r="AG245" s="9">
        <v>0.5707</v>
      </c>
      <c r="AH245" s="9">
        <v>0.569</v>
      </c>
      <c r="AI245" s="9">
        <v>0.5569</v>
      </c>
      <c r="AJ245" s="9">
        <v>0.574</v>
      </c>
      <c r="AK245" s="9">
        <v>0.5799</v>
      </c>
      <c r="AL245" s="9">
        <v>0.5792</v>
      </c>
      <c r="AM245" s="9">
        <v>0.6183</v>
      </c>
      <c r="AN245" s="9">
        <v>0.6235</v>
      </c>
      <c r="AO245" s="9">
        <v>0.6177</v>
      </c>
      <c r="AP245" s="9">
        <v>0.5865</v>
      </c>
      <c r="AQ245" s="9">
        <v>0.5741</v>
      </c>
      <c r="AR245" s="9">
        <v>0.5949</v>
      </c>
      <c r="AS245" s="9">
        <v>0.6152</v>
      </c>
      <c r="AT245" s="9">
        <v>0.592</v>
      </c>
    </row>
    <row r="246" ht="14.25" customHeight="1">
      <c r="A246" s="2" t="s">
        <v>388</v>
      </c>
      <c r="B246" s="9">
        <v>0.3026</v>
      </c>
      <c r="C246" s="9">
        <v>0.3009</v>
      </c>
      <c r="D246" s="9">
        <v>0.2993</v>
      </c>
      <c r="E246" s="9">
        <v>0.2977</v>
      </c>
      <c r="F246" s="9">
        <v>0.2961</v>
      </c>
      <c r="G246" s="9">
        <v>0.2946</v>
      </c>
      <c r="H246" s="9">
        <v>0.2937</v>
      </c>
      <c r="I246" s="9">
        <v>0.2929</v>
      </c>
      <c r="J246" s="9">
        <v>0.2921</v>
      </c>
      <c r="K246" s="9">
        <v>0.2953</v>
      </c>
      <c r="L246" s="9">
        <v>0.3092</v>
      </c>
      <c r="M246" s="9">
        <v>0.343</v>
      </c>
      <c r="N246" s="9">
        <v>0.3768</v>
      </c>
      <c r="O246" s="9">
        <v>0.4105</v>
      </c>
      <c r="P246" s="9">
        <v>0.4443</v>
      </c>
      <c r="Q246" s="9">
        <v>0.478</v>
      </c>
      <c r="R246" s="9">
        <v>0.5117</v>
      </c>
      <c r="S246" s="9">
        <v>0.5454</v>
      </c>
      <c r="T246" s="9">
        <v>0.5793</v>
      </c>
      <c r="U246" s="9">
        <v>0.5798</v>
      </c>
      <c r="V246" s="9">
        <v>0.5808</v>
      </c>
      <c r="W246" s="9">
        <v>0.5836</v>
      </c>
      <c r="X246" s="9">
        <v>0.5864</v>
      </c>
      <c r="Y246" s="9">
        <v>0.5849</v>
      </c>
      <c r="Z246" s="9">
        <v>0.5788</v>
      </c>
      <c r="AA246" s="9">
        <v>0.5868</v>
      </c>
      <c r="AB246" s="9">
        <v>0.5873</v>
      </c>
      <c r="AC246" s="9">
        <v>0.5852</v>
      </c>
      <c r="AD246" s="9">
        <v>0.5907</v>
      </c>
      <c r="AE246" s="9">
        <v>0.5958</v>
      </c>
      <c r="AF246" s="9">
        <v>0.5945</v>
      </c>
      <c r="AG246" s="9">
        <v>0.5912</v>
      </c>
      <c r="AH246" s="9">
        <v>0.592</v>
      </c>
      <c r="AI246" s="9">
        <v>0.5912</v>
      </c>
      <c r="AJ246" s="9">
        <v>0.587</v>
      </c>
      <c r="AK246" s="9">
        <v>0.583</v>
      </c>
      <c r="AL246" s="9">
        <v>0.5932</v>
      </c>
      <c r="AM246" s="9">
        <v>0.5961</v>
      </c>
      <c r="AN246" s="9">
        <v>0.5966</v>
      </c>
      <c r="AO246" s="9">
        <v>0.5966</v>
      </c>
      <c r="AP246" s="9">
        <v>0.5966</v>
      </c>
      <c r="AQ246" s="9">
        <v>0.5966</v>
      </c>
      <c r="AR246" s="9">
        <v>0.5966</v>
      </c>
      <c r="AS246" s="9">
        <v>0.5966</v>
      </c>
      <c r="AT246" s="9">
        <v>0.5966</v>
      </c>
    </row>
    <row r="247" ht="14.25" customHeight="1">
      <c r="A247" s="2" t="s">
        <v>389</v>
      </c>
      <c r="B247" s="9">
        <v>0.6852</v>
      </c>
      <c r="C247" s="9">
        <v>0.6854</v>
      </c>
      <c r="D247" s="9">
        <v>0.6857</v>
      </c>
      <c r="E247" s="9">
        <v>0.6859</v>
      </c>
      <c r="F247" s="9">
        <v>0.6861</v>
      </c>
      <c r="G247" s="9">
        <v>0.6863</v>
      </c>
      <c r="H247" s="9">
        <v>0.6866</v>
      </c>
      <c r="I247" s="9">
        <v>0.6868</v>
      </c>
      <c r="J247" s="9">
        <v>0.6871</v>
      </c>
      <c r="K247" s="9">
        <v>0.6877</v>
      </c>
      <c r="L247" s="9">
        <v>0.6879</v>
      </c>
      <c r="M247" s="9">
        <v>0.6868</v>
      </c>
      <c r="N247" s="9">
        <v>0.6859</v>
      </c>
      <c r="O247" s="9">
        <v>0.6851</v>
      </c>
      <c r="P247" s="9">
        <v>0.6842</v>
      </c>
      <c r="Q247" s="9">
        <v>0.6834</v>
      </c>
      <c r="R247" s="9">
        <v>0.6826</v>
      </c>
      <c r="S247" s="9">
        <v>0.6818</v>
      </c>
      <c r="T247" s="9">
        <v>0.681</v>
      </c>
      <c r="U247" s="9">
        <v>0.6802</v>
      </c>
      <c r="V247" s="9">
        <v>0.6794</v>
      </c>
      <c r="W247" s="9">
        <v>0.6781</v>
      </c>
      <c r="X247" s="9">
        <v>0.6768</v>
      </c>
      <c r="Y247" s="9">
        <v>0.6756</v>
      </c>
      <c r="Z247" s="9">
        <v>0.6745</v>
      </c>
      <c r="AA247" s="9">
        <v>0.6734</v>
      </c>
      <c r="AB247" s="9">
        <v>0.6724</v>
      </c>
      <c r="AC247" s="9">
        <v>0.6714</v>
      </c>
      <c r="AD247" s="9">
        <v>0.6704</v>
      </c>
      <c r="AE247" s="9">
        <v>0.6695</v>
      </c>
      <c r="AF247" s="9">
        <v>0.6687</v>
      </c>
      <c r="AG247" s="9">
        <v>0.6601</v>
      </c>
      <c r="AH247" s="9">
        <v>0.6516</v>
      </c>
      <c r="AI247" s="9">
        <v>0.6431</v>
      </c>
      <c r="AJ247" s="9">
        <v>0.6347</v>
      </c>
      <c r="AK247" s="9">
        <v>0.6264</v>
      </c>
      <c r="AL247" s="9">
        <v>0.6182</v>
      </c>
      <c r="AM247" s="9">
        <v>0.6099</v>
      </c>
      <c r="AN247" s="9">
        <v>0.6018</v>
      </c>
      <c r="AO247" s="9">
        <v>0.5937</v>
      </c>
      <c r="AP247" s="9">
        <v>0.5868</v>
      </c>
      <c r="AQ247" s="9">
        <v>0.5868</v>
      </c>
      <c r="AR247" s="9">
        <v>0.5868</v>
      </c>
      <c r="AS247" s="9">
        <v>0.5868</v>
      </c>
      <c r="AT247" s="9">
        <v>0.5868</v>
      </c>
    </row>
    <row r="248" ht="14.25" customHeight="1">
      <c r="A248" s="2" t="s">
        <v>390</v>
      </c>
      <c r="B248" s="9">
        <v>0.4403</v>
      </c>
      <c r="C248" s="9">
        <v>0.4412</v>
      </c>
      <c r="D248" s="9">
        <v>0.4421</v>
      </c>
      <c r="E248" s="9">
        <v>0.443</v>
      </c>
      <c r="F248" s="9">
        <v>0.444</v>
      </c>
      <c r="G248" s="9">
        <v>0.4449</v>
      </c>
      <c r="H248" s="9">
        <v>0.4459</v>
      </c>
      <c r="I248" s="9">
        <v>0.4469</v>
      </c>
      <c r="J248" s="9">
        <v>0.4479</v>
      </c>
      <c r="K248" s="9">
        <v>0.449</v>
      </c>
      <c r="L248" s="9">
        <v>0.45</v>
      </c>
      <c r="M248" s="9">
        <v>0.4515</v>
      </c>
      <c r="N248" s="9">
        <v>0.453</v>
      </c>
      <c r="O248" s="9">
        <v>0.4544</v>
      </c>
      <c r="P248" s="9">
        <v>0.4558</v>
      </c>
      <c r="Q248" s="9">
        <v>0.4571</v>
      </c>
      <c r="R248" s="9">
        <v>0.4584</v>
      </c>
      <c r="S248" s="9">
        <v>0.4596</v>
      </c>
      <c r="T248" s="9">
        <v>0.4608</v>
      </c>
      <c r="U248" s="9">
        <v>0.462</v>
      </c>
      <c r="V248" s="9">
        <v>0.4631</v>
      </c>
      <c r="W248" s="9">
        <v>0.4719</v>
      </c>
      <c r="X248" s="9">
        <v>0.4805</v>
      </c>
      <c r="Y248" s="9">
        <v>0.489</v>
      </c>
      <c r="Z248" s="9">
        <v>0.4972</v>
      </c>
      <c r="AA248" s="9">
        <v>0.5052</v>
      </c>
      <c r="AB248" s="9">
        <v>0.5131</v>
      </c>
      <c r="AC248" s="9">
        <v>0.5207</v>
      </c>
      <c r="AD248" s="9">
        <v>0.5282</v>
      </c>
      <c r="AE248" s="9">
        <v>0.5356</v>
      </c>
      <c r="AF248" s="9">
        <v>0.5428</v>
      </c>
      <c r="AG248" s="9">
        <v>0.5447</v>
      </c>
      <c r="AH248" s="9">
        <v>0.5466</v>
      </c>
      <c r="AI248" s="9">
        <v>0.5483</v>
      </c>
      <c r="AJ248" s="9">
        <v>0.55</v>
      </c>
      <c r="AK248" s="9">
        <v>0.5516</v>
      </c>
      <c r="AL248" s="9">
        <v>0.5531</v>
      </c>
      <c r="AM248" s="9">
        <v>0.5546</v>
      </c>
      <c r="AN248" s="9">
        <v>0.556</v>
      </c>
      <c r="AO248" s="9">
        <v>0.5574</v>
      </c>
      <c r="AP248" s="9">
        <v>0.5587</v>
      </c>
      <c r="AQ248" s="9">
        <v>0.5587</v>
      </c>
      <c r="AR248" s="9">
        <v>0.5587</v>
      </c>
      <c r="AS248" s="9">
        <v>0.5587</v>
      </c>
      <c r="AT248" s="9">
        <v>0.5587</v>
      </c>
    </row>
    <row r="249" ht="14.25" customHeight="1">
      <c r="A249" s="2" t="s">
        <v>391</v>
      </c>
      <c r="B249" s="9">
        <v>0.454</v>
      </c>
      <c r="C249" s="9">
        <v>0.4605</v>
      </c>
      <c r="D249" s="9">
        <v>0.4677</v>
      </c>
      <c r="E249" s="9">
        <v>0.4803</v>
      </c>
      <c r="F249" s="9">
        <v>0.4889</v>
      </c>
      <c r="G249" s="9">
        <v>0.4908</v>
      </c>
      <c r="H249" s="9">
        <v>0.4923</v>
      </c>
      <c r="I249" s="9">
        <v>0.5003</v>
      </c>
      <c r="J249" s="9">
        <v>0.5145</v>
      </c>
      <c r="K249" s="9">
        <v>0.5111</v>
      </c>
      <c r="L249" s="9">
        <v>0.5126</v>
      </c>
      <c r="M249" s="9">
        <v>0.5114</v>
      </c>
      <c r="N249" s="9">
        <v>0.5236</v>
      </c>
      <c r="O249" s="9">
        <v>0.5211</v>
      </c>
      <c r="P249" s="9">
        <v>0.5201</v>
      </c>
      <c r="Q249" s="9">
        <v>0.5284</v>
      </c>
      <c r="R249" s="9">
        <v>0.5356</v>
      </c>
      <c r="S249" s="9">
        <v>0.5418</v>
      </c>
      <c r="T249" s="9">
        <v>0.5433</v>
      </c>
      <c r="U249" s="9">
        <v>0.5467</v>
      </c>
      <c r="V249" s="9">
        <v>0.5501</v>
      </c>
      <c r="W249" s="9">
        <v>0.5438</v>
      </c>
      <c r="X249" s="9">
        <v>0.5402</v>
      </c>
      <c r="Y249" s="9">
        <v>0.544</v>
      </c>
      <c r="Z249" s="9">
        <v>0.551</v>
      </c>
      <c r="AA249" s="9">
        <v>0.5616</v>
      </c>
      <c r="AB249" s="9">
        <v>0.5678</v>
      </c>
      <c r="AC249" s="9">
        <v>0.5645</v>
      </c>
      <c r="AD249" s="9">
        <v>0.5624</v>
      </c>
      <c r="AE249" s="9">
        <v>0.557</v>
      </c>
      <c r="AF249" s="9">
        <v>0.5675</v>
      </c>
      <c r="AG249" s="9">
        <v>0.5731</v>
      </c>
      <c r="AH249" s="9">
        <v>0.584</v>
      </c>
      <c r="AI249" s="9">
        <v>0.5773</v>
      </c>
      <c r="AJ249" s="9">
        <v>0.5841</v>
      </c>
      <c r="AK249" s="9">
        <v>0.5831</v>
      </c>
      <c r="AL249" s="9">
        <v>0.5851</v>
      </c>
      <c r="AM249" s="9">
        <v>0.5805</v>
      </c>
      <c r="AN249" s="9">
        <v>0.5836</v>
      </c>
      <c r="AO249" s="9">
        <v>0.5805</v>
      </c>
      <c r="AP249" s="9">
        <v>0.5739</v>
      </c>
      <c r="AQ249" s="9">
        <v>0.5831</v>
      </c>
      <c r="AR249" s="9">
        <v>0.5883</v>
      </c>
      <c r="AS249" s="9">
        <v>0.5869</v>
      </c>
      <c r="AT249" s="9">
        <v>0.5869</v>
      </c>
    </row>
    <row r="250" ht="14.25" customHeight="1">
      <c r="A250" s="2" t="s">
        <v>392</v>
      </c>
      <c r="B250" s="9">
        <v>0.6096</v>
      </c>
      <c r="C250" s="9">
        <v>0.6096</v>
      </c>
      <c r="D250" s="9">
        <v>0.6096</v>
      </c>
      <c r="E250" s="9">
        <v>0.6096</v>
      </c>
      <c r="F250" s="9">
        <v>0.6096</v>
      </c>
      <c r="G250" s="9">
        <v>0.6096</v>
      </c>
      <c r="H250" s="9">
        <v>0.6096</v>
      </c>
      <c r="I250" s="9">
        <v>0.6096</v>
      </c>
      <c r="J250" s="9">
        <v>0.6096</v>
      </c>
      <c r="K250" s="9">
        <v>0.6096</v>
      </c>
      <c r="L250" s="9">
        <v>0.607</v>
      </c>
      <c r="M250" s="9">
        <v>0.6045</v>
      </c>
      <c r="N250" s="9">
        <v>0.602</v>
      </c>
      <c r="O250" s="9">
        <v>0.5949</v>
      </c>
      <c r="P250" s="9">
        <v>0.5878</v>
      </c>
      <c r="Q250" s="9">
        <v>0.5807</v>
      </c>
      <c r="R250" s="9">
        <v>0.5736</v>
      </c>
      <c r="S250" s="9">
        <v>0.5868</v>
      </c>
      <c r="T250" s="9">
        <v>0.6001</v>
      </c>
      <c r="U250" s="9">
        <v>0.6133</v>
      </c>
      <c r="V250" s="9">
        <v>0.6217</v>
      </c>
      <c r="W250" s="9">
        <v>0.6302</v>
      </c>
      <c r="X250" s="9">
        <v>0.6386</v>
      </c>
      <c r="Y250" s="9">
        <v>0.6291</v>
      </c>
      <c r="Z250" s="9">
        <v>0.6196</v>
      </c>
      <c r="AA250" s="9">
        <v>0.6101</v>
      </c>
      <c r="AB250" s="9">
        <v>0.6136</v>
      </c>
      <c r="AC250" s="9">
        <v>0.6172</v>
      </c>
      <c r="AD250" s="9">
        <v>0.6207</v>
      </c>
      <c r="AE250" s="9">
        <v>0.6243</v>
      </c>
      <c r="AF250" s="9">
        <v>0.6129</v>
      </c>
      <c r="AG250" s="9">
        <v>0.6014</v>
      </c>
      <c r="AH250" s="9">
        <v>0.59</v>
      </c>
      <c r="AI250" s="9">
        <v>0.5943</v>
      </c>
      <c r="AJ250" s="9">
        <v>0.5986</v>
      </c>
      <c r="AK250" s="9">
        <v>0.603</v>
      </c>
      <c r="AL250" s="9">
        <v>0.6073</v>
      </c>
      <c r="AM250" s="9">
        <v>0.6092</v>
      </c>
      <c r="AN250" s="9">
        <v>0.6112</v>
      </c>
      <c r="AO250" s="9">
        <v>0.6132</v>
      </c>
      <c r="AP250" s="9">
        <v>0.6132</v>
      </c>
      <c r="AQ250" s="9">
        <v>0.6132</v>
      </c>
      <c r="AR250" s="9">
        <v>0.6132</v>
      </c>
      <c r="AS250" s="9">
        <v>0.6132</v>
      </c>
      <c r="AT250" s="9">
        <v>0.6132</v>
      </c>
    </row>
    <row r="251" ht="14.25" customHeight="1">
      <c r="A251" s="2" t="s">
        <v>393</v>
      </c>
      <c r="B251" s="9">
        <v>0.3026</v>
      </c>
      <c r="C251" s="9">
        <v>0.3009</v>
      </c>
      <c r="D251" s="9">
        <v>0.2993</v>
      </c>
      <c r="E251" s="9">
        <v>0.2977</v>
      </c>
      <c r="F251" s="9">
        <v>0.2961</v>
      </c>
      <c r="G251" s="9">
        <v>0.2946</v>
      </c>
      <c r="H251" s="9">
        <v>0.2937</v>
      </c>
      <c r="I251" s="9">
        <v>0.2929</v>
      </c>
      <c r="J251" s="9">
        <v>0.2921</v>
      </c>
      <c r="K251" s="9">
        <v>0.2953</v>
      </c>
      <c r="L251" s="9">
        <v>0.3092</v>
      </c>
      <c r="M251" s="9">
        <v>0.3923</v>
      </c>
      <c r="N251" s="9">
        <v>0.4753</v>
      </c>
      <c r="O251" s="9">
        <v>0.475</v>
      </c>
      <c r="P251" s="9">
        <v>0.4824</v>
      </c>
      <c r="Q251" s="9">
        <v>0.5096</v>
      </c>
      <c r="R251" s="9">
        <v>0.4474</v>
      </c>
      <c r="S251" s="9">
        <v>0.4175</v>
      </c>
      <c r="T251" s="9">
        <v>0.376</v>
      </c>
      <c r="U251" s="9">
        <v>0.3578</v>
      </c>
      <c r="V251" s="9">
        <v>0.3801</v>
      </c>
      <c r="W251" s="9">
        <v>0.408</v>
      </c>
      <c r="X251" s="9">
        <v>0.4081</v>
      </c>
      <c r="Y251" s="9">
        <v>0.4181</v>
      </c>
      <c r="Z251" s="9">
        <v>0.4323</v>
      </c>
      <c r="AA251" s="9">
        <v>0.412</v>
      </c>
      <c r="AB251" s="9">
        <v>0.4253</v>
      </c>
      <c r="AC251" s="9">
        <v>0.4047</v>
      </c>
      <c r="AD251" s="9">
        <v>0.3945</v>
      </c>
      <c r="AE251" s="9">
        <v>0.3678</v>
      </c>
      <c r="AF251" s="9">
        <v>0.3485</v>
      </c>
      <c r="AG251" s="9">
        <v>0.3456</v>
      </c>
      <c r="AH251" s="9">
        <v>0.3239</v>
      </c>
      <c r="AI251" s="9">
        <v>0.3195</v>
      </c>
      <c r="AJ251" s="9">
        <v>0.3437</v>
      </c>
      <c r="AK251" s="9">
        <v>0.3686</v>
      </c>
      <c r="AL251" s="9">
        <v>0.3884</v>
      </c>
      <c r="AM251" s="9">
        <v>0.386</v>
      </c>
      <c r="AN251" s="9">
        <v>0.3787</v>
      </c>
      <c r="AO251" s="9">
        <v>0.3828</v>
      </c>
      <c r="AP251" s="9">
        <v>0.3828</v>
      </c>
      <c r="AQ251" s="9">
        <v>0.3828</v>
      </c>
      <c r="AR251" s="9">
        <v>0.3828</v>
      </c>
      <c r="AS251" s="9">
        <v>0.3828</v>
      </c>
      <c r="AT251" s="9">
        <v>0.3828</v>
      </c>
    </row>
    <row r="252" ht="14.25" customHeight="1">
      <c r="A252" s="2" t="s">
        <v>394</v>
      </c>
      <c r="B252" s="9">
        <v>0.6428</v>
      </c>
      <c r="C252" s="9">
        <v>0.6428</v>
      </c>
      <c r="D252" s="9">
        <v>0.6428</v>
      </c>
      <c r="E252" s="9">
        <v>0.6428</v>
      </c>
      <c r="F252" s="9">
        <v>0.6428</v>
      </c>
      <c r="G252" s="9">
        <v>0.6428</v>
      </c>
      <c r="H252" s="9">
        <v>0.6428</v>
      </c>
      <c r="I252" s="9">
        <v>0.6428</v>
      </c>
      <c r="J252" s="9">
        <v>0.6428</v>
      </c>
      <c r="K252" s="9">
        <v>0.6428</v>
      </c>
      <c r="L252" s="9">
        <v>0.6428</v>
      </c>
      <c r="M252" s="9">
        <v>0.6428</v>
      </c>
      <c r="N252" s="9">
        <v>0.6428</v>
      </c>
      <c r="O252" s="9">
        <v>0.6428</v>
      </c>
      <c r="P252" s="9">
        <v>0.6428</v>
      </c>
      <c r="Q252" s="9">
        <v>0.6428</v>
      </c>
      <c r="R252" s="9">
        <v>0.6428</v>
      </c>
      <c r="S252" s="9">
        <v>0.6428</v>
      </c>
      <c r="T252" s="9">
        <v>0.6428</v>
      </c>
      <c r="U252" s="9">
        <v>0.6439</v>
      </c>
      <c r="V252" s="9">
        <v>0.645</v>
      </c>
      <c r="W252" s="9">
        <v>0.6462</v>
      </c>
      <c r="X252" s="9">
        <v>0.6475</v>
      </c>
      <c r="Y252" s="9">
        <v>0.6489</v>
      </c>
      <c r="Z252" s="9">
        <v>0.6504</v>
      </c>
      <c r="AA252" s="9">
        <v>0.6519</v>
      </c>
      <c r="AB252" s="9">
        <v>0.6536</v>
      </c>
      <c r="AC252" s="9">
        <v>0.6553</v>
      </c>
      <c r="AD252" s="9">
        <v>0.6572</v>
      </c>
      <c r="AE252" s="9">
        <v>0.6592</v>
      </c>
      <c r="AF252" s="9">
        <v>0.6469</v>
      </c>
      <c r="AG252" s="9">
        <v>0.6346</v>
      </c>
      <c r="AH252" s="9">
        <v>0.6224</v>
      </c>
      <c r="AI252" s="9">
        <v>0.6102</v>
      </c>
      <c r="AJ252" s="9">
        <v>0.614</v>
      </c>
      <c r="AK252" s="9">
        <v>0.6065</v>
      </c>
      <c r="AL252" s="9">
        <v>0.5989</v>
      </c>
      <c r="AM252" s="9">
        <v>0.5912</v>
      </c>
      <c r="AN252" s="9">
        <v>0.5833</v>
      </c>
      <c r="AO252" s="9">
        <v>0.5833</v>
      </c>
      <c r="AP252" s="9">
        <v>0.5833</v>
      </c>
      <c r="AQ252" s="9">
        <v>0.5833</v>
      </c>
      <c r="AR252" s="9">
        <v>0.5833</v>
      </c>
      <c r="AS252" s="9">
        <v>0.5833</v>
      </c>
      <c r="AT252" s="9">
        <v>0.5833</v>
      </c>
    </row>
    <row r="253" ht="14.25" customHeight="1">
      <c r="A253" s="2" t="s">
        <v>395</v>
      </c>
      <c r="B253" s="9">
        <v>0.3847</v>
      </c>
      <c r="C253" s="9">
        <v>0.3847</v>
      </c>
      <c r="D253" s="9">
        <v>0.3843</v>
      </c>
      <c r="E253" s="9">
        <v>0.3905</v>
      </c>
      <c r="F253" s="9">
        <v>0.3976</v>
      </c>
      <c r="G253" s="9">
        <v>0.4002</v>
      </c>
      <c r="H253" s="9">
        <v>0.4044</v>
      </c>
      <c r="I253" s="9">
        <v>0.4058</v>
      </c>
      <c r="J253" s="9">
        <v>0.414</v>
      </c>
      <c r="K253" s="9">
        <v>0.4108</v>
      </c>
      <c r="L253" s="9">
        <v>0.4416</v>
      </c>
      <c r="M253" s="9">
        <v>0.4471</v>
      </c>
      <c r="N253" s="9">
        <v>0.4476</v>
      </c>
      <c r="O253" s="9">
        <v>0.4541</v>
      </c>
      <c r="P253" s="9">
        <v>0.4473</v>
      </c>
      <c r="Q253" s="9">
        <v>0.455</v>
      </c>
      <c r="R253" s="9">
        <v>0.4613</v>
      </c>
      <c r="S253" s="9">
        <v>0.4592</v>
      </c>
      <c r="T253" s="9">
        <v>0.4649</v>
      </c>
      <c r="U253" s="9">
        <v>0.4696</v>
      </c>
      <c r="V253" s="9">
        <v>0.46</v>
      </c>
      <c r="W253" s="9">
        <v>0.4647</v>
      </c>
      <c r="X253" s="9">
        <v>0.4683</v>
      </c>
      <c r="Y253" s="9">
        <v>0.4783</v>
      </c>
      <c r="Z253" s="9">
        <v>0.4702</v>
      </c>
      <c r="AA253" s="9">
        <v>0.4801</v>
      </c>
      <c r="AB253" s="9">
        <v>0.4854</v>
      </c>
      <c r="AC253" s="9">
        <v>0.4794</v>
      </c>
      <c r="AD253" s="9">
        <v>0.4749</v>
      </c>
      <c r="AE253" s="9">
        <v>0.4958</v>
      </c>
      <c r="AF253" s="9">
        <v>0.4532</v>
      </c>
      <c r="AG253" s="9">
        <v>0.4618</v>
      </c>
      <c r="AH253" s="9">
        <v>0.4765</v>
      </c>
      <c r="AI253" s="9">
        <v>0.4913</v>
      </c>
      <c r="AJ253" s="9">
        <v>0.4698</v>
      </c>
      <c r="AK253" s="9">
        <v>0.4586</v>
      </c>
      <c r="AL253" s="9">
        <v>0.4548</v>
      </c>
      <c r="AM253" s="9">
        <v>0.4495</v>
      </c>
      <c r="AN253" s="9">
        <v>0.4529</v>
      </c>
      <c r="AO253" s="9">
        <v>0.4502</v>
      </c>
      <c r="AP253" s="9">
        <v>0.4502</v>
      </c>
      <c r="AQ253" s="9">
        <v>0.4523</v>
      </c>
      <c r="AR253" s="9">
        <v>0.4533</v>
      </c>
      <c r="AS253" s="9">
        <v>0.4509</v>
      </c>
      <c r="AT253" s="9">
        <v>0.4509</v>
      </c>
    </row>
    <row r="254" ht="14.25" customHeight="1">
      <c r="A254" s="2" t="s">
        <v>411</v>
      </c>
      <c r="B254" s="9">
        <v>0.2415</v>
      </c>
      <c r="C254" s="9">
        <v>0.243</v>
      </c>
      <c r="D254" s="9">
        <v>0.2424</v>
      </c>
      <c r="E254" s="9">
        <v>0.2463</v>
      </c>
      <c r="F254" s="9">
        <v>0.2606</v>
      </c>
      <c r="G254" s="9">
        <v>0.2886</v>
      </c>
      <c r="H254" s="9">
        <v>0.2711</v>
      </c>
      <c r="I254" s="9">
        <v>0.2576</v>
      </c>
      <c r="J254" s="9">
        <v>0.267</v>
      </c>
      <c r="K254" s="9">
        <v>0.2738</v>
      </c>
      <c r="L254" s="9">
        <v>0.2709</v>
      </c>
      <c r="M254" s="9">
        <v>0.2643</v>
      </c>
      <c r="N254" s="9">
        <v>0.2848</v>
      </c>
      <c r="O254" s="9">
        <v>0.3021</v>
      </c>
      <c r="P254" s="9">
        <v>0.3103</v>
      </c>
      <c r="Q254" s="9">
        <v>0.3074</v>
      </c>
      <c r="R254" s="9">
        <v>0.3151</v>
      </c>
      <c r="S254" s="9">
        <v>0.3239</v>
      </c>
      <c r="T254" s="9">
        <v>0.3316</v>
      </c>
      <c r="U254" s="9">
        <v>0.3372</v>
      </c>
      <c r="V254" s="9">
        <v>0.3456</v>
      </c>
      <c r="W254" s="9">
        <v>0.3589</v>
      </c>
      <c r="X254" s="9">
        <v>0.4127</v>
      </c>
      <c r="Y254" s="9">
        <v>0.4245</v>
      </c>
      <c r="Z254" s="9">
        <v>0.4383</v>
      </c>
      <c r="AA254" s="9">
        <v>0.4464</v>
      </c>
      <c r="AB254" s="9">
        <v>0.4492</v>
      </c>
      <c r="AC254" s="9">
        <v>0.452</v>
      </c>
      <c r="AD254" s="9">
        <v>0.456</v>
      </c>
      <c r="AE254" s="9">
        <v>0.4516</v>
      </c>
      <c r="AF254" s="9">
        <v>0.4569</v>
      </c>
      <c r="AG254" s="9">
        <v>0.4802</v>
      </c>
      <c r="AH254" s="9">
        <v>0.4412</v>
      </c>
      <c r="AI254" s="9">
        <v>0.474</v>
      </c>
      <c r="AJ254" s="9">
        <v>0.4466</v>
      </c>
      <c r="AK254" s="9">
        <v>0.4474</v>
      </c>
      <c r="AL254" s="9"/>
      <c r="AM254" s="9"/>
      <c r="AN254" s="9"/>
      <c r="AO254" s="9"/>
      <c r="AP254" s="9"/>
      <c r="AQ254" s="9"/>
      <c r="AR254" s="9"/>
      <c r="AS254" s="9"/>
      <c r="AT254" s="9"/>
    </row>
    <row r="255" ht="14.25" customHeight="1">
      <c r="A255" s="2" t="s">
        <v>396</v>
      </c>
      <c r="B255" s="9">
        <v>0.5953</v>
      </c>
      <c r="C255" s="9">
        <v>0.5953</v>
      </c>
      <c r="D255" s="9">
        <v>0.5953</v>
      </c>
      <c r="E255" s="9">
        <v>0.5953</v>
      </c>
      <c r="F255" s="9">
        <v>0.5953</v>
      </c>
      <c r="G255" s="9">
        <v>0.5953</v>
      </c>
      <c r="H255" s="9">
        <v>0.5953</v>
      </c>
      <c r="I255" s="9">
        <v>0.5953</v>
      </c>
      <c r="J255" s="9">
        <v>0.5953</v>
      </c>
      <c r="K255" s="9">
        <v>0.5953</v>
      </c>
      <c r="L255" s="9">
        <v>0.5953</v>
      </c>
      <c r="M255" s="9">
        <v>0.5953</v>
      </c>
      <c r="N255" s="9">
        <v>0.5953</v>
      </c>
      <c r="O255" s="9">
        <v>0.5953</v>
      </c>
      <c r="P255" s="9">
        <v>0.5953</v>
      </c>
      <c r="Q255" s="9">
        <v>0.5953</v>
      </c>
      <c r="R255" s="9">
        <v>0.5953</v>
      </c>
      <c r="S255" s="9">
        <v>0.5953</v>
      </c>
      <c r="T255" s="9">
        <v>0.5953</v>
      </c>
      <c r="U255" s="9">
        <v>0.5953</v>
      </c>
      <c r="V255" s="9">
        <v>0.5953</v>
      </c>
      <c r="W255" s="9">
        <v>0.6125</v>
      </c>
      <c r="X255" s="9">
        <v>0.6095</v>
      </c>
      <c r="Y255" s="9">
        <v>0.6241</v>
      </c>
      <c r="Z255" s="9">
        <v>0.6154</v>
      </c>
      <c r="AA255" s="9">
        <v>0.6042</v>
      </c>
      <c r="AB255" s="9">
        <v>0.6071</v>
      </c>
      <c r="AC255" s="9">
        <v>0.61</v>
      </c>
      <c r="AD255" s="9">
        <v>0.6043</v>
      </c>
      <c r="AE255" s="9">
        <v>0.591</v>
      </c>
      <c r="AF255" s="9">
        <v>0.5778</v>
      </c>
      <c r="AG255" s="9">
        <v>0.5587</v>
      </c>
      <c r="AH255" s="9">
        <v>0.5428</v>
      </c>
      <c r="AI255" s="9">
        <v>0.5431</v>
      </c>
      <c r="AJ255" s="9">
        <v>0.5446</v>
      </c>
      <c r="AK255" s="9">
        <v>0.5512</v>
      </c>
      <c r="AL255" s="9">
        <v>0.5578</v>
      </c>
      <c r="AM255" s="9">
        <v>0.5644</v>
      </c>
      <c r="AN255" s="9">
        <v>0.569</v>
      </c>
      <c r="AO255" s="9">
        <v>0.5649</v>
      </c>
      <c r="AP255" s="9">
        <v>0.5681</v>
      </c>
      <c r="AQ255" s="9">
        <v>0.5748</v>
      </c>
      <c r="AR255" s="9">
        <v>0.5583</v>
      </c>
      <c r="AS255" s="9">
        <v>0.5794</v>
      </c>
      <c r="AT255" s="9">
        <v>0.5794</v>
      </c>
    </row>
    <row r="256" ht="14.25" customHeight="1">
      <c r="A256" s="2" t="s">
        <v>397</v>
      </c>
      <c r="B256" s="9">
        <v>0.3026</v>
      </c>
      <c r="C256" s="9">
        <v>0.3009</v>
      </c>
      <c r="D256" s="9">
        <v>0.2993</v>
      </c>
      <c r="E256" s="9">
        <v>0.2977</v>
      </c>
      <c r="F256" s="9">
        <v>0.2961</v>
      </c>
      <c r="G256" s="9">
        <v>0.2946</v>
      </c>
      <c r="H256" s="9">
        <v>0.2937</v>
      </c>
      <c r="I256" s="9">
        <v>0.2929</v>
      </c>
      <c r="J256" s="9">
        <v>0.2921</v>
      </c>
      <c r="K256" s="9">
        <v>0.2953</v>
      </c>
      <c r="L256" s="9">
        <v>0.3092</v>
      </c>
      <c r="M256" s="9">
        <v>0.346</v>
      </c>
      <c r="N256" s="9">
        <v>0.3827</v>
      </c>
      <c r="O256" s="9">
        <v>0.4195</v>
      </c>
      <c r="P256" s="9">
        <v>0.4562</v>
      </c>
      <c r="Q256" s="9">
        <v>0.4929</v>
      </c>
      <c r="R256" s="9">
        <v>0.5296</v>
      </c>
      <c r="S256" s="9">
        <v>0.5663</v>
      </c>
      <c r="T256" s="9">
        <v>0.6034</v>
      </c>
      <c r="U256" s="9">
        <v>0.5769</v>
      </c>
      <c r="V256" s="9">
        <v>0.5508</v>
      </c>
      <c r="W256" s="9">
        <v>0.543</v>
      </c>
      <c r="X256" s="9">
        <v>0.5349</v>
      </c>
      <c r="Y256" s="9">
        <v>0.5488</v>
      </c>
      <c r="Z256" s="9">
        <v>0.5488</v>
      </c>
      <c r="AA256" s="9">
        <v>0.5488</v>
      </c>
      <c r="AB256" s="9">
        <v>0.5488</v>
      </c>
      <c r="AC256" s="9">
        <v>0.5488</v>
      </c>
      <c r="AD256" s="9">
        <v>0.5488</v>
      </c>
      <c r="AE256" s="9">
        <v>0.5488</v>
      </c>
      <c r="AF256" s="9">
        <v>0.5488</v>
      </c>
      <c r="AG256" s="9">
        <v>0.5488</v>
      </c>
      <c r="AH256" s="9">
        <v>0.5488</v>
      </c>
      <c r="AI256" s="9">
        <v>0.5488</v>
      </c>
      <c r="AJ256" s="9">
        <v>0.5488</v>
      </c>
      <c r="AK256" s="9">
        <v>0.5488</v>
      </c>
      <c r="AL256" s="9">
        <v>0.5441</v>
      </c>
      <c r="AM256" s="9">
        <v>0.5498</v>
      </c>
      <c r="AN256" s="9">
        <v>0.5498</v>
      </c>
      <c r="AO256" s="9">
        <v>0.5498</v>
      </c>
      <c r="AP256" s="9">
        <v>0.5498</v>
      </c>
      <c r="AQ256" s="9">
        <v>0.5498</v>
      </c>
      <c r="AR256" s="9">
        <v>0.5498</v>
      </c>
      <c r="AS256" s="9">
        <v>0.5498</v>
      </c>
      <c r="AT256" s="9">
        <v>0.5498</v>
      </c>
    </row>
    <row r="257" ht="14.25" customHeight="1">
      <c r="A257" s="2" t="s">
        <v>398</v>
      </c>
      <c r="B257" s="9">
        <v>0.4403</v>
      </c>
      <c r="C257" s="9">
        <v>0.4412</v>
      </c>
      <c r="D257" s="9">
        <v>0.4421</v>
      </c>
      <c r="E257" s="9">
        <v>0.443</v>
      </c>
      <c r="F257" s="9">
        <v>0.444</v>
      </c>
      <c r="G257" s="9">
        <v>0.4449</v>
      </c>
      <c r="H257" s="9">
        <v>0.4459</v>
      </c>
      <c r="I257" s="9">
        <v>0.4469</v>
      </c>
      <c r="J257" s="9">
        <v>0.4479</v>
      </c>
      <c r="K257" s="9">
        <v>0.449</v>
      </c>
      <c r="L257" s="9">
        <v>0.45</v>
      </c>
      <c r="M257" s="9">
        <v>0.4515</v>
      </c>
      <c r="N257" s="9">
        <v>0.453</v>
      </c>
      <c r="O257" s="9">
        <v>0.4544</v>
      </c>
      <c r="P257" s="9">
        <v>0.4558</v>
      </c>
      <c r="Q257" s="9">
        <v>0.4571</v>
      </c>
      <c r="R257" s="9">
        <v>0.4584</v>
      </c>
      <c r="S257" s="9">
        <v>0.4596</v>
      </c>
      <c r="T257" s="9">
        <v>0.4608</v>
      </c>
      <c r="U257" s="9">
        <v>0.462</v>
      </c>
      <c r="V257" s="9">
        <v>0.4631</v>
      </c>
      <c r="W257" s="9">
        <v>0.4719</v>
      </c>
      <c r="X257" s="9">
        <v>0.4805</v>
      </c>
      <c r="Y257" s="9">
        <v>0.489</v>
      </c>
      <c r="Z257" s="9">
        <v>0.4972</v>
      </c>
      <c r="AA257" s="9">
        <v>0.5052</v>
      </c>
      <c r="AB257" s="9">
        <v>0.5131</v>
      </c>
      <c r="AC257" s="9">
        <v>0.5207</v>
      </c>
      <c r="AD257" s="9">
        <v>0.5282</v>
      </c>
      <c r="AE257" s="9">
        <v>0.5356</v>
      </c>
      <c r="AF257" s="9">
        <v>0.5428</v>
      </c>
      <c r="AG257" s="9">
        <v>0.5447</v>
      </c>
      <c r="AH257" s="9">
        <v>0.5466</v>
      </c>
      <c r="AI257" s="9">
        <v>0.5483</v>
      </c>
      <c r="AJ257" s="9">
        <v>0.55</v>
      </c>
      <c r="AK257" s="9">
        <v>0.5516</v>
      </c>
      <c r="AL257" s="9">
        <v>0.5531</v>
      </c>
      <c r="AM257" s="9">
        <v>0.5546</v>
      </c>
      <c r="AN257" s="9">
        <v>0.556</v>
      </c>
      <c r="AO257" s="9">
        <v>0.5574</v>
      </c>
      <c r="AP257" s="9">
        <v>0.5587</v>
      </c>
      <c r="AQ257" s="9">
        <v>0.5587</v>
      </c>
      <c r="AR257" s="9">
        <v>0.5587</v>
      </c>
      <c r="AS257" s="9">
        <v>0.5587</v>
      </c>
      <c r="AT257" s="9">
        <v>0.5587</v>
      </c>
    </row>
    <row r="258" ht="14.25" customHeight="1">
      <c r="A258" s="2" t="s">
        <v>399</v>
      </c>
      <c r="B258" s="9">
        <v>0.682</v>
      </c>
      <c r="C258" s="9">
        <v>0.682</v>
      </c>
      <c r="D258" s="9">
        <v>0.682</v>
      </c>
      <c r="E258" s="9">
        <v>0.682</v>
      </c>
      <c r="F258" s="9">
        <v>0.682</v>
      </c>
      <c r="G258" s="9">
        <v>0.682</v>
      </c>
      <c r="H258" s="9">
        <v>0.682</v>
      </c>
      <c r="I258" s="9">
        <v>0.682</v>
      </c>
      <c r="J258" s="9">
        <v>0.682</v>
      </c>
      <c r="K258" s="9">
        <v>0.682</v>
      </c>
      <c r="L258" s="9">
        <v>0.682</v>
      </c>
      <c r="M258" s="9">
        <v>0.682</v>
      </c>
      <c r="N258" s="9">
        <v>0.682</v>
      </c>
      <c r="O258" s="9">
        <v>0.682</v>
      </c>
      <c r="P258" s="9">
        <v>0.682</v>
      </c>
      <c r="Q258" s="9">
        <v>0.682</v>
      </c>
      <c r="R258" s="9">
        <v>0.682</v>
      </c>
      <c r="S258" s="9">
        <v>0.682</v>
      </c>
      <c r="T258" s="9">
        <v>0.682</v>
      </c>
      <c r="U258" s="9">
        <v>0.682</v>
      </c>
      <c r="V258" s="9">
        <v>0.682</v>
      </c>
      <c r="W258" s="9">
        <v>0.6903</v>
      </c>
      <c r="X258" s="9">
        <v>0.6885</v>
      </c>
      <c r="Y258" s="9">
        <v>0.6848</v>
      </c>
      <c r="Z258" s="9">
        <v>0.6817</v>
      </c>
      <c r="AA258" s="9">
        <v>0.6794</v>
      </c>
      <c r="AB258" s="9">
        <v>0.6749</v>
      </c>
      <c r="AC258" s="9">
        <v>0.6812</v>
      </c>
      <c r="AD258" s="9">
        <v>0.6744</v>
      </c>
      <c r="AE258" s="9">
        <v>0.6684</v>
      </c>
      <c r="AF258" s="9">
        <v>0.6678</v>
      </c>
      <c r="AG258" s="9">
        <v>0.6616</v>
      </c>
      <c r="AH258" s="9">
        <v>0.656</v>
      </c>
      <c r="AI258" s="9">
        <v>0.6594</v>
      </c>
      <c r="AJ258" s="9">
        <v>0.6552</v>
      </c>
      <c r="AK258" s="9">
        <v>0.6514</v>
      </c>
      <c r="AL258" s="9">
        <v>0.6525</v>
      </c>
      <c r="AM258" s="9">
        <v>0.653</v>
      </c>
      <c r="AN258" s="9">
        <v>0.655</v>
      </c>
      <c r="AO258" s="9">
        <v>0.6523</v>
      </c>
      <c r="AP258" s="9">
        <v>0.6739</v>
      </c>
      <c r="AQ258" s="9">
        <v>0.6609</v>
      </c>
      <c r="AR258" s="9">
        <v>0.6502</v>
      </c>
      <c r="AS258" s="9">
        <v>0.6505</v>
      </c>
      <c r="AT258" s="9">
        <v>0.6505</v>
      </c>
    </row>
    <row r="259" ht="14.25" customHeight="1">
      <c r="A259" s="2" t="s">
        <v>400</v>
      </c>
      <c r="B259" s="9">
        <v>0.5558</v>
      </c>
      <c r="C259" s="9">
        <v>0.5558</v>
      </c>
      <c r="D259" s="9">
        <v>0.5558</v>
      </c>
      <c r="E259" s="9">
        <v>0.5558</v>
      </c>
      <c r="F259" s="9">
        <v>0.5558</v>
      </c>
      <c r="G259" s="9">
        <v>0.5558</v>
      </c>
      <c r="H259" s="9">
        <v>0.5558</v>
      </c>
      <c r="I259" s="9">
        <v>0.5558</v>
      </c>
      <c r="J259" s="9">
        <v>0.5558</v>
      </c>
      <c r="K259" s="9">
        <v>0.5558</v>
      </c>
      <c r="L259" s="9">
        <v>0.5558</v>
      </c>
      <c r="M259" s="9">
        <v>0.5558</v>
      </c>
      <c r="N259" s="9">
        <v>0.5558</v>
      </c>
      <c r="O259" s="9">
        <v>0.556</v>
      </c>
      <c r="P259" s="9">
        <v>0.5574</v>
      </c>
      <c r="Q259" s="9">
        <v>0.5579</v>
      </c>
      <c r="R259" s="9">
        <v>0.5574</v>
      </c>
      <c r="S259" s="9">
        <v>0.5576</v>
      </c>
      <c r="T259" s="9">
        <v>0.5575</v>
      </c>
      <c r="U259" s="9">
        <v>0.561</v>
      </c>
      <c r="V259" s="9">
        <v>0.5693</v>
      </c>
      <c r="W259" s="9">
        <v>0.5748</v>
      </c>
      <c r="X259" s="9">
        <v>0.5766</v>
      </c>
      <c r="Y259" s="9">
        <v>0.572</v>
      </c>
      <c r="Z259" s="9">
        <v>0.571</v>
      </c>
      <c r="AA259" s="9">
        <v>0.5603</v>
      </c>
      <c r="AB259" s="9">
        <v>0.5494</v>
      </c>
      <c r="AC259" s="9">
        <v>0.5503</v>
      </c>
      <c r="AD259" s="9">
        <v>0.5514</v>
      </c>
      <c r="AE259" s="9">
        <v>0.5714</v>
      </c>
      <c r="AF259" s="9">
        <v>0.5869</v>
      </c>
      <c r="AG259" s="9">
        <v>0.5659</v>
      </c>
      <c r="AH259" s="9">
        <v>0.5455</v>
      </c>
      <c r="AI259" s="9">
        <v>0.5411</v>
      </c>
      <c r="AJ259" s="9">
        <v>0.5388</v>
      </c>
      <c r="AK259" s="9">
        <v>0.5406</v>
      </c>
      <c r="AL259" s="9">
        <v>0.5431</v>
      </c>
      <c r="AM259" s="9">
        <v>0.5431</v>
      </c>
      <c r="AN259" s="9">
        <v>0.5426</v>
      </c>
      <c r="AO259" s="9">
        <v>0.5426</v>
      </c>
      <c r="AP259" s="9">
        <v>0.5426</v>
      </c>
      <c r="AQ259" s="9">
        <v>0.5426</v>
      </c>
      <c r="AR259" s="9">
        <v>0.5426</v>
      </c>
      <c r="AS259" s="9">
        <v>0.5426</v>
      </c>
      <c r="AT259" s="9">
        <v>0.5426</v>
      </c>
    </row>
    <row r="260" ht="14.25" customHeight="1">
      <c r="A260" s="2" t="s">
        <v>401</v>
      </c>
      <c r="B260" s="9">
        <v>0.7911</v>
      </c>
      <c r="C260" s="9">
        <v>0.7909</v>
      </c>
      <c r="D260" s="9">
        <v>0.7883</v>
      </c>
      <c r="E260" s="9">
        <v>0.7897</v>
      </c>
      <c r="F260" s="9">
        <v>0.792</v>
      </c>
      <c r="G260" s="9">
        <v>0.7937</v>
      </c>
      <c r="H260" s="9">
        <v>0.795</v>
      </c>
      <c r="I260" s="9">
        <v>0.7959</v>
      </c>
      <c r="J260" s="9">
        <v>0.7987</v>
      </c>
      <c r="K260" s="9">
        <v>0.8011</v>
      </c>
      <c r="L260" s="9">
        <v>0.8028</v>
      </c>
      <c r="M260" s="9">
        <v>0.8046</v>
      </c>
      <c r="N260" s="9">
        <v>0.8072</v>
      </c>
      <c r="O260" s="9">
        <v>0.8072</v>
      </c>
      <c r="P260" s="9">
        <v>0.8094</v>
      </c>
      <c r="Q260" s="9">
        <v>0.8082</v>
      </c>
      <c r="R260" s="9">
        <v>0.8098</v>
      </c>
      <c r="S260" s="9">
        <v>0.8098</v>
      </c>
      <c r="T260" s="9">
        <v>0.814</v>
      </c>
      <c r="U260" s="9">
        <v>0.8152</v>
      </c>
      <c r="V260" s="9">
        <v>0.8164</v>
      </c>
      <c r="W260" s="9">
        <v>0.8155</v>
      </c>
      <c r="X260" s="9">
        <v>0.8139</v>
      </c>
      <c r="Y260" s="9">
        <v>0.8126</v>
      </c>
      <c r="Z260" s="9">
        <v>0.8112</v>
      </c>
      <c r="AA260" s="9">
        <v>0.8114</v>
      </c>
      <c r="AB260" s="9">
        <v>0.8087</v>
      </c>
      <c r="AC260" s="9">
        <v>0.8054</v>
      </c>
      <c r="AD260" s="9">
        <v>0.8015</v>
      </c>
      <c r="AE260" s="9">
        <v>0.7954</v>
      </c>
      <c r="AF260" s="9">
        <v>0.7944</v>
      </c>
      <c r="AG260" s="9">
        <v>0.7921</v>
      </c>
      <c r="AH260" s="9">
        <v>0.7896</v>
      </c>
      <c r="AI260" s="9">
        <v>0.7875</v>
      </c>
      <c r="AJ260" s="9">
        <v>0.7853</v>
      </c>
      <c r="AK260" s="9">
        <v>0.7844</v>
      </c>
      <c r="AL260" s="9">
        <v>0.7824</v>
      </c>
      <c r="AM260" s="9">
        <v>0.7819</v>
      </c>
      <c r="AN260" s="9">
        <v>0.7812</v>
      </c>
      <c r="AO260" s="9">
        <v>0.7798</v>
      </c>
      <c r="AP260" s="9">
        <v>0.7799</v>
      </c>
      <c r="AQ260" s="9">
        <v>0.7813</v>
      </c>
      <c r="AR260" s="9">
        <v>0.7812</v>
      </c>
      <c r="AS260" s="9">
        <v>0.7801</v>
      </c>
      <c r="AT260" s="9">
        <v>0.7792</v>
      </c>
    </row>
    <row r="261" ht="14.25" customHeight="1">
      <c r="A261" s="2" t="s">
        <v>402</v>
      </c>
      <c r="B261" s="9">
        <v>0.7187</v>
      </c>
      <c r="C261" s="9">
        <v>0.7173</v>
      </c>
      <c r="D261" s="9">
        <v>0.7139</v>
      </c>
      <c r="E261" s="9">
        <v>0.715</v>
      </c>
      <c r="F261" s="9">
        <v>0.7148</v>
      </c>
      <c r="G261" s="9">
        <v>0.7154</v>
      </c>
      <c r="H261" s="9">
        <v>0.7169</v>
      </c>
      <c r="I261" s="9">
        <v>0.7173</v>
      </c>
      <c r="J261" s="9">
        <v>0.7193</v>
      </c>
      <c r="K261" s="9">
        <v>0.7223</v>
      </c>
      <c r="L261" s="9">
        <v>0.7244</v>
      </c>
      <c r="M261" s="9">
        <v>0.7266</v>
      </c>
      <c r="N261" s="9">
        <v>0.7289</v>
      </c>
      <c r="O261" s="9">
        <v>0.7284</v>
      </c>
      <c r="P261" s="9">
        <v>0.7304</v>
      </c>
      <c r="Q261" s="9">
        <v>0.7289</v>
      </c>
      <c r="R261" s="9">
        <v>0.7307</v>
      </c>
      <c r="S261" s="9">
        <v>0.7297</v>
      </c>
      <c r="T261" s="9">
        <v>0.7322</v>
      </c>
      <c r="U261" s="9">
        <v>0.733</v>
      </c>
      <c r="V261" s="9">
        <v>0.7354</v>
      </c>
      <c r="W261" s="9">
        <v>0.7346</v>
      </c>
      <c r="X261" s="9">
        <v>0.7325</v>
      </c>
      <c r="Y261" s="9">
        <v>0.7312</v>
      </c>
      <c r="Z261" s="9">
        <v>0.7301</v>
      </c>
      <c r="AA261" s="9">
        <v>0.7299</v>
      </c>
      <c r="AB261" s="9">
        <v>0.7273</v>
      </c>
      <c r="AC261" s="9">
        <v>0.725</v>
      </c>
      <c r="AD261" s="9">
        <v>0.721</v>
      </c>
      <c r="AE261" s="9">
        <v>0.7124</v>
      </c>
      <c r="AF261" s="9">
        <v>0.7108</v>
      </c>
      <c r="AG261" s="9">
        <v>0.7096</v>
      </c>
      <c r="AH261" s="9">
        <v>0.7063</v>
      </c>
      <c r="AI261" s="9">
        <v>0.7048</v>
      </c>
      <c r="AJ261" s="9">
        <v>0.7015</v>
      </c>
      <c r="AK261" s="9">
        <v>0.7</v>
      </c>
      <c r="AL261" s="9">
        <v>0.6981</v>
      </c>
      <c r="AM261" s="9">
        <v>0.6989</v>
      </c>
      <c r="AN261" s="9">
        <v>0.6974</v>
      </c>
      <c r="AO261" s="9">
        <v>0.6951</v>
      </c>
      <c r="AP261" s="9">
        <v>0.6951</v>
      </c>
      <c r="AQ261" s="9">
        <v>0.6982</v>
      </c>
      <c r="AR261" s="9">
        <v>0.6978</v>
      </c>
      <c r="AS261" s="9">
        <v>0.6963</v>
      </c>
      <c r="AT261" s="9">
        <v>0.6959</v>
      </c>
    </row>
    <row r="262" ht="14.25" customHeight="1">
      <c r="A262" s="2" t="s">
        <v>403</v>
      </c>
      <c r="B262" s="9">
        <v>0.6564</v>
      </c>
      <c r="C262" s="9">
        <v>0.6564</v>
      </c>
      <c r="D262" s="9">
        <v>0.6564</v>
      </c>
      <c r="E262" s="9">
        <v>0.6564</v>
      </c>
      <c r="F262" s="9">
        <v>0.6564</v>
      </c>
      <c r="G262" s="9">
        <v>0.6564</v>
      </c>
      <c r="H262" s="9">
        <v>0.6564</v>
      </c>
      <c r="I262" s="9">
        <v>0.6564</v>
      </c>
      <c r="J262" s="9">
        <v>0.6564</v>
      </c>
      <c r="K262" s="9">
        <v>0.6564</v>
      </c>
      <c r="L262" s="9">
        <v>0.6564</v>
      </c>
      <c r="M262" s="9">
        <v>0.6564</v>
      </c>
      <c r="N262" s="9">
        <v>0.6564</v>
      </c>
      <c r="O262" s="9">
        <v>0.6564</v>
      </c>
      <c r="P262" s="9">
        <v>0.6564</v>
      </c>
      <c r="Q262" s="9">
        <v>0.6564</v>
      </c>
      <c r="R262" s="9">
        <v>0.6564</v>
      </c>
      <c r="S262" s="9">
        <v>0.6564</v>
      </c>
      <c r="T262" s="9">
        <v>0.6564</v>
      </c>
      <c r="U262" s="9">
        <v>0.6604</v>
      </c>
      <c r="V262" s="9">
        <v>0.6643</v>
      </c>
      <c r="W262" s="9">
        <v>0.6681</v>
      </c>
      <c r="X262" s="9">
        <v>0.6718</v>
      </c>
      <c r="Y262" s="9">
        <v>0.6754</v>
      </c>
      <c r="Z262" s="9">
        <v>0.6789</v>
      </c>
      <c r="AA262" s="9">
        <v>0.6824</v>
      </c>
      <c r="AB262" s="9">
        <v>0.6857</v>
      </c>
      <c r="AC262" s="9">
        <v>0.6854</v>
      </c>
      <c r="AD262" s="9">
        <v>0.685</v>
      </c>
      <c r="AE262" s="9">
        <v>0.6846</v>
      </c>
      <c r="AF262" s="9">
        <v>0.6842</v>
      </c>
      <c r="AG262" s="9">
        <v>0.6837</v>
      </c>
      <c r="AH262" s="9">
        <v>0.6988</v>
      </c>
      <c r="AI262" s="9">
        <v>0.7143</v>
      </c>
      <c r="AJ262" s="9">
        <v>0.6754</v>
      </c>
      <c r="AK262" s="9">
        <v>0.6754</v>
      </c>
      <c r="AL262" s="9">
        <v>0.6754</v>
      </c>
      <c r="AM262" s="9">
        <v>0.6754</v>
      </c>
      <c r="AN262" s="9">
        <v>0.6754</v>
      </c>
      <c r="AO262" s="9">
        <v>0.6754</v>
      </c>
      <c r="AP262" s="9">
        <v>0.6754</v>
      </c>
      <c r="AQ262" s="9">
        <v>0.6754</v>
      </c>
      <c r="AR262" s="9">
        <v>0.6754</v>
      </c>
      <c r="AS262" s="9">
        <v>0.6754</v>
      </c>
      <c r="AT262" s="9">
        <v>0.6754</v>
      </c>
    </row>
    <row r="263" ht="14.25" customHeight="1">
      <c r="A263" s="2" t="s">
        <v>404</v>
      </c>
      <c r="B263" s="9">
        <v>0.7169</v>
      </c>
      <c r="C263" s="9">
        <v>0.7169</v>
      </c>
      <c r="D263" s="9">
        <v>0.7169</v>
      </c>
      <c r="E263" s="9">
        <v>0.7169</v>
      </c>
      <c r="F263" s="9">
        <v>0.7169</v>
      </c>
      <c r="G263" s="9">
        <v>0.7169</v>
      </c>
      <c r="H263" s="9">
        <v>0.7169</v>
      </c>
      <c r="I263" s="9">
        <v>0.7169</v>
      </c>
      <c r="J263" s="9">
        <v>0.7169</v>
      </c>
      <c r="K263" s="9">
        <v>0.7169</v>
      </c>
      <c r="L263" s="9">
        <v>0.7169</v>
      </c>
      <c r="M263" s="9">
        <v>0.7169</v>
      </c>
      <c r="N263" s="9">
        <v>0.6941</v>
      </c>
      <c r="O263" s="9">
        <v>0.6713</v>
      </c>
      <c r="P263" s="9">
        <v>0.6635</v>
      </c>
      <c r="Q263" s="9">
        <v>0.6557</v>
      </c>
      <c r="R263" s="9">
        <v>0.648</v>
      </c>
      <c r="S263" s="9">
        <v>0.6519</v>
      </c>
      <c r="T263" s="9">
        <v>0.6559</v>
      </c>
      <c r="U263" s="9">
        <v>0.6431</v>
      </c>
      <c r="V263" s="9">
        <v>0.6304</v>
      </c>
      <c r="W263" s="9">
        <v>0.6177</v>
      </c>
      <c r="X263" s="9">
        <v>0.605</v>
      </c>
      <c r="Y263" s="9">
        <v>0.6518</v>
      </c>
      <c r="Z263" s="9">
        <v>0.6986</v>
      </c>
      <c r="AA263" s="9">
        <v>0.6991</v>
      </c>
      <c r="AB263" s="9">
        <v>0.6996</v>
      </c>
      <c r="AC263" s="9">
        <v>0.6942</v>
      </c>
      <c r="AD263" s="9">
        <v>0.6889</v>
      </c>
      <c r="AE263" s="9">
        <v>0.6835</v>
      </c>
      <c r="AF263" s="9">
        <v>0.6781</v>
      </c>
      <c r="AG263" s="9">
        <v>0.6838</v>
      </c>
      <c r="AH263" s="9">
        <v>0.6895</v>
      </c>
      <c r="AI263" s="9">
        <v>0.6952</v>
      </c>
      <c r="AJ263" s="9">
        <v>0.7009</v>
      </c>
      <c r="AK263" s="9">
        <v>0.7066</v>
      </c>
      <c r="AL263" s="9">
        <v>0.7011</v>
      </c>
      <c r="AM263" s="9">
        <v>0.6956</v>
      </c>
      <c r="AN263" s="9">
        <v>0.6901</v>
      </c>
      <c r="AO263" s="9">
        <v>0.6845</v>
      </c>
      <c r="AP263" s="9">
        <v>0.679</v>
      </c>
      <c r="AQ263" s="9">
        <v>0.6735</v>
      </c>
      <c r="AR263" s="9">
        <v>0.668</v>
      </c>
      <c r="AS263" s="9">
        <v>0.668</v>
      </c>
      <c r="AT263" s="9">
        <v>0.668</v>
      </c>
    </row>
    <row r="264" ht="14.25" customHeight="1">
      <c r="A264" s="2" t="s">
        <v>406</v>
      </c>
      <c r="B264" s="9">
        <v>0.6066</v>
      </c>
      <c r="C264" s="9">
        <v>0.6066</v>
      </c>
      <c r="D264" s="9">
        <v>0.6066</v>
      </c>
      <c r="E264" s="9">
        <v>0.6066</v>
      </c>
      <c r="F264" s="9">
        <v>0.6066</v>
      </c>
      <c r="G264" s="9">
        <v>0.6066</v>
      </c>
      <c r="H264" s="9">
        <v>0.6066</v>
      </c>
      <c r="I264" s="9">
        <v>0.6066</v>
      </c>
      <c r="J264" s="9">
        <v>0.6066</v>
      </c>
      <c r="K264" s="9">
        <v>0.6066</v>
      </c>
      <c r="L264" s="9">
        <v>0.6066</v>
      </c>
      <c r="M264" s="9">
        <v>0.6066</v>
      </c>
      <c r="N264" s="9">
        <v>0.6066</v>
      </c>
      <c r="O264" s="9">
        <v>0.6066</v>
      </c>
      <c r="P264" s="9">
        <v>0.6066</v>
      </c>
      <c r="Q264" s="9">
        <v>0.6066</v>
      </c>
      <c r="R264" s="9">
        <v>0.6066</v>
      </c>
      <c r="S264" s="9">
        <v>0.6066</v>
      </c>
      <c r="T264" s="9">
        <v>0.6066</v>
      </c>
      <c r="U264" s="9">
        <v>0.6066</v>
      </c>
      <c r="V264" s="9">
        <v>0.6066</v>
      </c>
      <c r="W264" s="9">
        <v>0.6066</v>
      </c>
      <c r="X264" s="9">
        <v>0.6066</v>
      </c>
      <c r="Y264" s="9">
        <v>0.6066</v>
      </c>
      <c r="Z264" s="9">
        <v>0.6066</v>
      </c>
      <c r="AA264" s="9">
        <v>0.6066</v>
      </c>
      <c r="AB264" s="9">
        <v>0.6066</v>
      </c>
      <c r="AC264" s="9">
        <v>0.6066</v>
      </c>
      <c r="AD264" s="9">
        <v>0.6066</v>
      </c>
      <c r="AE264" s="9">
        <v>0.6066</v>
      </c>
      <c r="AF264" s="9">
        <v>0.6066</v>
      </c>
      <c r="AG264" s="9">
        <v>0.6066</v>
      </c>
      <c r="AH264" s="9">
        <v>0.6086</v>
      </c>
      <c r="AI264" s="9">
        <v>0.6107</v>
      </c>
      <c r="AJ264" s="9">
        <v>0.6128</v>
      </c>
      <c r="AK264" s="9">
        <v>0.6149</v>
      </c>
      <c r="AL264" s="9">
        <v>0.617</v>
      </c>
      <c r="AM264" s="9">
        <v>0.619</v>
      </c>
      <c r="AN264" s="9">
        <v>0.646</v>
      </c>
      <c r="AO264" s="9">
        <v>0.6729</v>
      </c>
      <c r="AP264" s="9">
        <v>0.6729</v>
      </c>
      <c r="AQ264" s="9">
        <v>0.6729</v>
      </c>
      <c r="AR264" s="9">
        <v>0.6729</v>
      </c>
      <c r="AS264" s="9">
        <v>0.6729</v>
      </c>
      <c r="AT264" s="9">
        <v>0.6729</v>
      </c>
    </row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6" width="8.71"/>
  </cols>
  <sheetData>
    <row r="1" ht="14.25" customHeight="1">
      <c r="A1" s="10" t="s">
        <v>412</v>
      </c>
      <c r="B1" s="11">
        <v>1980.0</v>
      </c>
      <c r="C1" s="11">
        <v>1985.0</v>
      </c>
      <c r="D1" s="11">
        <v>1990.0</v>
      </c>
      <c r="E1" s="11">
        <v>1995.0</v>
      </c>
      <c r="F1" s="11">
        <v>2000.0</v>
      </c>
      <c r="G1" s="11">
        <v>2005.0</v>
      </c>
      <c r="H1" s="11">
        <v>2010.0</v>
      </c>
    </row>
    <row r="2" ht="14.25" customHeight="1">
      <c r="A2" s="10" t="s">
        <v>22</v>
      </c>
      <c r="B2" s="11">
        <v>1.2</v>
      </c>
      <c r="C2" s="11">
        <v>1.4</v>
      </c>
      <c r="D2" s="11">
        <v>1.8</v>
      </c>
      <c r="E2" s="11">
        <v>2.0</v>
      </c>
      <c r="F2" s="11">
        <v>1.5</v>
      </c>
      <c r="G2" s="11">
        <v>1.0</v>
      </c>
      <c r="H2" s="11">
        <v>4.0</v>
      </c>
    </row>
    <row r="3" ht="14.25" customHeight="1">
      <c r="A3" s="12" t="s">
        <v>23</v>
      </c>
      <c r="B3" s="13">
        <v>5.4</v>
      </c>
      <c r="C3" s="13">
        <v>10.5</v>
      </c>
      <c r="D3" s="13">
        <v>10.0</v>
      </c>
      <c r="E3" s="13">
        <v>11.1</v>
      </c>
      <c r="F3" s="13">
        <v>14.0</v>
      </c>
      <c r="G3" s="13">
        <v>25.0</v>
      </c>
      <c r="H3" s="13">
        <v>44.0</v>
      </c>
    </row>
    <row r="4" ht="14.25" customHeight="1">
      <c r="A4" s="12" t="s">
        <v>24</v>
      </c>
      <c r="B4" s="13">
        <v>6.2</v>
      </c>
      <c r="C4" s="13">
        <v>7.9</v>
      </c>
      <c r="D4" s="13">
        <v>11.4</v>
      </c>
      <c r="E4" s="13">
        <v>10.9</v>
      </c>
      <c r="F4" s="13">
        <v>14.0</v>
      </c>
      <c r="G4" s="13">
        <v>20.0</v>
      </c>
      <c r="H4" s="13">
        <v>29.0</v>
      </c>
    </row>
    <row r="5" ht="14.25" customHeight="1">
      <c r="A5" s="12" t="s">
        <v>25</v>
      </c>
      <c r="B5" s="13">
        <v>21.6</v>
      </c>
      <c r="C5" s="13">
        <v>35.7</v>
      </c>
      <c r="D5" s="13">
        <v>43.4</v>
      </c>
      <c r="E5" s="13">
        <v>41.8</v>
      </c>
      <c r="F5" s="13">
        <v>53.0</v>
      </c>
      <c r="G5" s="13">
        <v>64.0</v>
      </c>
      <c r="H5" s="13">
        <v>75.0</v>
      </c>
    </row>
    <row r="6" ht="14.25" customHeight="1">
      <c r="A6" s="12" t="s">
        <v>26</v>
      </c>
      <c r="B6" s="13">
        <v>25.4</v>
      </c>
      <c r="C6" s="13">
        <v>27.7</v>
      </c>
      <c r="D6" s="13">
        <v>35.5</v>
      </c>
      <c r="E6" s="13">
        <v>71.7</v>
      </c>
      <c r="F6" s="13">
        <v>65.0</v>
      </c>
      <c r="G6" s="13">
        <v>71.0</v>
      </c>
      <c r="H6" s="13">
        <v>80.0</v>
      </c>
    </row>
    <row r="7" ht="14.25" customHeight="1">
      <c r="A7" s="12" t="s">
        <v>27</v>
      </c>
      <c r="B7" s="13">
        <v>23.2</v>
      </c>
      <c r="C7" s="13">
        <v>26.4</v>
      </c>
      <c r="D7" s="13">
        <v>35.2</v>
      </c>
      <c r="E7" s="13">
        <v>46.6</v>
      </c>
      <c r="F7" s="13">
        <v>57.0</v>
      </c>
      <c r="G7" s="13">
        <v>47.0</v>
      </c>
      <c r="H7" s="13">
        <v>69.0</v>
      </c>
    </row>
    <row r="8" ht="14.25" customHeight="1">
      <c r="A8" s="12" t="s">
        <v>28</v>
      </c>
      <c r="B8" s="13">
        <v>3.0</v>
      </c>
      <c r="C8" s="13">
        <v>4.8</v>
      </c>
      <c r="D8" s="13">
        <v>4.4</v>
      </c>
      <c r="E8" s="13">
        <v>5.0</v>
      </c>
      <c r="F8" s="13">
        <v>5.0</v>
      </c>
      <c r="G8" s="13">
        <v>6.0</v>
      </c>
      <c r="H8" s="13">
        <v>10.0</v>
      </c>
    </row>
    <row r="9" ht="14.25" customHeight="1">
      <c r="A9" s="12" t="s">
        <v>29</v>
      </c>
      <c r="B9" s="13">
        <v>15.5</v>
      </c>
      <c r="C9" s="13">
        <v>19.4</v>
      </c>
      <c r="D9" s="13">
        <v>17.6</v>
      </c>
      <c r="E9" s="13">
        <v>28.1</v>
      </c>
      <c r="F9" s="13">
        <v>41.0</v>
      </c>
      <c r="G9" s="13">
        <v>57.0</v>
      </c>
      <c r="H9" s="13">
        <v>65.0</v>
      </c>
    </row>
    <row r="10" ht="14.25" customHeight="1">
      <c r="A10" s="12" t="s">
        <v>30</v>
      </c>
      <c r="B10" s="13">
        <v>26.3</v>
      </c>
      <c r="C10" s="13">
        <v>32.2</v>
      </c>
      <c r="D10" s="13">
        <v>40.2</v>
      </c>
      <c r="E10" s="13">
        <v>54.4</v>
      </c>
      <c r="F10" s="13">
        <v>58.0</v>
      </c>
      <c r="G10" s="13">
        <v>62.0</v>
      </c>
      <c r="H10" s="13">
        <v>68.0</v>
      </c>
    </row>
    <row r="11" ht="14.25" customHeight="1">
      <c r="A11" s="12" t="s">
        <v>413</v>
      </c>
      <c r="B11" s="13">
        <v>0.0</v>
      </c>
      <c r="C11" s="13">
        <v>0.0</v>
      </c>
      <c r="D11" s="13">
        <v>0.0</v>
      </c>
      <c r="E11" s="13">
        <v>0.0</v>
      </c>
      <c r="F11" s="13">
        <v>15.0</v>
      </c>
      <c r="G11" s="13">
        <v>16.0</v>
      </c>
      <c r="H11" s="13">
        <v>23.0</v>
      </c>
    </row>
    <row r="12" ht="14.25" customHeight="1">
      <c r="A12" s="12" t="s">
        <v>31</v>
      </c>
      <c r="B12" s="13">
        <v>1.6</v>
      </c>
      <c r="C12" s="13">
        <v>2.4</v>
      </c>
      <c r="D12" s="13">
        <v>2.7</v>
      </c>
      <c r="E12" s="13">
        <v>2.6</v>
      </c>
      <c r="F12" s="13">
        <v>4.0</v>
      </c>
      <c r="G12" s="13">
        <v>6.0</v>
      </c>
      <c r="H12" s="13">
        <v>10.0</v>
      </c>
    </row>
    <row r="13" ht="14.25" customHeight="1">
      <c r="A13" s="12" t="s">
        <v>32</v>
      </c>
      <c r="B13" s="13">
        <v>12.6</v>
      </c>
      <c r="C13" s="13">
        <v>16.0</v>
      </c>
      <c r="D13" s="13">
        <v>22.2</v>
      </c>
      <c r="E13" s="13">
        <v>23.0</v>
      </c>
      <c r="F13" s="13">
        <v>35.0</v>
      </c>
      <c r="G13" s="13">
        <v>40.0</v>
      </c>
      <c r="H13" s="13">
        <v>45.78</v>
      </c>
    </row>
    <row r="14" ht="14.25" customHeight="1">
      <c r="A14" s="12" t="s">
        <v>414</v>
      </c>
      <c r="B14" s="13">
        <v>11.9</v>
      </c>
      <c r="C14" s="13">
        <v>10.5</v>
      </c>
      <c r="D14" s="13">
        <v>11.2</v>
      </c>
      <c r="E14" s="13">
        <v>11.3</v>
      </c>
      <c r="F14" s="13">
        <v>16.0</v>
      </c>
      <c r="G14" s="13">
        <v>25.0</v>
      </c>
      <c r="H14" s="13">
        <v>29.51</v>
      </c>
    </row>
    <row r="15" ht="14.25" customHeight="1">
      <c r="A15" s="12" t="s">
        <v>33</v>
      </c>
      <c r="B15" s="13">
        <v>16.1</v>
      </c>
      <c r="C15" s="13">
        <v>18.9</v>
      </c>
      <c r="D15" s="13">
        <v>31.1</v>
      </c>
      <c r="E15" s="13">
        <v>39.4</v>
      </c>
      <c r="F15" s="13">
        <v>44.0</v>
      </c>
      <c r="G15" s="13">
        <v>44.0</v>
      </c>
      <c r="H15" s="13">
        <v>58.0</v>
      </c>
    </row>
    <row r="16" ht="14.25" customHeight="1">
      <c r="A16" s="12" t="s">
        <v>34</v>
      </c>
      <c r="B16" s="13">
        <v>0.73</v>
      </c>
      <c r="C16" s="13">
        <v>0.86</v>
      </c>
      <c r="D16" s="13">
        <v>1.0</v>
      </c>
      <c r="E16" s="13">
        <v>1.5</v>
      </c>
      <c r="F16" s="13">
        <v>2.0</v>
      </c>
      <c r="G16" s="13">
        <v>3.0</v>
      </c>
      <c r="H16" s="13">
        <v>14.0</v>
      </c>
    </row>
    <row r="17" ht="14.25" customHeight="1">
      <c r="A17" s="12" t="s">
        <v>35</v>
      </c>
      <c r="B17" s="13">
        <v>1.6</v>
      </c>
      <c r="C17" s="13">
        <v>2.2</v>
      </c>
      <c r="D17" s="13">
        <v>3.3</v>
      </c>
      <c r="E17" s="13">
        <v>3.79</v>
      </c>
      <c r="F17" s="13">
        <v>5.0</v>
      </c>
      <c r="G17" s="13">
        <v>6.0</v>
      </c>
      <c r="H17" s="13">
        <v>11.0</v>
      </c>
    </row>
    <row r="18" ht="14.25" customHeight="1">
      <c r="A18" s="12" t="s">
        <v>36</v>
      </c>
      <c r="B18" s="13">
        <v>42.1</v>
      </c>
      <c r="C18" s="13">
        <v>69.6</v>
      </c>
      <c r="D18" s="13">
        <v>94.7</v>
      </c>
      <c r="E18" s="13">
        <v>91.3</v>
      </c>
      <c r="F18" s="13">
        <v>59.0</v>
      </c>
      <c r="G18" s="13">
        <v>62.0</v>
      </c>
      <c r="H18" s="13">
        <v>68.6</v>
      </c>
    </row>
    <row r="19" ht="14.25" customHeight="1">
      <c r="A19" s="12" t="s">
        <v>37</v>
      </c>
      <c r="B19" s="13">
        <v>13.2</v>
      </c>
      <c r="C19" s="13">
        <v>15.6</v>
      </c>
      <c r="D19" s="13">
        <v>20.7</v>
      </c>
      <c r="E19" s="13">
        <v>28.2</v>
      </c>
      <c r="F19" s="13">
        <v>37.0</v>
      </c>
      <c r="G19" s="13">
        <v>48.0</v>
      </c>
      <c r="H19" s="13">
        <v>66.0</v>
      </c>
    </row>
    <row r="20" ht="14.25" customHeight="1">
      <c r="A20" s="12" t="s">
        <v>38</v>
      </c>
      <c r="B20" s="13">
        <v>1.3</v>
      </c>
      <c r="C20" s="13">
        <v>2.9</v>
      </c>
      <c r="D20" s="13">
        <v>2.9</v>
      </c>
      <c r="E20" s="13">
        <v>5.3</v>
      </c>
      <c r="F20" s="13">
        <v>8.0</v>
      </c>
      <c r="G20" s="13">
        <v>18.0</v>
      </c>
      <c r="H20" s="13">
        <v>23.0</v>
      </c>
    </row>
    <row r="21" ht="14.25" customHeight="1">
      <c r="A21" s="12" t="s">
        <v>39</v>
      </c>
      <c r="B21" s="13">
        <v>10.6</v>
      </c>
      <c r="C21" s="13">
        <v>11.3</v>
      </c>
      <c r="D21" s="13">
        <v>14.7</v>
      </c>
      <c r="E21" s="13">
        <v>17.2</v>
      </c>
      <c r="F21" s="13">
        <v>24.0</v>
      </c>
      <c r="G21" s="13">
        <v>30.0</v>
      </c>
      <c r="H21" s="13">
        <v>39.0</v>
      </c>
    </row>
    <row r="22" ht="14.25" customHeight="1">
      <c r="A22" s="12" t="s">
        <v>415</v>
      </c>
      <c r="B22" s="13">
        <v>1.2</v>
      </c>
      <c r="C22" s="13">
        <v>1.5</v>
      </c>
      <c r="D22" s="13">
        <v>2.1</v>
      </c>
      <c r="E22" s="13">
        <v>2.41</v>
      </c>
      <c r="F22" s="13">
        <v>1.0</v>
      </c>
      <c r="G22" s="13">
        <v>5.0</v>
      </c>
      <c r="H22" s="13">
        <v>7.0</v>
      </c>
    </row>
    <row r="23" ht="14.25" customHeight="1">
      <c r="A23" s="12" t="s">
        <v>40</v>
      </c>
      <c r="B23" s="13">
        <v>23.3</v>
      </c>
      <c r="C23" s="13">
        <v>22.0</v>
      </c>
      <c r="D23" s="13">
        <v>26.3</v>
      </c>
      <c r="E23" s="13">
        <v>31.9</v>
      </c>
      <c r="F23" s="13">
        <v>16.0</v>
      </c>
      <c r="G23" s="13">
        <v>25.0</v>
      </c>
      <c r="H23" s="13">
        <v>44.0</v>
      </c>
    </row>
    <row r="24" ht="14.25" customHeight="1">
      <c r="A24" s="12" t="s">
        <v>416</v>
      </c>
      <c r="B24" s="13">
        <v>1.77</v>
      </c>
      <c r="C24" s="13">
        <v>2.6</v>
      </c>
      <c r="D24" s="13">
        <v>3.5</v>
      </c>
      <c r="E24" s="13">
        <v>4.4</v>
      </c>
      <c r="F24" s="13">
        <v>7.0</v>
      </c>
      <c r="G24" s="13">
        <v>10.0</v>
      </c>
      <c r="H24" s="13">
        <v>8.0</v>
      </c>
    </row>
    <row r="25" ht="14.25" customHeight="1">
      <c r="A25" s="12" t="s">
        <v>42</v>
      </c>
      <c r="B25" s="13">
        <v>19.5</v>
      </c>
      <c r="C25" s="13">
        <v>20.1</v>
      </c>
      <c r="D25" s="13">
        <v>20.9</v>
      </c>
      <c r="E25" s="13">
        <v>12.7</v>
      </c>
      <c r="F25" s="13">
        <v>22.0</v>
      </c>
      <c r="G25" s="13">
        <v>62.0</v>
      </c>
      <c r="H25" s="13">
        <v>95.0</v>
      </c>
    </row>
    <row r="26" ht="14.25" customHeight="1">
      <c r="A26" s="12" t="s">
        <v>43</v>
      </c>
      <c r="B26" s="13">
        <v>4.0</v>
      </c>
      <c r="C26" s="13">
        <v>7.0</v>
      </c>
      <c r="D26" s="13">
        <v>15.0</v>
      </c>
      <c r="E26" s="13">
        <v>20.0</v>
      </c>
      <c r="F26" s="13">
        <v>20.0</v>
      </c>
      <c r="G26" s="13">
        <v>33.0</v>
      </c>
      <c r="H26" s="13">
        <v>48.0</v>
      </c>
    </row>
    <row r="27" ht="14.25" customHeight="1">
      <c r="A27" s="12" t="s">
        <v>417</v>
      </c>
      <c r="B27" s="13">
        <v>17.1</v>
      </c>
      <c r="C27" s="13">
        <v>16.0</v>
      </c>
      <c r="D27" s="13">
        <v>17.9</v>
      </c>
      <c r="E27" s="13">
        <v>20.58</v>
      </c>
      <c r="F27" s="13">
        <v>28.0</v>
      </c>
      <c r="G27" s="13">
        <v>49.0</v>
      </c>
      <c r="H27" s="13">
        <v>63.0</v>
      </c>
    </row>
    <row r="28" ht="14.25" customHeight="1">
      <c r="A28" s="12" t="s">
        <v>46</v>
      </c>
      <c r="B28" s="13">
        <v>28.6</v>
      </c>
      <c r="C28" s="13">
        <v>29.1</v>
      </c>
      <c r="D28" s="13">
        <v>36.5</v>
      </c>
      <c r="E28" s="13">
        <v>45.0</v>
      </c>
      <c r="F28" s="13">
        <v>57.0</v>
      </c>
      <c r="G28" s="13">
        <v>80.0</v>
      </c>
      <c r="H28" s="13">
        <v>74.0</v>
      </c>
    </row>
    <row r="29" ht="14.25" customHeight="1">
      <c r="A29" s="12" t="s">
        <v>418</v>
      </c>
      <c r="B29" s="13">
        <v>14.0</v>
      </c>
      <c r="C29" s="13">
        <v>18.0</v>
      </c>
      <c r="D29" s="13">
        <v>24.71</v>
      </c>
      <c r="E29" s="13">
        <v>25.0</v>
      </c>
      <c r="F29" s="13">
        <v>29.0</v>
      </c>
      <c r="G29" s="13">
        <v>33.0</v>
      </c>
      <c r="H29" s="13">
        <v>40.93</v>
      </c>
    </row>
    <row r="30" ht="14.25" customHeight="1">
      <c r="A30" s="12" t="s">
        <v>48</v>
      </c>
      <c r="B30" s="13">
        <v>36.5</v>
      </c>
      <c r="C30" s="13">
        <v>33.1</v>
      </c>
      <c r="D30" s="13">
        <v>20.0</v>
      </c>
      <c r="E30" s="13">
        <v>22.0</v>
      </c>
      <c r="F30" s="13">
        <v>27.67</v>
      </c>
      <c r="G30" s="13">
        <v>33.33</v>
      </c>
      <c r="H30" s="13">
        <v>39.0</v>
      </c>
    </row>
    <row r="31" ht="14.25" customHeight="1">
      <c r="A31" s="12" t="s">
        <v>419</v>
      </c>
      <c r="B31" s="13">
        <v>17.6</v>
      </c>
      <c r="C31" s="13">
        <v>18.1</v>
      </c>
      <c r="D31" s="13">
        <v>15.9</v>
      </c>
      <c r="E31" s="13">
        <v>20.3</v>
      </c>
      <c r="F31" s="13">
        <v>32.0</v>
      </c>
      <c r="G31" s="13">
        <v>32.0</v>
      </c>
      <c r="H31" s="13">
        <v>33.0</v>
      </c>
    </row>
    <row r="32" ht="14.25" customHeight="1">
      <c r="A32" s="12" t="s">
        <v>50</v>
      </c>
      <c r="B32" s="13">
        <v>3.9</v>
      </c>
      <c r="C32" s="13">
        <v>17.9</v>
      </c>
      <c r="D32" s="13">
        <v>17.4</v>
      </c>
      <c r="E32" s="13">
        <v>17.7</v>
      </c>
      <c r="F32" s="13">
        <v>21.0</v>
      </c>
      <c r="G32" s="13">
        <v>21.0</v>
      </c>
      <c r="H32" s="13">
        <v>23.0</v>
      </c>
    </row>
    <row r="33" ht="14.25" customHeight="1">
      <c r="A33" s="12" t="s">
        <v>51</v>
      </c>
      <c r="B33" s="13">
        <v>2.4</v>
      </c>
      <c r="C33" s="13">
        <v>3.2</v>
      </c>
      <c r="D33" s="13">
        <v>12.8</v>
      </c>
      <c r="E33" s="13">
        <v>14.0</v>
      </c>
      <c r="F33" s="13">
        <v>15.0</v>
      </c>
      <c r="G33" s="13">
        <v>16.0</v>
      </c>
      <c r="H33" s="13">
        <v>62.0</v>
      </c>
    </row>
    <row r="34" ht="14.25" customHeight="1">
      <c r="A34" s="12" t="s">
        <v>52</v>
      </c>
      <c r="B34" s="13">
        <v>32.1</v>
      </c>
      <c r="C34" s="13">
        <v>34.1</v>
      </c>
      <c r="D34" s="13">
        <v>48.9</v>
      </c>
      <c r="E34" s="13">
        <v>70.3</v>
      </c>
      <c r="F34" s="13">
        <v>82.0</v>
      </c>
      <c r="G34" s="13">
        <v>92.0</v>
      </c>
      <c r="H34" s="13">
        <v>94.0</v>
      </c>
    </row>
    <row r="35" ht="14.25" customHeight="1">
      <c r="A35" s="12" t="s">
        <v>53</v>
      </c>
      <c r="B35" s="13">
        <v>25.5</v>
      </c>
      <c r="C35" s="13">
        <v>29.8</v>
      </c>
      <c r="D35" s="13">
        <v>39.6</v>
      </c>
      <c r="E35" s="13">
        <v>51.0</v>
      </c>
      <c r="F35" s="13">
        <v>57.0</v>
      </c>
      <c r="G35" s="13">
        <v>54.0</v>
      </c>
      <c r="H35" s="13">
        <v>56.0</v>
      </c>
    </row>
    <row r="36" ht="14.25" customHeight="1">
      <c r="A36" s="12" t="s">
        <v>420</v>
      </c>
      <c r="B36" s="13">
        <v>0.0</v>
      </c>
      <c r="C36" s="13">
        <v>0.0</v>
      </c>
      <c r="D36" s="13">
        <v>0.0</v>
      </c>
      <c r="E36" s="13">
        <v>1.7</v>
      </c>
      <c r="F36" s="13">
        <v>1.0</v>
      </c>
      <c r="G36" s="13">
        <v>1.0</v>
      </c>
      <c r="H36" s="13">
        <v>4.0</v>
      </c>
    </row>
    <row r="37" ht="14.25" customHeight="1">
      <c r="A37" s="12" t="s">
        <v>55</v>
      </c>
      <c r="B37" s="13">
        <v>26.2</v>
      </c>
      <c r="C37" s="13">
        <v>29.9</v>
      </c>
      <c r="D37" s="13">
        <v>33.9</v>
      </c>
      <c r="E37" s="13">
        <v>44.4</v>
      </c>
      <c r="F37" s="13">
        <v>48.6</v>
      </c>
      <c r="G37" s="13">
        <v>52.8</v>
      </c>
      <c r="H37" s="13">
        <v>57.0</v>
      </c>
    </row>
    <row r="38" ht="14.25" customHeight="1">
      <c r="A38" s="12" t="s">
        <v>56</v>
      </c>
      <c r="B38" s="13">
        <v>1.3</v>
      </c>
      <c r="C38" s="13">
        <v>1.4</v>
      </c>
      <c r="D38" s="13">
        <v>1.4</v>
      </c>
      <c r="E38" s="13">
        <v>1.5</v>
      </c>
      <c r="F38" s="13">
        <v>3.0</v>
      </c>
      <c r="G38" s="13">
        <v>6.0</v>
      </c>
      <c r="H38" s="13">
        <v>9.0</v>
      </c>
    </row>
    <row r="39" ht="14.25" customHeight="1">
      <c r="A39" s="12" t="s">
        <v>57</v>
      </c>
      <c r="B39" s="13">
        <v>17.4</v>
      </c>
      <c r="C39" s="13">
        <v>24.2</v>
      </c>
      <c r="D39" s="13">
        <v>24.8</v>
      </c>
      <c r="E39" s="13">
        <v>42.5</v>
      </c>
      <c r="F39" s="13">
        <v>51.0</v>
      </c>
      <c r="G39" s="13">
        <v>90.0</v>
      </c>
      <c r="H39" s="13">
        <v>92.25</v>
      </c>
    </row>
    <row r="40" ht="14.25" customHeight="1">
      <c r="A40" s="12" t="s">
        <v>58</v>
      </c>
      <c r="B40" s="13">
        <v>8.4</v>
      </c>
      <c r="C40" s="13">
        <v>8.1</v>
      </c>
      <c r="D40" s="13">
        <v>8.4</v>
      </c>
      <c r="E40" s="13">
        <v>8.1</v>
      </c>
      <c r="F40" s="13">
        <v>9.0</v>
      </c>
      <c r="G40" s="13">
        <v>18.0</v>
      </c>
      <c r="H40" s="13">
        <v>23.36</v>
      </c>
    </row>
    <row r="41" ht="14.25" customHeight="1">
      <c r="A41" s="12" t="s">
        <v>59</v>
      </c>
      <c r="B41" s="13">
        <v>2.6</v>
      </c>
      <c r="C41" s="13">
        <v>2.4</v>
      </c>
      <c r="D41" s="13">
        <v>5.0</v>
      </c>
      <c r="E41" s="13">
        <v>9.7</v>
      </c>
      <c r="F41" s="13">
        <v>10.35</v>
      </c>
      <c r="G41" s="13">
        <v>11.0</v>
      </c>
      <c r="H41" s="13">
        <v>11.0</v>
      </c>
    </row>
    <row r="42" ht="14.25" customHeight="1">
      <c r="A42" s="12" t="s">
        <v>60</v>
      </c>
      <c r="B42" s="13">
        <v>1.0</v>
      </c>
      <c r="C42" s="13">
        <v>1.1</v>
      </c>
      <c r="D42" s="13">
        <v>1.44</v>
      </c>
      <c r="E42" s="13">
        <v>1.5</v>
      </c>
      <c r="F42" s="13">
        <v>1.88</v>
      </c>
      <c r="G42" s="13">
        <v>2.35</v>
      </c>
      <c r="H42" s="13">
        <v>2.93</v>
      </c>
    </row>
    <row r="43" ht="14.25" customHeight="1">
      <c r="A43" s="12" t="s">
        <v>61</v>
      </c>
      <c r="B43" s="13">
        <v>8.3</v>
      </c>
      <c r="C43" s="13">
        <v>8.8</v>
      </c>
      <c r="D43" s="13">
        <v>9.1</v>
      </c>
      <c r="E43" s="13">
        <v>10.0</v>
      </c>
      <c r="F43" s="13">
        <v>15.0</v>
      </c>
      <c r="G43" s="13">
        <v>17.0</v>
      </c>
      <c r="H43" s="13">
        <v>21.0</v>
      </c>
    </row>
    <row r="44" ht="14.25" customHeight="1">
      <c r="A44" s="12" t="s">
        <v>421</v>
      </c>
      <c r="B44" s="13">
        <v>10.5</v>
      </c>
      <c r="C44" s="13">
        <v>13.3</v>
      </c>
      <c r="D44" s="13">
        <v>19.4</v>
      </c>
      <c r="E44" s="13">
        <v>21.9</v>
      </c>
      <c r="F44" s="13">
        <v>26.95</v>
      </c>
      <c r="G44" s="13">
        <v>32.0</v>
      </c>
      <c r="H44" s="13">
        <v>58.0</v>
      </c>
    </row>
    <row r="45" ht="14.25" customHeight="1">
      <c r="A45" s="12" t="s">
        <v>63</v>
      </c>
      <c r="B45" s="13">
        <v>12.9</v>
      </c>
      <c r="C45" s="13">
        <v>15.4</v>
      </c>
      <c r="D45" s="13">
        <v>14.0</v>
      </c>
      <c r="E45" s="13">
        <v>23.8</v>
      </c>
      <c r="F45" s="13">
        <v>36.0</v>
      </c>
      <c r="G45" s="13">
        <v>65.0</v>
      </c>
      <c r="H45" s="13">
        <v>60.0</v>
      </c>
    </row>
    <row r="46" ht="14.25" customHeight="1">
      <c r="A46" s="12" t="s">
        <v>64</v>
      </c>
      <c r="B46" s="13">
        <v>20.9</v>
      </c>
      <c r="C46" s="13">
        <v>21.1</v>
      </c>
      <c r="D46" s="13">
        <v>24.8</v>
      </c>
      <c r="E46" s="13">
        <v>35.6</v>
      </c>
      <c r="F46" s="13">
        <v>45.0</v>
      </c>
      <c r="G46" s="13">
        <v>70.0</v>
      </c>
      <c r="H46" s="13">
        <v>78.0</v>
      </c>
    </row>
    <row r="47" ht="14.25" customHeight="1">
      <c r="A47" s="12" t="s">
        <v>65</v>
      </c>
      <c r="B47" s="13">
        <v>8.8</v>
      </c>
      <c r="C47" s="13">
        <v>6.0</v>
      </c>
      <c r="D47" s="13">
        <v>6.0</v>
      </c>
      <c r="E47" s="13">
        <v>6.4</v>
      </c>
      <c r="F47" s="13">
        <v>10.0</v>
      </c>
      <c r="G47" s="13">
        <v>11.0</v>
      </c>
      <c r="H47" s="13">
        <v>18.0</v>
      </c>
    </row>
    <row r="48" ht="14.25" customHeight="1">
      <c r="A48" s="12" t="s">
        <v>66</v>
      </c>
      <c r="B48" s="13">
        <v>3.9</v>
      </c>
      <c r="C48" s="13">
        <v>6.5</v>
      </c>
      <c r="D48" s="13">
        <v>9.2</v>
      </c>
      <c r="E48" s="13">
        <v>11.1</v>
      </c>
      <c r="F48" s="13">
        <v>15.0</v>
      </c>
      <c r="G48" s="13">
        <v>18.0</v>
      </c>
      <c r="H48" s="13">
        <v>25.0</v>
      </c>
    </row>
    <row r="49" ht="14.25" customHeight="1">
      <c r="A49" s="12" t="s">
        <v>422</v>
      </c>
      <c r="B49" s="13">
        <v>4.0</v>
      </c>
      <c r="C49" s="13">
        <v>4.1</v>
      </c>
      <c r="D49" s="13">
        <v>9.6</v>
      </c>
      <c r="E49" s="13">
        <v>17.1</v>
      </c>
      <c r="F49" s="13">
        <v>19.0</v>
      </c>
      <c r="G49" s="13">
        <v>23.0</v>
      </c>
      <c r="H49" s="13">
        <v>43.0</v>
      </c>
    </row>
    <row r="50" ht="14.25" customHeight="1">
      <c r="A50" s="12" t="s">
        <v>68</v>
      </c>
      <c r="B50" s="13">
        <v>9.3</v>
      </c>
      <c r="C50" s="13">
        <v>11.5</v>
      </c>
      <c r="D50" s="13">
        <v>13.8</v>
      </c>
      <c r="E50" s="13">
        <v>11.2</v>
      </c>
      <c r="F50" s="13">
        <v>12.0</v>
      </c>
      <c r="G50" s="13">
        <v>16.0</v>
      </c>
      <c r="H50" s="13">
        <v>20.91</v>
      </c>
    </row>
    <row r="51" ht="14.25" customHeight="1">
      <c r="A51" s="12" t="s">
        <v>69</v>
      </c>
      <c r="B51" s="13">
        <v>20.3</v>
      </c>
      <c r="C51" s="13">
        <v>22.3</v>
      </c>
      <c r="D51" s="13">
        <v>29.3</v>
      </c>
      <c r="E51" s="13">
        <v>38.5</v>
      </c>
      <c r="F51" s="13">
        <v>50.0</v>
      </c>
      <c r="G51" s="13">
        <v>56.0</v>
      </c>
      <c r="H51" s="13">
        <v>71.0</v>
      </c>
    </row>
    <row r="52" ht="14.25" customHeight="1">
      <c r="A52" s="12" t="s">
        <v>70</v>
      </c>
      <c r="B52" s="13">
        <v>27.7</v>
      </c>
      <c r="C52" s="13">
        <v>25.5</v>
      </c>
      <c r="D52" s="13">
        <v>30.8</v>
      </c>
      <c r="E52" s="13">
        <v>41.4</v>
      </c>
      <c r="F52" s="13">
        <v>49.0</v>
      </c>
      <c r="G52" s="13">
        <v>64.0</v>
      </c>
      <c r="H52" s="13">
        <v>64.0</v>
      </c>
    </row>
    <row r="53" ht="14.25" customHeight="1">
      <c r="A53" s="12" t="s">
        <v>71</v>
      </c>
      <c r="B53" s="13">
        <v>6.2</v>
      </c>
      <c r="C53" s="13">
        <v>4.4</v>
      </c>
      <c r="D53" s="13">
        <v>6.0</v>
      </c>
      <c r="E53" s="13">
        <v>7.5</v>
      </c>
      <c r="F53" s="13">
        <v>15.0</v>
      </c>
      <c r="G53" s="13">
        <v>20.0</v>
      </c>
      <c r="H53" s="13">
        <v>29.0</v>
      </c>
    </row>
    <row r="54" ht="14.25" customHeight="1">
      <c r="A54" s="12" t="s">
        <v>72</v>
      </c>
      <c r="B54" s="13">
        <v>30.5</v>
      </c>
      <c r="C54" s="13">
        <v>27.8</v>
      </c>
      <c r="D54" s="13">
        <v>29.1</v>
      </c>
      <c r="E54" s="13">
        <v>40.3</v>
      </c>
      <c r="F54" s="13">
        <v>49.0</v>
      </c>
      <c r="G54" s="13">
        <v>55.0</v>
      </c>
      <c r="H54" s="13">
        <v>58.0</v>
      </c>
    </row>
    <row r="55" ht="14.25" customHeight="1">
      <c r="A55" s="12" t="s">
        <v>73</v>
      </c>
      <c r="B55" s="13">
        <v>26.6</v>
      </c>
      <c r="C55" s="13">
        <v>37.4</v>
      </c>
      <c r="D55" s="13">
        <v>24.5</v>
      </c>
      <c r="E55" s="13">
        <v>27.0</v>
      </c>
      <c r="F55" s="13">
        <v>28.0</v>
      </c>
      <c r="G55" s="13">
        <v>40.0</v>
      </c>
      <c r="H55" s="13">
        <v>40.0</v>
      </c>
    </row>
    <row r="56" ht="14.25" customHeight="1">
      <c r="A56" s="12" t="s">
        <v>74</v>
      </c>
      <c r="B56" s="13">
        <v>0.9</v>
      </c>
      <c r="C56" s="13">
        <v>1.2</v>
      </c>
      <c r="D56" s="13">
        <v>1.6</v>
      </c>
      <c r="E56" s="13">
        <v>2.0</v>
      </c>
      <c r="F56" s="13">
        <v>3.0</v>
      </c>
      <c r="G56" s="13">
        <v>3.0</v>
      </c>
      <c r="H56" s="13">
        <v>4.0</v>
      </c>
    </row>
    <row r="57" ht="14.25" customHeight="1">
      <c r="A57" s="12" t="s">
        <v>75</v>
      </c>
      <c r="B57" s="13">
        <v>10.9</v>
      </c>
      <c r="C57" s="13">
        <v>16.6</v>
      </c>
      <c r="D57" s="13">
        <v>15.0</v>
      </c>
      <c r="E57" s="13">
        <v>25.4</v>
      </c>
      <c r="F57" s="13">
        <v>23.0</v>
      </c>
      <c r="G57" s="13">
        <v>22.0</v>
      </c>
      <c r="H57" s="13">
        <v>26.64</v>
      </c>
    </row>
    <row r="58" ht="14.25" customHeight="1">
      <c r="A58" s="12" t="s">
        <v>76</v>
      </c>
      <c r="B58" s="13">
        <v>1.7</v>
      </c>
      <c r="C58" s="13">
        <v>1.3</v>
      </c>
      <c r="D58" s="13">
        <v>1.3</v>
      </c>
      <c r="E58" s="13">
        <v>2.3</v>
      </c>
      <c r="F58" s="13">
        <v>2.0</v>
      </c>
      <c r="G58" s="13">
        <v>4.0</v>
      </c>
      <c r="H58" s="13">
        <v>11.0</v>
      </c>
    </row>
    <row r="59" ht="14.25" customHeight="1">
      <c r="A59" s="12" t="s">
        <v>77</v>
      </c>
      <c r="B59" s="13">
        <v>2.3</v>
      </c>
      <c r="C59" s="13">
        <v>2.6</v>
      </c>
      <c r="D59" s="13">
        <v>3.5</v>
      </c>
      <c r="E59" s="13">
        <v>4.03</v>
      </c>
      <c r="F59" s="13">
        <v>19.0</v>
      </c>
      <c r="G59" s="13">
        <v>14.0</v>
      </c>
      <c r="H59" s="13">
        <v>9.0</v>
      </c>
    </row>
    <row r="60" ht="14.25" customHeight="1">
      <c r="A60" s="12" t="s">
        <v>78</v>
      </c>
      <c r="B60" s="13">
        <v>8.2</v>
      </c>
      <c r="C60" s="13">
        <v>9.2</v>
      </c>
      <c r="D60" s="13">
        <v>13.7</v>
      </c>
      <c r="E60" s="13">
        <v>15.76</v>
      </c>
      <c r="F60" s="13">
        <v>50.0</v>
      </c>
      <c r="G60" s="13">
        <v>61.0</v>
      </c>
      <c r="H60" s="13">
        <v>67.84</v>
      </c>
    </row>
    <row r="61" ht="14.25" customHeight="1">
      <c r="A61" s="12" t="s">
        <v>79</v>
      </c>
      <c r="B61" s="13">
        <v>2.5</v>
      </c>
      <c r="C61" s="13">
        <v>2.8</v>
      </c>
      <c r="D61" s="13">
        <v>5.2</v>
      </c>
      <c r="E61" s="13">
        <v>7.6</v>
      </c>
      <c r="F61" s="13">
        <v>10.0</v>
      </c>
      <c r="G61" s="13">
        <v>10.0</v>
      </c>
      <c r="H61" s="13">
        <v>18.0</v>
      </c>
    </row>
    <row r="62" ht="14.25" customHeight="1">
      <c r="A62" s="12" t="s">
        <v>80</v>
      </c>
      <c r="B62" s="13">
        <v>0.7</v>
      </c>
      <c r="C62" s="13">
        <v>0.6</v>
      </c>
      <c r="D62" s="13">
        <v>0.7</v>
      </c>
      <c r="E62" s="13">
        <v>0.8</v>
      </c>
      <c r="F62" s="13">
        <v>0.0</v>
      </c>
      <c r="G62" s="13">
        <v>1.0</v>
      </c>
      <c r="H62" s="13">
        <v>1.0</v>
      </c>
    </row>
    <row r="63" ht="14.25" customHeight="1">
      <c r="A63" s="12" t="s">
        <v>81</v>
      </c>
      <c r="B63" s="13">
        <v>4.3</v>
      </c>
      <c r="C63" s="13">
        <v>5.9</v>
      </c>
      <c r="D63" s="13">
        <v>7.2</v>
      </c>
      <c r="E63" s="13">
        <v>10.6</v>
      </c>
      <c r="F63" s="13">
        <v>26.0</v>
      </c>
      <c r="G63" s="13">
        <v>28.0</v>
      </c>
      <c r="H63" s="13">
        <v>37.0</v>
      </c>
    </row>
    <row r="64" ht="14.25" customHeight="1">
      <c r="A64" s="12" t="s">
        <v>82</v>
      </c>
      <c r="B64" s="13">
        <v>0.3</v>
      </c>
      <c r="C64" s="13">
        <v>0.9</v>
      </c>
      <c r="D64" s="13">
        <v>0.8</v>
      </c>
      <c r="E64" s="13">
        <v>1.0</v>
      </c>
      <c r="F64" s="13">
        <v>2.0</v>
      </c>
      <c r="G64" s="13">
        <v>5.0</v>
      </c>
      <c r="H64" s="13">
        <v>7.0</v>
      </c>
    </row>
    <row r="65" ht="14.25" customHeight="1">
      <c r="A65" s="12" t="s">
        <v>83</v>
      </c>
      <c r="B65" s="13">
        <v>2.8</v>
      </c>
      <c r="C65" s="13">
        <v>5.8</v>
      </c>
      <c r="D65" s="13">
        <v>13.0</v>
      </c>
      <c r="E65" s="13">
        <v>21.8</v>
      </c>
      <c r="F65" s="13">
        <v>20.0</v>
      </c>
      <c r="G65" s="13">
        <v>30.0</v>
      </c>
      <c r="H65" s="13">
        <v>36.0</v>
      </c>
    </row>
    <row r="66" ht="14.25" customHeight="1">
      <c r="A66" s="12" t="s">
        <v>84</v>
      </c>
      <c r="B66" s="13">
        <v>1.0</v>
      </c>
      <c r="C66" s="13">
        <v>1.1</v>
      </c>
      <c r="D66" s="13">
        <v>3.5</v>
      </c>
      <c r="E66" s="13">
        <v>6.3</v>
      </c>
      <c r="F66" s="13">
        <v>11.0</v>
      </c>
      <c r="G66" s="13">
        <v>21.0</v>
      </c>
      <c r="H66" s="13">
        <v>34.0</v>
      </c>
    </row>
    <row r="67" ht="14.25" customHeight="1">
      <c r="A67" s="12" t="s">
        <v>85</v>
      </c>
      <c r="B67" s="13">
        <v>14.4</v>
      </c>
      <c r="C67" s="13">
        <v>15.9</v>
      </c>
      <c r="D67" s="13">
        <v>14.5</v>
      </c>
      <c r="E67" s="13">
        <v>15.3</v>
      </c>
      <c r="F67" s="13">
        <v>19.0</v>
      </c>
      <c r="G67" s="13">
        <v>23.0</v>
      </c>
      <c r="H67" s="13">
        <v>27.0</v>
      </c>
    </row>
    <row r="68" ht="14.25" customHeight="1">
      <c r="A68" s="12" t="s">
        <v>86</v>
      </c>
      <c r="B68" s="13">
        <v>6.0</v>
      </c>
      <c r="C68" s="13">
        <v>8.7</v>
      </c>
      <c r="D68" s="13">
        <v>10.6</v>
      </c>
      <c r="E68" s="13">
        <v>11.3</v>
      </c>
      <c r="F68" s="13">
        <v>9.0</v>
      </c>
      <c r="G68" s="13">
        <v>12.0</v>
      </c>
      <c r="H68" s="13">
        <v>14.0</v>
      </c>
    </row>
    <row r="69" ht="14.25" customHeight="1">
      <c r="A69" s="12" t="s">
        <v>87</v>
      </c>
      <c r="B69" s="13">
        <v>0.1</v>
      </c>
      <c r="C69" s="13">
        <v>0.1</v>
      </c>
      <c r="D69" s="13">
        <v>0.3</v>
      </c>
      <c r="E69" s="13">
        <v>0.4</v>
      </c>
      <c r="F69" s="13">
        <v>1.0</v>
      </c>
      <c r="G69" s="13">
        <v>1.0</v>
      </c>
      <c r="H69" s="13">
        <v>4.0</v>
      </c>
    </row>
    <row r="70" ht="14.25" customHeight="1">
      <c r="A70" s="12" t="s">
        <v>88</v>
      </c>
      <c r="B70" s="13">
        <v>5.1</v>
      </c>
      <c r="C70" s="13">
        <v>4.5</v>
      </c>
      <c r="D70" s="13">
        <v>4.3</v>
      </c>
      <c r="E70" s="13">
        <v>5.4</v>
      </c>
      <c r="F70" s="13">
        <v>10.0</v>
      </c>
      <c r="G70" s="13">
        <v>10.0</v>
      </c>
      <c r="H70" s="13">
        <v>14.0</v>
      </c>
    </row>
    <row r="71" ht="14.25" customHeight="1">
      <c r="A71" s="12" t="s">
        <v>89</v>
      </c>
      <c r="B71" s="13">
        <v>3.0</v>
      </c>
      <c r="C71" s="13">
        <v>4.4</v>
      </c>
      <c r="D71" s="13">
        <v>5.2</v>
      </c>
      <c r="E71" s="13">
        <v>5.2</v>
      </c>
      <c r="F71" s="13">
        <v>4.0</v>
      </c>
      <c r="G71" s="13">
        <v>8.0</v>
      </c>
      <c r="H71" s="13">
        <v>14.0</v>
      </c>
    </row>
    <row r="72" ht="14.25" customHeight="1">
      <c r="A72" s="12" t="s">
        <v>90</v>
      </c>
      <c r="B72" s="13">
        <v>30.0</v>
      </c>
      <c r="C72" s="13">
        <v>31.8</v>
      </c>
      <c r="D72" s="13">
        <v>39.8</v>
      </c>
      <c r="E72" s="13">
        <v>48.6</v>
      </c>
      <c r="F72" s="13">
        <v>53.0</v>
      </c>
      <c r="G72" s="13">
        <v>59.0</v>
      </c>
      <c r="H72" s="13">
        <v>64.0</v>
      </c>
    </row>
    <row r="73" ht="14.25" customHeight="1">
      <c r="A73" s="12" t="s">
        <v>91</v>
      </c>
      <c r="B73" s="13">
        <v>28.6</v>
      </c>
      <c r="C73" s="13">
        <v>33.1</v>
      </c>
      <c r="D73" s="13">
        <v>39.7</v>
      </c>
      <c r="E73" s="13">
        <v>58.2</v>
      </c>
      <c r="F73" s="13">
        <v>66.0</v>
      </c>
      <c r="G73" s="13">
        <v>81.0</v>
      </c>
      <c r="H73" s="13">
        <v>83.0</v>
      </c>
    </row>
    <row r="74" ht="14.25" customHeight="1">
      <c r="A74" s="12" t="s">
        <v>92</v>
      </c>
      <c r="B74" s="13">
        <v>14.1</v>
      </c>
      <c r="C74" s="13">
        <v>9.3</v>
      </c>
      <c r="D74" s="13">
        <v>8.6</v>
      </c>
      <c r="E74" s="13">
        <v>11.9</v>
      </c>
      <c r="F74" s="13">
        <v>18.0</v>
      </c>
      <c r="G74" s="13">
        <v>18.0</v>
      </c>
      <c r="H74" s="13">
        <v>23.2</v>
      </c>
    </row>
    <row r="75" ht="14.25" customHeight="1">
      <c r="A75" s="12" t="s">
        <v>93</v>
      </c>
      <c r="B75" s="13">
        <v>0.3</v>
      </c>
      <c r="C75" s="13">
        <v>0.6</v>
      </c>
      <c r="D75" s="13">
        <v>0.7</v>
      </c>
      <c r="E75" s="13">
        <v>1.0</v>
      </c>
      <c r="F75" s="13">
        <v>1.0</v>
      </c>
      <c r="G75" s="13">
        <v>1.0</v>
      </c>
      <c r="H75" s="13">
        <v>1.0</v>
      </c>
    </row>
    <row r="76" ht="14.25" customHeight="1">
      <c r="A76" s="12" t="s">
        <v>94</v>
      </c>
      <c r="B76" s="13">
        <v>25.6</v>
      </c>
      <c r="C76" s="13">
        <v>29.6</v>
      </c>
      <c r="D76" s="13">
        <v>42.3</v>
      </c>
      <c r="E76" s="13">
        <v>58.5</v>
      </c>
      <c r="F76" s="13">
        <v>69.0</v>
      </c>
      <c r="G76" s="13">
        <v>79.0</v>
      </c>
      <c r="H76" s="13">
        <v>73.0</v>
      </c>
    </row>
    <row r="77" ht="14.25" customHeight="1">
      <c r="A77" s="12" t="s">
        <v>95</v>
      </c>
      <c r="B77" s="13">
        <v>2.5</v>
      </c>
      <c r="C77" s="13">
        <v>2.5</v>
      </c>
      <c r="D77" s="13">
        <v>2.9</v>
      </c>
      <c r="E77" s="13">
        <v>3.5</v>
      </c>
      <c r="F77" s="13">
        <v>3.0</v>
      </c>
      <c r="G77" s="13">
        <v>5.0</v>
      </c>
      <c r="H77" s="13">
        <v>7.0</v>
      </c>
    </row>
    <row r="78" ht="14.25" customHeight="1">
      <c r="A78" s="12" t="s">
        <v>96</v>
      </c>
      <c r="B78" s="13">
        <v>22.1</v>
      </c>
      <c r="C78" s="13">
        <v>24.6</v>
      </c>
      <c r="D78" s="13">
        <v>21.5</v>
      </c>
      <c r="E78" s="13">
        <v>30.0</v>
      </c>
      <c r="F78" s="13">
        <v>41.0</v>
      </c>
      <c r="G78" s="13">
        <v>42.0</v>
      </c>
      <c r="H78" s="13">
        <v>44.0</v>
      </c>
    </row>
    <row r="79" ht="14.25" customHeight="1">
      <c r="A79" s="12" t="s">
        <v>97</v>
      </c>
      <c r="B79" s="13">
        <v>8.5</v>
      </c>
      <c r="C79" s="13">
        <v>9.4</v>
      </c>
      <c r="D79" s="13">
        <v>8.3</v>
      </c>
      <c r="E79" s="13">
        <v>11.4</v>
      </c>
      <c r="F79" s="13">
        <v>16.0</v>
      </c>
      <c r="G79" s="13">
        <v>25.0</v>
      </c>
      <c r="H79" s="13">
        <v>35.0</v>
      </c>
    </row>
    <row r="80" ht="14.25" customHeight="1">
      <c r="A80" s="12" t="s">
        <v>98</v>
      </c>
      <c r="B80" s="13">
        <v>19.4</v>
      </c>
      <c r="C80" s="13">
        <v>22.4</v>
      </c>
      <c r="D80" s="13">
        <v>35.6</v>
      </c>
      <c r="E80" s="13">
        <v>31.1</v>
      </c>
      <c r="F80" s="13">
        <v>31.0</v>
      </c>
      <c r="G80" s="13">
        <v>33.0</v>
      </c>
      <c r="H80" s="13">
        <v>43.0</v>
      </c>
    </row>
    <row r="81" ht="14.25" customHeight="1">
      <c r="A81" s="12" t="s">
        <v>99</v>
      </c>
      <c r="B81" s="13">
        <v>27.7</v>
      </c>
      <c r="C81" s="13">
        <v>24.9</v>
      </c>
      <c r="D81" s="13">
        <v>27.4</v>
      </c>
      <c r="E81" s="13">
        <v>29.7</v>
      </c>
      <c r="F81" s="13">
        <v>29.0</v>
      </c>
      <c r="G81" s="13">
        <v>28.0</v>
      </c>
      <c r="H81" s="13">
        <v>28.0</v>
      </c>
    </row>
    <row r="82" ht="14.25" customHeight="1">
      <c r="A82" s="12" t="s">
        <v>100</v>
      </c>
      <c r="B82" s="13">
        <v>17.6</v>
      </c>
      <c r="C82" s="13">
        <v>17.1</v>
      </c>
      <c r="D82" s="13">
        <v>21.7</v>
      </c>
      <c r="E82" s="13">
        <v>24.7</v>
      </c>
      <c r="F82" s="13">
        <v>50.0</v>
      </c>
      <c r="G82" s="13">
        <v>64.0</v>
      </c>
      <c r="H82" s="13">
        <v>74.0</v>
      </c>
    </row>
    <row r="83" ht="14.25" customHeight="1">
      <c r="A83" s="12" t="s">
        <v>101</v>
      </c>
      <c r="B83" s="13">
        <v>11.2</v>
      </c>
      <c r="C83" s="13">
        <v>12.3</v>
      </c>
      <c r="D83" s="13">
        <v>23.2</v>
      </c>
      <c r="E83" s="13">
        <v>36.8</v>
      </c>
      <c r="F83" s="13">
        <v>48.0</v>
      </c>
      <c r="G83" s="13">
        <v>56.0</v>
      </c>
      <c r="H83" s="13">
        <v>66.0</v>
      </c>
    </row>
    <row r="84" ht="14.25" customHeight="1">
      <c r="A84" s="12" t="s">
        <v>423</v>
      </c>
      <c r="B84" s="13">
        <v>15.8</v>
      </c>
      <c r="C84" s="13">
        <v>34.0</v>
      </c>
      <c r="D84" s="13">
        <v>38.6</v>
      </c>
      <c r="E84" s="13">
        <v>52.0</v>
      </c>
      <c r="F84" s="13">
        <v>79.0</v>
      </c>
      <c r="G84" s="13">
        <v>93.0</v>
      </c>
      <c r="H84" s="13">
        <v>100.0</v>
      </c>
    </row>
    <row r="85" ht="14.25" customHeight="1">
      <c r="A85" s="12" t="s">
        <v>424</v>
      </c>
      <c r="B85" s="13">
        <v>2.6</v>
      </c>
      <c r="C85" s="13">
        <v>3.03</v>
      </c>
      <c r="D85" s="13">
        <v>3.52</v>
      </c>
      <c r="E85" s="13">
        <v>4.09</v>
      </c>
      <c r="F85" s="13">
        <v>4.76</v>
      </c>
      <c r="G85" s="13">
        <v>5.52</v>
      </c>
      <c r="H85" s="13">
        <v>6.39</v>
      </c>
    </row>
    <row r="86" ht="14.25" customHeight="1">
      <c r="A86" s="12" t="s">
        <v>102</v>
      </c>
      <c r="B86" s="13">
        <v>11.0</v>
      </c>
      <c r="C86" s="13">
        <v>10.0</v>
      </c>
      <c r="D86" s="13">
        <v>11.9</v>
      </c>
      <c r="E86" s="13">
        <v>18.3</v>
      </c>
      <c r="F86" s="13">
        <v>24.0</v>
      </c>
      <c r="G86" s="13">
        <v>45.0</v>
      </c>
      <c r="H86" s="13">
        <v>57.0</v>
      </c>
    </row>
    <row r="87" ht="14.25" customHeight="1">
      <c r="A87" s="12" t="s">
        <v>103</v>
      </c>
      <c r="B87" s="13">
        <v>21.2</v>
      </c>
      <c r="C87" s="13">
        <v>54.2</v>
      </c>
      <c r="D87" s="13">
        <v>52.1</v>
      </c>
      <c r="E87" s="13">
        <v>42.9</v>
      </c>
      <c r="F87" s="13">
        <v>55.0</v>
      </c>
      <c r="G87" s="13">
        <v>73.0</v>
      </c>
      <c r="H87" s="13">
        <v>75.0</v>
      </c>
    </row>
    <row r="88" ht="14.25" customHeight="1">
      <c r="A88" s="12" t="s">
        <v>104</v>
      </c>
      <c r="B88" s="13">
        <v>2.8</v>
      </c>
      <c r="C88" s="13">
        <v>2.4</v>
      </c>
      <c r="D88" s="13">
        <v>3.0</v>
      </c>
      <c r="E88" s="13">
        <v>3.4</v>
      </c>
      <c r="F88" s="13">
        <v>3.0</v>
      </c>
      <c r="G88" s="13">
        <v>6.0</v>
      </c>
      <c r="H88" s="13">
        <v>8.0</v>
      </c>
    </row>
    <row r="89" ht="14.25" customHeight="1">
      <c r="A89" s="12" t="s">
        <v>105</v>
      </c>
      <c r="B89" s="13">
        <v>21.8</v>
      </c>
      <c r="C89" s="13">
        <v>18.5</v>
      </c>
      <c r="D89" s="13">
        <v>18.2</v>
      </c>
      <c r="E89" s="13">
        <v>21.1</v>
      </c>
      <c r="F89" s="13">
        <v>34.55</v>
      </c>
      <c r="G89" s="13">
        <v>48.0</v>
      </c>
      <c r="H89" s="13">
        <v>49.0</v>
      </c>
    </row>
    <row r="90" ht="14.25" customHeight="1">
      <c r="A90" s="12" t="s">
        <v>106</v>
      </c>
      <c r="B90" s="13">
        <v>0.7</v>
      </c>
      <c r="C90" s="13">
        <v>1.8</v>
      </c>
      <c r="D90" s="13">
        <v>1.3</v>
      </c>
      <c r="E90" s="13">
        <v>1.5</v>
      </c>
      <c r="F90" s="13">
        <v>2.0</v>
      </c>
      <c r="G90" s="13">
        <v>2.52</v>
      </c>
      <c r="H90" s="13">
        <v>3.18</v>
      </c>
    </row>
    <row r="91" ht="14.25" customHeight="1">
      <c r="A91" s="12" t="s">
        <v>107</v>
      </c>
      <c r="B91" s="13">
        <v>7.0</v>
      </c>
      <c r="C91" s="13">
        <v>10.0</v>
      </c>
      <c r="D91" s="13">
        <v>12.8</v>
      </c>
      <c r="E91" s="13">
        <v>17.3</v>
      </c>
      <c r="F91" s="13">
        <v>14.0</v>
      </c>
      <c r="G91" s="13">
        <v>15.0</v>
      </c>
      <c r="H91" s="13">
        <v>19.25</v>
      </c>
    </row>
    <row r="92" ht="14.25" customHeight="1">
      <c r="A92" s="12" t="s">
        <v>108</v>
      </c>
      <c r="B92" s="13">
        <v>24.2</v>
      </c>
      <c r="C92" s="13">
        <v>28.5</v>
      </c>
      <c r="D92" s="13">
        <v>36.7</v>
      </c>
      <c r="E92" s="13">
        <v>48.6</v>
      </c>
      <c r="F92" s="13">
        <v>59.0</v>
      </c>
      <c r="G92" s="13">
        <v>67.0</v>
      </c>
      <c r="H92" s="13">
        <v>78.0</v>
      </c>
    </row>
    <row r="93" ht="14.25" customHeight="1">
      <c r="A93" s="12" t="s">
        <v>109</v>
      </c>
      <c r="B93" s="13">
        <v>2.8</v>
      </c>
      <c r="C93" s="13">
        <v>3.7</v>
      </c>
      <c r="D93" s="13">
        <v>4.6</v>
      </c>
      <c r="E93" s="13">
        <v>5.1</v>
      </c>
      <c r="F93" s="13">
        <v>8.73</v>
      </c>
      <c r="G93" s="13">
        <v>12.37</v>
      </c>
      <c r="H93" s="13">
        <v>16.0</v>
      </c>
    </row>
    <row r="94" ht="14.25" customHeight="1">
      <c r="A94" s="12" t="s">
        <v>110</v>
      </c>
      <c r="B94" s="13">
        <v>1.8</v>
      </c>
      <c r="C94" s="13">
        <v>2.0</v>
      </c>
      <c r="D94" s="13">
        <v>3.0</v>
      </c>
      <c r="E94" s="13">
        <v>4.0</v>
      </c>
      <c r="F94" s="13">
        <v>6.0</v>
      </c>
      <c r="G94" s="13">
        <v>7.69</v>
      </c>
      <c r="H94" s="13">
        <v>9.8</v>
      </c>
    </row>
    <row r="95" ht="14.25" customHeight="1">
      <c r="A95" s="12" t="s">
        <v>111</v>
      </c>
      <c r="B95" s="13">
        <v>3.9</v>
      </c>
      <c r="C95" s="13">
        <v>4.4</v>
      </c>
      <c r="D95" s="13">
        <v>4.1</v>
      </c>
      <c r="E95" s="13">
        <v>6.0</v>
      </c>
      <c r="F95" s="13">
        <v>4.0</v>
      </c>
      <c r="G95" s="13">
        <v>5.0</v>
      </c>
      <c r="H95" s="13">
        <v>6.0</v>
      </c>
    </row>
    <row r="96" ht="14.25" customHeight="1">
      <c r="A96" s="12" t="s">
        <v>112</v>
      </c>
      <c r="B96" s="13">
        <v>30.8</v>
      </c>
      <c r="C96" s="13">
        <v>30.0</v>
      </c>
      <c r="D96" s="13">
        <v>32.0</v>
      </c>
      <c r="E96" s="13">
        <v>42.5</v>
      </c>
      <c r="F96" s="13">
        <v>67.0</v>
      </c>
      <c r="G96" s="13">
        <v>82.0</v>
      </c>
      <c r="H96" s="13">
        <v>75.0</v>
      </c>
    </row>
    <row r="97" ht="14.25" customHeight="1">
      <c r="A97" s="12" t="s">
        <v>113</v>
      </c>
      <c r="B97" s="13">
        <v>18.2</v>
      </c>
      <c r="C97" s="13">
        <v>21.0</v>
      </c>
      <c r="D97" s="13">
        <v>25.7</v>
      </c>
      <c r="E97" s="13">
        <v>31.8</v>
      </c>
      <c r="F97" s="13">
        <v>38.0</v>
      </c>
      <c r="G97" s="13">
        <v>46.0</v>
      </c>
      <c r="H97" s="13">
        <v>53.0</v>
      </c>
    </row>
    <row r="98" ht="14.25" customHeight="1">
      <c r="A98" s="12" t="s">
        <v>425</v>
      </c>
      <c r="B98" s="13">
        <v>17.6</v>
      </c>
      <c r="C98" s="13">
        <v>17.1</v>
      </c>
      <c r="D98" s="13">
        <v>18.2</v>
      </c>
      <c r="E98" s="13">
        <v>17.9</v>
      </c>
      <c r="F98" s="13">
        <v>12.0</v>
      </c>
      <c r="G98" s="13">
        <v>18.0</v>
      </c>
      <c r="H98" s="13">
        <v>26.0</v>
      </c>
    </row>
    <row r="99" ht="14.25" customHeight="1">
      <c r="A99" s="12" t="s">
        <v>426</v>
      </c>
      <c r="B99" s="13">
        <v>17.89</v>
      </c>
      <c r="C99" s="13">
        <v>18.0</v>
      </c>
      <c r="D99" s="13">
        <v>34.0</v>
      </c>
      <c r="E99" s="13">
        <v>39.1</v>
      </c>
      <c r="F99" s="13">
        <v>56.0</v>
      </c>
      <c r="G99" s="13">
        <v>82.0</v>
      </c>
      <c r="H99" s="13">
        <v>86.81</v>
      </c>
    </row>
    <row r="100" ht="14.25" customHeight="1">
      <c r="A100" s="12" t="s">
        <v>115</v>
      </c>
      <c r="B100" s="13">
        <v>13.1</v>
      </c>
      <c r="C100" s="13">
        <v>19.0</v>
      </c>
      <c r="D100" s="13">
        <v>15.7</v>
      </c>
      <c r="E100" s="13">
        <v>20.1</v>
      </c>
      <c r="F100" s="13">
        <v>35.0</v>
      </c>
      <c r="G100" s="13">
        <v>44.0</v>
      </c>
      <c r="H100" s="13">
        <v>50.0</v>
      </c>
    </row>
    <row r="101" ht="14.25" customHeight="1">
      <c r="A101" s="12" t="s">
        <v>116</v>
      </c>
      <c r="B101" s="13">
        <v>2.2</v>
      </c>
      <c r="C101" s="13">
        <v>1.9</v>
      </c>
      <c r="D101" s="13">
        <v>2.6</v>
      </c>
      <c r="E101" s="13">
        <v>3.2</v>
      </c>
      <c r="F101" s="13">
        <v>3.0</v>
      </c>
      <c r="G101" s="13">
        <v>5.0</v>
      </c>
      <c r="H101" s="13">
        <v>9.0</v>
      </c>
    </row>
    <row r="102" ht="14.25" customHeight="1">
      <c r="A102" s="12" t="s">
        <v>117</v>
      </c>
      <c r="B102" s="13">
        <v>5.0</v>
      </c>
      <c r="C102" s="13">
        <v>5.3</v>
      </c>
      <c r="D102" s="13">
        <v>6.5</v>
      </c>
      <c r="E102" s="13">
        <v>7.7</v>
      </c>
      <c r="F102" s="13">
        <v>6.0</v>
      </c>
      <c r="G102" s="13">
        <v>12.0</v>
      </c>
      <c r="H102" s="13">
        <v>15.21</v>
      </c>
    </row>
    <row r="103" ht="14.25" customHeight="1">
      <c r="A103" s="12" t="s">
        <v>118</v>
      </c>
      <c r="B103" s="13">
        <v>5.1</v>
      </c>
      <c r="C103" s="13">
        <v>5.5</v>
      </c>
      <c r="D103" s="13">
        <v>8.4</v>
      </c>
      <c r="E103" s="13">
        <v>12.9</v>
      </c>
      <c r="F103" s="13">
        <v>19.0</v>
      </c>
      <c r="G103" s="13">
        <v>30.0</v>
      </c>
      <c r="H103" s="13">
        <v>36.0</v>
      </c>
    </row>
    <row r="104" ht="14.25" customHeight="1">
      <c r="A104" s="12" t="s">
        <v>119</v>
      </c>
      <c r="B104" s="13">
        <v>6.1</v>
      </c>
      <c r="C104" s="13">
        <v>8.9</v>
      </c>
      <c r="D104" s="13">
        <v>13.1</v>
      </c>
      <c r="E104" s="13">
        <v>18.2</v>
      </c>
      <c r="F104" s="13">
        <v>24.0</v>
      </c>
      <c r="G104" s="13">
        <v>33.0</v>
      </c>
      <c r="H104" s="13">
        <v>56.0</v>
      </c>
    </row>
    <row r="105" ht="14.25" customHeight="1">
      <c r="A105" s="12" t="s">
        <v>120</v>
      </c>
      <c r="B105" s="13">
        <v>0.5</v>
      </c>
      <c r="C105" s="13">
        <v>0.8</v>
      </c>
      <c r="D105" s="13">
        <v>1.2</v>
      </c>
      <c r="E105" s="13">
        <v>1.7</v>
      </c>
      <c r="F105" s="13">
        <v>3.0</v>
      </c>
      <c r="G105" s="13">
        <v>4.0</v>
      </c>
      <c r="H105" s="13">
        <v>4.0</v>
      </c>
    </row>
    <row r="106" ht="14.25" customHeight="1">
      <c r="A106" s="12" t="s">
        <v>121</v>
      </c>
      <c r="B106" s="13">
        <v>20.1</v>
      </c>
      <c r="C106" s="13">
        <v>21.7</v>
      </c>
      <c r="D106" s="13">
        <v>30.2</v>
      </c>
      <c r="E106" s="13">
        <v>48.3</v>
      </c>
      <c r="F106" s="13">
        <v>58.0</v>
      </c>
      <c r="G106" s="13">
        <v>59.0</v>
      </c>
      <c r="H106" s="13">
        <v>61.0</v>
      </c>
    </row>
    <row r="107" ht="14.25" customHeight="1">
      <c r="A107" s="12" t="s">
        <v>122</v>
      </c>
      <c r="B107" s="13">
        <v>17.3</v>
      </c>
      <c r="C107" s="13">
        <v>35.8</v>
      </c>
      <c r="D107" s="13">
        <v>30.1</v>
      </c>
      <c r="E107" s="13">
        <v>29.4</v>
      </c>
      <c r="F107" s="13">
        <v>34.0</v>
      </c>
      <c r="G107" s="13">
        <v>45.0</v>
      </c>
      <c r="H107" s="13">
        <v>63.0</v>
      </c>
    </row>
    <row r="108" ht="14.25" customHeight="1">
      <c r="A108" s="12" t="s">
        <v>427</v>
      </c>
      <c r="B108" s="13"/>
      <c r="C108" s="13"/>
      <c r="D108" s="13"/>
      <c r="E108" s="13"/>
      <c r="F108" s="13"/>
      <c r="G108" s="13"/>
      <c r="H108" s="13"/>
    </row>
    <row r="109" ht="14.25" customHeight="1">
      <c r="A109" s="12" t="s">
        <v>428</v>
      </c>
      <c r="B109" s="13">
        <v>21.4</v>
      </c>
      <c r="C109" s="13">
        <v>25.3</v>
      </c>
      <c r="D109" s="13">
        <v>29.0</v>
      </c>
      <c r="E109" s="13">
        <v>32.0</v>
      </c>
      <c r="F109" s="13">
        <v>28.0</v>
      </c>
      <c r="G109" s="13">
        <v>42.0</v>
      </c>
      <c r="H109" s="13">
        <v>78.0</v>
      </c>
    </row>
    <row r="110" ht="14.25" customHeight="1">
      <c r="A110" s="12" t="s">
        <v>429</v>
      </c>
      <c r="B110" s="13">
        <v>1.2</v>
      </c>
      <c r="C110" s="13">
        <v>2.1</v>
      </c>
      <c r="D110" s="13">
        <v>2.9</v>
      </c>
      <c r="E110" s="13">
        <v>4.2</v>
      </c>
      <c r="F110" s="13">
        <v>11.0</v>
      </c>
      <c r="G110" s="13">
        <v>10.0</v>
      </c>
      <c r="H110" s="13">
        <v>11.0</v>
      </c>
    </row>
    <row r="111" ht="14.25" customHeight="1">
      <c r="A111" s="12" t="s">
        <v>125</v>
      </c>
      <c r="B111" s="13">
        <v>1.6</v>
      </c>
      <c r="C111" s="13">
        <v>2.0</v>
      </c>
      <c r="D111" s="13">
        <v>2.3</v>
      </c>
      <c r="E111" s="13">
        <v>2.5</v>
      </c>
      <c r="F111" s="13">
        <v>2.0</v>
      </c>
      <c r="G111" s="13">
        <v>2.43</v>
      </c>
      <c r="H111" s="13">
        <v>2.94</v>
      </c>
    </row>
    <row r="112" ht="14.25" customHeight="1">
      <c r="A112" s="12" t="s">
        <v>126</v>
      </c>
      <c r="B112" s="13">
        <v>1.3</v>
      </c>
      <c r="C112" s="13">
        <v>3.9</v>
      </c>
      <c r="D112" s="13">
        <v>5.2</v>
      </c>
      <c r="E112" s="13">
        <v>6.3</v>
      </c>
      <c r="F112" s="13">
        <v>4.0</v>
      </c>
      <c r="G112" s="13">
        <v>4.0</v>
      </c>
      <c r="H112" s="13">
        <v>6.0</v>
      </c>
    </row>
    <row r="113" ht="14.25" customHeight="1">
      <c r="A113" s="12" t="s">
        <v>430</v>
      </c>
      <c r="B113" s="13">
        <v>56.0</v>
      </c>
      <c r="C113" s="13">
        <v>60.2</v>
      </c>
      <c r="D113" s="13">
        <v>75.2</v>
      </c>
      <c r="E113" s="13">
        <v>81.0</v>
      </c>
      <c r="F113" s="13">
        <v>68.0</v>
      </c>
      <c r="G113" s="13">
        <v>81.0</v>
      </c>
      <c r="H113" s="13">
        <v>93.0</v>
      </c>
    </row>
    <row r="114" ht="14.25" customHeight="1">
      <c r="A114" s="14" t="s">
        <v>431</v>
      </c>
      <c r="B114" s="15">
        <v>1336.5899999999995</v>
      </c>
      <c r="C114" s="15">
        <v>1590.19</v>
      </c>
      <c r="D114" s="15">
        <v>1900.2699999999998</v>
      </c>
      <c r="E114" s="15">
        <v>2357.359999999999</v>
      </c>
      <c r="F114" s="15">
        <v>2862.9900000000002</v>
      </c>
      <c r="G114" s="15">
        <v>3588.0099999999993</v>
      </c>
      <c r="H114" s="15">
        <v>4323.53</v>
      </c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8.71"/>
  </cols>
  <sheetData>
    <row r="1" ht="14.25" customHeight="1">
      <c r="A1" s="2" t="s">
        <v>407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2012.0</v>
      </c>
      <c r="AI1" s="2">
        <v>2013.0</v>
      </c>
      <c r="AJ1" s="2">
        <v>2014.0</v>
      </c>
      <c r="AK1" s="2">
        <v>2015.0</v>
      </c>
      <c r="AL1" s="2">
        <v>2016.0</v>
      </c>
      <c r="AM1" s="2">
        <v>2017.0</v>
      </c>
      <c r="AN1" s="2">
        <v>2018.0</v>
      </c>
      <c r="AO1" s="2">
        <v>2019.0</v>
      </c>
      <c r="AP1" s="2">
        <v>2020.0</v>
      </c>
      <c r="AQ1" s="2">
        <v>2021.0</v>
      </c>
      <c r="AR1" s="2">
        <v>2022.0</v>
      </c>
      <c r="AS1" s="2">
        <v>2023.0</v>
      </c>
      <c r="AT1" s="2">
        <v>2024.0</v>
      </c>
      <c r="AU1" s="2" t="s">
        <v>431</v>
      </c>
    </row>
    <row r="2" ht="14.25" customHeight="1">
      <c r="A2" s="2" t="s">
        <v>22</v>
      </c>
      <c r="B2" s="3">
        <v>0.199</v>
      </c>
      <c r="C2" s="3">
        <v>0.216</v>
      </c>
      <c r="D2" s="3">
        <v>0.218</v>
      </c>
      <c r="E2" s="3">
        <v>0.218</v>
      </c>
      <c r="F2" s="3">
        <v>0.218</v>
      </c>
      <c r="G2" s="3">
        <v>0.218</v>
      </c>
      <c r="H2" s="3">
        <v>0.218</v>
      </c>
      <c r="I2" s="3">
        <v>0.218</v>
      </c>
      <c r="J2" s="3">
        <v>0.221</v>
      </c>
      <c r="K2" s="3">
        <v>0.221</v>
      </c>
      <c r="L2" s="3">
        <v>0.207</v>
      </c>
      <c r="M2" s="3">
        <v>0.172</v>
      </c>
      <c r="N2" s="3">
        <v>0.095</v>
      </c>
      <c r="O2" s="3">
        <v>0.043</v>
      </c>
      <c r="P2" s="3">
        <v>0.043</v>
      </c>
      <c r="Q2" s="3">
        <v>0.046</v>
      </c>
      <c r="R2" s="3">
        <v>0.072</v>
      </c>
      <c r="S2" s="3">
        <v>0.099</v>
      </c>
      <c r="T2" s="3">
        <v>0.093</v>
      </c>
      <c r="U2" s="3">
        <v>0.093</v>
      </c>
      <c r="V2" s="3">
        <v>0.093</v>
      </c>
      <c r="W2" s="3">
        <v>0.115</v>
      </c>
      <c r="X2" s="3">
        <v>0.137</v>
      </c>
      <c r="Y2" s="3">
        <v>0.129</v>
      </c>
      <c r="Z2" s="3">
        <v>0.123</v>
      </c>
      <c r="AA2" s="3">
        <v>0.117</v>
      </c>
      <c r="AB2" s="3">
        <v>0.116</v>
      </c>
      <c r="AC2" s="3">
        <v>0.112</v>
      </c>
      <c r="AD2" s="3">
        <v>0.11</v>
      </c>
      <c r="AE2" s="3">
        <v>0.114</v>
      </c>
      <c r="AF2" s="3">
        <v>0.11</v>
      </c>
      <c r="AG2" s="3">
        <v>0.115</v>
      </c>
      <c r="AH2" s="3">
        <v>0.109</v>
      </c>
      <c r="AI2" s="3">
        <v>0.122</v>
      </c>
      <c r="AJ2" s="3">
        <v>0.136</v>
      </c>
      <c r="AK2" s="3">
        <v>0.158</v>
      </c>
      <c r="AL2" s="3">
        <v>0.145</v>
      </c>
      <c r="AM2" s="3">
        <v>0.151</v>
      </c>
      <c r="AN2" s="3">
        <v>0.16</v>
      </c>
      <c r="AO2" s="3">
        <v>0.155</v>
      </c>
      <c r="AP2" s="3">
        <v>0.174</v>
      </c>
      <c r="AQ2" s="3">
        <v>0.144</v>
      </c>
      <c r="AR2" s="3">
        <v>0.105</v>
      </c>
      <c r="AS2" s="3">
        <v>0.113</v>
      </c>
      <c r="AT2" s="3">
        <v>0.095</v>
      </c>
      <c r="AU2" s="3">
        <v>76.593</v>
      </c>
    </row>
    <row r="3" ht="14.25" customHeight="1">
      <c r="A3" s="2" t="s">
        <v>23</v>
      </c>
      <c r="B3" s="3">
        <v>0.485</v>
      </c>
      <c r="C3" s="3">
        <v>0.476</v>
      </c>
      <c r="D3" s="3">
        <v>0.476</v>
      </c>
      <c r="E3" s="3">
        <v>0.476</v>
      </c>
      <c r="F3" s="3">
        <v>0.465</v>
      </c>
      <c r="G3" s="3">
        <v>0.443</v>
      </c>
      <c r="H3" s="3">
        <v>0.456</v>
      </c>
      <c r="I3" s="3">
        <v>0.462</v>
      </c>
      <c r="J3" s="3">
        <v>0.462</v>
      </c>
      <c r="K3" s="3">
        <v>0.456</v>
      </c>
      <c r="L3" s="3">
        <v>0.403</v>
      </c>
      <c r="M3" s="3">
        <v>0.492</v>
      </c>
      <c r="N3" s="3">
        <v>0.484</v>
      </c>
      <c r="O3" s="3">
        <v>0.492</v>
      </c>
      <c r="P3" s="3">
        <v>0.492</v>
      </c>
      <c r="Q3" s="3">
        <v>0.492</v>
      </c>
      <c r="R3" s="3">
        <v>0.492</v>
      </c>
      <c r="S3" s="3">
        <v>0.478</v>
      </c>
      <c r="T3" s="3">
        <v>0.457</v>
      </c>
      <c r="U3" s="3">
        <v>0.453</v>
      </c>
      <c r="V3" s="3">
        <v>0.473</v>
      </c>
      <c r="W3" s="3">
        <v>0.523</v>
      </c>
      <c r="X3" s="3">
        <v>0.509</v>
      </c>
      <c r="Y3" s="3">
        <v>0.508</v>
      </c>
      <c r="Z3" s="3">
        <v>0.52</v>
      </c>
      <c r="AA3" s="3">
        <v>0.537</v>
      </c>
      <c r="AB3" s="3">
        <v>0.537</v>
      </c>
      <c r="AC3" s="3">
        <v>0.537</v>
      </c>
      <c r="AD3" s="3">
        <v>0.516</v>
      </c>
      <c r="AE3" s="3">
        <v>0.527</v>
      </c>
      <c r="AF3" s="3">
        <v>0.524</v>
      </c>
      <c r="AG3" s="3">
        <v>0.524</v>
      </c>
      <c r="AH3" s="3">
        <v>0.529</v>
      </c>
      <c r="AI3" s="3">
        <v>0.544</v>
      </c>
      <c r="AJ3" s="3">
        <v>0.549</v>
      </c>
      <c r="AK3" s="3">
        <v>0.549</v>
      </c>
      <c r="AL3" s="3">
        <v>0.549</v>
      </c>
      <c r="AM3" s="3">
        <v>0.536</v>
      </c>
      <c r="AN3" s="3">
        <v>0.544</v>
      </c>
      <c r="AO3" s="3">
        <v>0.564</v>
      </c>
      <c r="AP3" s="3">
        <v>0.563</v>
      </c>
      <c r="AQ3" s="3">
        <v>0.621</v>
      </c>
      <c r="AR3" s="3">
        <v>0.638</v>
      </c>
      <c r="AS3" s="3">
        <v>0.582</v>
      </c>
      <c r="AT3" s="3">
        <v>0.574</v>
      </c>
      <c r="AU3" s="3">
        <v>55.143</v>
      </c>
    </row>
    <row r="4" ht="14.25" customHeight="1">
      <c r="A4" s="2" t="s">
        <v>24</v>
      </c>
      <c r="B4" s="3">
        <v>0.356</v>
      </c>
      <c r="C4" s="3">
        <v>0.356</v>
      </c>
      <c r="D4" s="3">
        <v>0.356</v>
      </c>
      <c r="E4" s="3">
        <v>0.356</v>
      </c>
      <c r="F4" s="3">
        <v>0.356</v>
      </c>
      <c r="G4" s="3">
        <v>0.356</v>
      </c>
      <c r="H4" s="3">
        <v>0.356</v>
      </c>
      <c r="I4" s="3">
        <v>0.356</v>
      </c>
      <c r="J4" s="3">
        <v>0.377</v>
      </c>
      <c r="K4" s="3">
        <v>0.39</v>
      </c>
      <c r="L4" s="3">
        <v>0.383</v>
      </c>
      <c r="M4" s="3">
        <v>0.346</v>
      </c>
      <c r="N4" s="3">
        <v>0.331</v>
      </c>
      <c r="O4" s="3">
        <v>0.318</v>
      </c>
      <c r="P4" s="3">
        <v>0.318</v>
      </c>
      <c r="Q4" s="3">
        <v>0.318</v>
      </c>
      <c r="R4" s="3">
        <v>0.318</v>
      </c>
      <c r="S4" s="3">
        <v>0.318</v>
      </c>
      <c r="T4" s="3">
        <v>0.318</v>
      </c>
      <c r="U4" s="3">
        <v>0.302</v>
      </c>
      <c r="V4" s="3">
        <v>0.244</v>
      </c>
      <c r="W4" s="3">
        <v>0.244</v>
      </c>
      <c r="X4" s="3">
        <v>0.244</v>
      </c>
      <c r="Y4" s="3">
        <v>0.244</v>
      </c>
      <c r="Z4" s="3">
        <v>0.244</v>
      </c>
      <c r="AA4" s="3">
        <v>0.242</v>
      </c>
      <c r="AB4" s="3">
        <v>0.242</v>
      </c>
      <c r="AC4" s="3">
        <v>0.242</v>
      </c>
      <c r="AD4" s="3">
        <v>0.242</v>
      </c>
      <c r="AE4" s="3">
        <v>0.242</v>
      </c>
      <c r="AF4" s="3">
        <v>0.253</v>
      </c>
      <c r="AG4" s="3">
        <v>0.253</v>
      </c>
      <c r="AH4" s="3">
        <v>0.259</v>
      </c>
      <c r="AI4" s="3">
        <v>0.259</v>
      </c>
      <c r="AJ4" s="3">
        <v>0.261</v>
      </c>
      <c r="AK4" s="3">
        <v>0.261</v>
      </c>
      <c r="AL4" s="3">
        <v>0.285</v>
      </c>
      <c r="AM4" s="3">
        <v>0.239</v>
      </c>
      <c r="AN4" s="3">
        <v>0.249</v>
      </c>
      <c r="AO4" s="3">
        <v>0.225</v>
      </c>
      <c r="AP4" s="3">
        <v>0.248</v>
      </c>
      <c r="AQ4" s="3">
        <v>0.241</v>
      </c>
      <c r="AR4" s="3">
        <v>0.234</v>
      </c>
      <c r="AS4" s="3">
        <v>0.24</v>
      </c>
      <c r="AT4" s="3">
        <v>0.249</v>
      </c>
      <c r="AU4" s="3">
        <v>41.775</v>
      </c>
    </row>
    <row r="5" ht="14.25" customHeight="1">
      <c r="A5" s="2" t="s">
        <v>432</v>
      </c>
      <c r="B5" s="3">
        <v>0.221</v>
      </c>
      <c r="C5" s="3">
        <v>0.221</v>
      </c>
      <c r="D5" s="3">
        <v>0.215</v>
      </c>
      <c r="E5" s="3">
        <v>0.215</v>
      </c>
      <c r="F5" s="3">
        <v>0.215</v>
      </c>
      <c r="G5" s="3">
        <v>0.215</v>
      </c>
      <c r="H5" s="3">
        <v>0.215</v>
      </c>
      <c r="I5" s="3">
        <v>0.202</v>
      </c>
      <c r="J5" s="3">
        <v>0.19</v>
      </c>
      <c r="K5" s="3">
        <v>0.19</v>
      </c>
      <c r="L5" s="3">
        <v>0.219</v>
      </c>
      <c r="M5" s="3">
        <v>0.226</v>
      </c>
      <c r="N5" s="3">
        <v>0.187</v>
      </c>
      <c r="O5" s="3">
        <v>0.174</v>
      </c>
      <c r="P5" s="3">
        <v>0.174</v>
      </c>
      <c r="Q5" s="3">
        <v>0.174</v>
      </c>
      <c r="R5" s="3">
        <v>0.174</v>
      </c>
      <c r="S5" s="3">
        <v>0.174</v>
      </c>
      <c r="T5" s="3">
        <v>0.174</v>
      </c>
      <c r="U5" s="3">
        <v>0.174</v>
      </c>
      <c r="V5" s="3">
        <v>0.176</v>
      </c>
      <c r="W5" s="3">
        <v>0.176</v>
      </c>
      <c r="X5" s="3">
        <v>0.147</v>
      </c>
      <c r="Y5" s="3">
        <v>0.121</v>
      </c>
      <c r="Z5" s="3">
        <v>0.121</v>
      </c>
      <c r="AA5" s="3">
        <v>0.121</v>
      </c>
      <c r="AB5" s="3">
        <v>0.121</v>
      </c>
      <c r="AC5" s="3">
        <v>0.121</v>
      </c>
      <c r="AD5" s="3">
        <v>0.123</v>
      </c>
      <c r="AE5" s="3">
        <v>0.13</v>
      </c>
      <c r="AF5" s="3">
        <v>0.129</v>
      </c>
      <c r="AG5" s="3">
        <v>0.129</v>
      </c>
      <c r="AH5" s="3">
        <v>0.129</v>
      </c>
      <c r="AI5" s="3">
        <v>0.128</v>
      </c>
      <c r="AJ5" s="3">
        <v>0.128</v>
      </c>
      <c r="AK5" s="3">
        <v>0.128</v>
      </c>
      <c r="AL5" s="3">
        <v>0.128</v>
      </c>
      <c r="AM5" s="3">
        <v>0.252</v>
      </c>
      <c r="AN5" s="3">
        <v>0.323</v>
      </c>
      <c r="AO5" s="3">
        <v>0.325</v>
      </c>
      <c r="AP5" s="3">
        <v>0.337</v>
      </c>
      <c r="AQ5" s="3">
        <v>0.358</v>
      </c>
      <c r="AR5" s="3">
        <v>0.373</v>
      </c>
      <c r="AS5" s="3">
        <v>0.387</v>
      </c>
      <c r="AT5" s="3">
        <v>0.399</v>
      </c>
      <c r="AU5" s="3">
        <v>32.946</v>
      </c>
    </row>
    <row r="6" ht="14.25" customHeight="1">
      <c r="A6" s="2" t="s">
        <v>25</v>
      </c>
      <c r="B6" s="3">
        <v>0.141</v>
      </c>
      <c r="C6" s="3">
        <v>0.141</v>
      </c>
      <c r="D6" s="3">
        <v>0.141</v>
      </c>
      <c r="E6" s="3">
        <v>0.515</v>
      </c>
      <c r="F6" s="3">
        <v>0.831</v>
      </c>
      <c r="G6" s="3">
        <v>0.831</v>
      </c>
      <c r="H6" s="3">
        <v>0.831</v>
      </c>
      <c r="I6" s="3">
        <v>0.831</v>
      </c>
      <c r="J6" s="3">
        <v>0.831</v>
      </c>
      <c r="K6" s="3">
        <v>0.672</v>
      </c>
      <c r="L6" s="3">
        <v>0.471</v>
      </c>
      <c r="M6" s="3">
        <v>0.495</v>
      </c>
      <c r="N6" s="3">
        <v>0.515</v>
      </c>
      <c r="O6" s="3">
        <v>0.538</v>
      </c>
      <c r="P6" s="3">
        <v>0.538</v>
      </c>
      <c r="Q6" s="3">
        <v>0.549</v>
      </c>
      <c r="R6" s="3">
        <v>0.549</v>
      </c>
      <c r="S6" s="3">
        <v>0.549</v>
      </c>
      <c r="T6" s="3">
        <v>0.55</v>
      </c>
      <c r="U6" s="3">
        <v>0.569</v>
      </c>
      <c r="V6" s="3">
        <v>0.704</v>
      </c>
      <c r="W6" s="3">
        <v>0.698</v>
      </c>
      <c r="X6" s="3">
        <v>0.627</v>
      </c>
      <c r="Y6" s="3">
        <v>0.543</v>
      </c>
      <c r="Z6" s="3">
        <v>0.549</v>
      </c>
      <c r="AA6" s="3">
        <v>0.549</v>
      </c>
      <c r="AB6" s="3">
        <v>0.549</v>
      </c>
      <c r="AC6" s="3">
        <v>0.532</v>
      </c>
      <c r="AD6" s="3">
        <v>0.522</v>
      </c>
      <c r="AE6" s="3">
        <v>0.522</v>
      </c>
      <c r="AF6" s="3">
        <v>0.522</v>
      </c>
      <c r="AG6" s="3">
        <v>0.522</v>
      </c>
      <c r="AH6" s="3">
        <v>0.522</v>
      </c>
      <c r="AI6" s="3">
        <v>0.514</v>
      </c>
      <c r="AJ6" s="3">
        <v>0.514</v>
      </c>
      <c r="AK6" s="3">
        <v>0.527</v>
      </c>
      <c r="AL6" s="3">
        <v>0.657</v>
      </c>
      <c r="AM6" s="3">
        <v>0.667</v>
      </c>
      <c r="AN6" s="3">
        <v>0.654</v>
      </c>
      <c r="AO6" s="3">
        <v>0.651</v>
      </c>
      <c r="AP6" s="3">
        <v>0.623</v>
      </c>
      <c r="AQ6" s="3">
        <v>0.618</v>
      </c>
      <c r="AR6" s="3">
        <v>0.61</v>
      </c>
      <c r="AS6" s="3">
        <v>0.636</v>
      </c>
      <c r="AT6" s="3">
        <v>0.626</v>
      </c>
      <c r="AU6" s="3">
        <v>135.689</v>
      </c>
    </row>
    <row r="7" ht="14.25" customHeight="1">
      <c r="A7" s="2" t="s">
        <v>433</v>
      </c>
      <c r="B7" s="3"/>
      <c r="C7" s="3"/>
      <c r="D7" s="3"/>
      <c r="E7" s="3"/>
      <c r="F7" s="3"/>
      <c r="G7" s="3"/>
      <c r="H7" s="3"/>
      <c r="I7" s="3"/>
      <c r="J7" s="3"/>
      <c r="K7" s="3"/>
      <c r="L7" s="3">
        <v>0.579</v>
      </c>
      <c r="M7" s="3">
        <v>0.499</v>
      </c>
      <c r="N7" s="3">
        <v>0.49</v>
      </c>
      <c r="O7" s="3">
        <v>0.469</v>
      </c>
      <c r="P7" s="3">
        <v>0.469</v>
      </c>
      <c r="Q7" s="3">
        <v>0.445</v>
      </c>
      <c r="R7" s="3">
        <v>0.36</v>
      </c>
      <c r="S7" s="3">
        <v>0.354</v>
      </c>
      <c r="T7" s="3">
        <v>0.261</v>
      </c>
      <c r="U7" s="3">
        <v>0.276</v>
      </c>
      <c r="V7" s="3">
        <v>0.254</v>
      </c>
      <c r="W7" s="3">
        <v>0.216</v>
      </c>
      <c r="X7" s="3">
        <v>0.215</v>
      </c>
      <c r="Y7" s="3">
        <v>0.225</v>
      </c>
      <c r="Z7" s="3">
        <v>0.218</v>
      </c>
      <c r="AA7" s="3">
        <v>0.22</v>
      </c>
      <c r="AB7" s="3">
        <v>0.22</v>
      </c>
      <c r="AC7" s="3">
        <v>0.22</v>
      </c>
      <c r="AD7" s="3">
        <v>0.217</v>
      </c>
      <c r="AE7" s="3">
        <v>0.227</v>
      </c>
      <c r="AF7" s="3">
        <v>0.229</v>
      </c>
      <c r="AG7" s="3">
        <v>0.232</v>
      </c>
      <c r="AH7" s="3">
        <v>0.228</v>
      </c>
      <c r="AI7" s="3">
        <v>0.242</v>
      </c>
      <c r="AJ7" s="3">
        <v>0.24</v>
      </c>
      <c r="AK7" s="3">
        <v>0.233</v>
      </c>
      <c r="AL7" s="3">
        <v>0.244</v>
      </c>
      <c r="AM7" s="3">
        <v>0.263</v>
      </c>
      <c r="AN7" s="3">
        <v>0.68</v>
      </c>
      <c r="AO7" s="3">
        <v>0.779</v>
      </c>
      <c r="AP7" s="3">
        <v>0.702</v>
      </c>
      <c r="AQ7" s="3">
        <v>0.714</v>
      </c>
      <c r="AR7" s="3">
        <v>0.629</v>
      </c>
      <c r="AS7" s="3">
        <v>0.62</v>
      </c>
      <c r="AT7" s="3">
        <v>0.583</v>
      </c>
      <c r="AU7" s="3">
        <v>13.052</v>
      </c>
    </row>
    <row r="8" ht="14.25" customHeight="1">
      <c r="A8" s="2" t="s">
        <v>26</v>
      </c>
      <c r="B8" s="3">
        <v>0.994</v>
      </c>
      <c r="C8" s="3">
        <v>0.994</v>
      </c>
      <c r="D8" s="3">
        <v>0.994</v>
      </c>
      <c r="E8" s="3">
        <v>0.994</v>
      </c>
      <c r="F8" s="3">
        <v>0.994</v>
      </c>
      <c r="G8" s="3">
        <v>0.994</v>
      </c>
      <c r="H8" s="3">
        <v>0.994</v>
      </c>
      <c r="I8" s="3">
        <v>0.994</v>
      </c>
      <c r="J8" s="3">
        <v>0.994</v>
      </c>
      <c r="K8" s="3">
        <v>0.994</v>
      </c>
      <c r="L8" s="3">
        <v>0.994</v>
      </c>
      <c r="M8" s="3">
        <v>0.994</v>
      </c>
      <c r="N8" s="3">
        <v>0.994</v>
      </c>
      <c r="O8" s="3">
        <v>0.994</v>
      </c>
      <c r="P8" s="3">
        <v>0.994</v>
      </c>
      <c r="Q8" s="3">
        <v>0.994</v>
      </c>
      <c r="R8" s="3">
        <v>0.994</v>
      </c>
      <c r="S8" s="3">
        <v>0.994</v>
      </c>
      <c r="T8" s="3">
        <v>0.994</v>
      </c>
      <c r="U8" s="3">
        <v>0.994</v>
      </c>
      <c r="V8" s="3">
        <v>0.994</v>
      </c>
      <c r="W8" s="3">
        <v>0.994</v>
      </c>
      <c r="X8" s="3">
        <v>0.994</v>
      </c>
      <c r="Y8" s="3">
        <v>0.994</v>
      </c>
      <c r="Z8" s="3">
        <v>0.994</v>
      </c>
      <c r="AA8" s="3">
        <v>0.994</v>
      </c>
      <c r="AB8" s="3">
        <v>0.994</v>
      </c>
      <c r="AC8" s="3">
        <v>0.994</v>
      </c>
      <c r="AD8" s="3">
        <v>0.994</v>
      </c>
      <c r="AE8" s="3">
        <v>0.994</v>
      </c>
      <c r="AF8" s="3">
        <v>0.993</v>
      </c>
      <c r="AG8" s="3">
        <v>0.993</v>
      </c>
      <c r="AH8" s="3">
        <v>0.993</v>
      </c>
      <c r="AI8" s="3">
        <v>0.988</v>
      </c>
      <c r="AJ8" s="3">
        <v>0.989</v>
      </c>
      <c r="AK8" s="3">
        <v>0.988</v>
      </c>
      <c r="AL8" s="3">
        <v>0.99</v>
      </c>
      <c r="AM8" s="3">
        <v>0.991</v>
      </c>
      <c r="AN8" s="3">
        <v>0.989</v>
      </c>
      <c r="AO8" s="3">
        <v>0.99</v>
      </c>
      <c r="AP8" s="3">
        <v>0.989</v>
      </c>
      <c r="AQ8" s="3">
        <v>0.99</v>
      </c>
      <c r="AR8" s="3">
        <v>0.99</v>
      </c>
      <c r="AS8" s="3">
        <v>0.991</v>
      </c>
      <c r="AT8" s="3">
        <v>0.991</v>
      </c>
      <c r="AU8" s="3">
        <v>215.555</v>
      </c>
    </row>
    <row r="9" ht="14.25" customHeight="1">
      <c r="A9" s="2" t="s">
        <v>27</v>
      </c>
      <c r="B9" s="3">
        <v>0.954</v>
      </c>
      <c r="C9" s="3">
        <v>0.953</v>
      </c>
      <c r="D9" s="3">
        <v>0.953</v>
      </c>
      <c r="E9" s="3">
        <v>0.953</v>
      </c>
      <c r="F9" s="3">
        <v>0.953</v>
      </c>
      <c r="G9" s="3">
        <v>0.953</v>
      </c>
      <c r="H9" s="3">
        <v>0.952</v>
      </c>
      <c r="I9" s="3">
        <v>0.959</v>
      </c>
      <c r="J9" s="3">
        <v>0.959</v>
      </c>
      <c r="K9" s="3">
        <v>0.959</v>
      </c>
      <c r="L9" s="3">
        <v>0.959</v>
      </c>
      <c r="M9" s="3">
        <v>0.959</v>
      </c>
      <c r="N9" s="3">
        <v>0.959</v>
      </c>
      <c r="O9" s="3">
        <v>0.959</v>
      </c>
      <c r="P9" s="3">
        <v>0.959</v>
      </c>
      <c r="Q9" s="3">
        <v>0.959</v>
      </c>
      <c r="R9" s="3">
        <v>0.959</v>
      </c>
      <c r="S9" s="3">
        <v>0.959</v>
      </c>
      <c r="T9" s="3">
        <v>0.959</v>
      </c>
      <c r="U9" s="3">
        <v>0.959</v>
      </c>
      <c r="V9" s="3">
        <v>0.956</v>
      </c>
      <c r="W9" s="3">
        <v>0.95</v>
      </c>
      <c r="X9" s="3">
        <v>0.95</v>
      </c>
      <c r="Y9" s="3">
        <v>0.956</v>
      </c>
      <c r="Z9" s="3">
        <v>0.949</v>
      </c>
      <c r="AA9" s="3">
        <v>0.949</v>
      </c>
      <c r="AB9" s="3">
        <v>0.955</v>
      </c>
      <c r="AC9" s="3">
        <v>0.967</v>
      </c>
      <c r="AD9" s="3">
        <v>0.967</v>
      </c>
      <c r="AE9" s="3">
        <v>0.967</v>
      </c>
      <c r="AF9" s="3">
        <v>0.967</v>
      </c>
      <c r="AG9" s="3">
        <v>0.963</v>
      </c>
      <c r="AH9" s="3">
        <v>0.966</v>
      </c>
      <c r="AI9" s="3">
        <v>0.969</v>
      </c>
      <c r="AJ9" s="3">
        <v>0.969</v>
      </c>
      <c r="AK9" s="3">
        <v>0.969</v>
      </c>
      <c r="AL9" s="3">
        <v>0.969</v>
      </c>
      <c r="AM9" s="3">
        <v>0.966</v>
      </c>
      <c r="AN9" s="3">
        <v>0.951</v>
      </c>
      <c r="AO9" s="3">
        <v>0.955</v>
      </c>
      <c r="AP9" s="3">
        <v>0.958</v>
      </c>
      <c r="AQ9" s="3">
        <v>0.943</v>
      </c>
      <c r="AR9" s="3">
        <v>0.929</v>
      </c>
      <c r="AS9" s="3">
        <v>0.933</v>
      </c>
      <c r="AT9" s="3">
        <v>0.934</v>
      </c>
      <c r="AU9" s="3">
        <v>196.756</v>
      </c>
    </row>
    <row r="10" ht="14.25" customHeight="1">
      <c r="A10" s="2" t="s">
        <v>434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v>0.252</v>
      </c>
      <c r="M10" s="3">
        <v>0.252</v>
      </c>
      <c r="N10" s="3">
        <v>0.422</v>
      </c>
      <c r="O10" s="3">
        <v>0.18</v>
      </c>
      <c r="P10" s="3">
        <v>0.049</v>
      </c>
      <c r="Q10" s="3">
        <v>0.049</v>
      </c>
      <c r="R10" s="3">
        <v>0.049</v>
      </c>
      <c r="S10" s="3">
        <v>0.049</v>
      </c>
      <c r="T10" s="3">
        <v>0.045</v>
      </c>
      <c r="U10" s="3">
        <v>0.045</v>
      </c>
      <c r="V10" s="3">
        <v>0.043</v>
      </c>
      <c r="W10" s="3">
        <v>0.043</v>
      </c>
      <c r="X10" s="3">
        <v>0.043</v>
      </c>
      <c r="Y10" s="3">
        <v>0.043</v>
      </c>
      <c r="Z10" s="3">
        <v>0.043</v>
      </c>
      <c r="AA10" s="3">
        <v>0.043</v>
      </c>
      <c r="AB10" s="3">
        <v>0.043</v>
      </c>
      <c r="AC10" s="3">
        <v>0.045</v>
      </c>
      <c r="AD10" s="3">
        <v>0.046</v>
      </c>
      <c r="AE10" s="3">
        <v>0.046</v>
      </c>
      <c r="AF10" s="3">
        <v>0.045</v>
      </c>
      <c r="AG10" s="3">
        <v>0.045</v>
      </c>
      <c r="AH10" s="3">
        <v>0.046</v>
      </c>
      <c r="AI10" s="3">
        <v>0.031</v>
      </c>
      <c r="AJ10" s="3">
        <v>0.031</v>
      </c>
      <c r="AK10" s="3">
        <v>0.032</v>
      </c>
      <c r="AL10" s="3">
        <v>0.031</v>
      </c>
      <c r="AM10" s="3">
        <v>0.038</v>
      </c>
      <c r="AN10" s="3">
        <v>0.029</v>
      </c>
      <c r="AO10" s="3">
        <v>0.039</v>
      </c>
      <c r="AP10" s="3">
        <v>0.04</v>
      </c>
      <c r="AQ10" s="3">
        <v>0.059</v>
      </c>
      <c r="AR10" s="3">
        <v>0.065</v>
      </c>
      <c r="AS10" s="3">
        <v>0.056</v>
      </c>
      <c r="AT10" s="3">
        <v>0.045</v>
      </c>
      <c r="AU10" s="3">
        <v>2.462</v>
      </c>
    </row>
    <row r="11" ht="14.25" customHeight="1">
      <c r="A11" s="2" t="s">
        <v>435</v>
      </c>
      <c r="B11" s="3">
        <v>0.195</v>
      </c>
      <c r="C11" s="3">
        <v>0.195</v>
      </c>
      <c r="D11" s="3">
        <v>0.195</v>
      </c>
      <c r="E11" s="3">
        <v>0.195</v>
      </c>
      <c r="F11" s="3">
        <v>0.195</v>
      </c>
      <c r="G11" s="3">
        <v>0.195</v>
      </c>
      <c r="H11" s="3">
        <v>0.195</v>
      </c>
      <c r="I11" s="3">
        <v>0.195</v>
      </c>
      <c r="J11" s="3">
        <v>0.195</v>
      </c>
      <c r="K11" s="3">
        <v>0.195</v>
      </c>
      <c r="L11" s="3">
        <v>0.195</v>
      </c>
      <c r="M11" s="3">
        <v>0.195</v>
      </c>
      <c r="N11" s="3">
        <v>0.195</v>
      </c>
      <c r="O11" s="3">
        <v>0.195</v>
      </c>
      <c r="P11" s="3">
        <v>0.195</v>
      </c>
      <c r="Q11" s="3">
        <v>0.195</v>
      </c>
      <c r="R11" s="3">
        <v>0.195</v>
      </c>
      <c r="S11" s="3">
        <v>0.195</v>
      </c>
      <c r="T11" s="3">
        <v>0.195</v>
      </c>
      <c r="U11" s="3">
        <v>0.225</v>
      </c>
      <c r="V11" s="3">
        <v>0.225</v>
      </c>
      <c r="W11" s="3">
        <v>0.225</v>
      </c>
      <c r="X11" s="3">
        <v>0.244</v>
      </c>
      <c r="Y11" s="3">
        <v>0.244</v>
      </c>
      <c r="Z11" s="3">
        <v>0.244</v>
      </c>
      <c r="AA11" s="3">
        <v>0.257</v>
      </c>
      <c r="AB11" s="3">
        <v>0.257</v>
      </c>
      <c r="AC11" s="3">
        <v>0.24</v>
      </c>
      <c r="AD11" s="3">
        <v>0.24</v>
      </c>
      <c r="AE11" s="3">
        <v>0.24</v>
      </c>
      <c r="AF11" s="3">
        <v>0.24</v>
      </c>
      <c r="AG11" s="3">
        <v>0.148</v>
      </c>
      <c r="AH11" s="3">
        <v>0.142</v>
      </c>
      <c r="AI11" s="3">
        <v>0.149</v>
      </c>
      <c r="AJ11" s="3">
        <v>0.161</v>
      </c>
      <c r="AK11" s="3">
        <v>0.166</v>
      </c>
      <c r="AL11" s="3">
        <v>0.174</v>
      </c>
      <c r="AM11" s="3">
        <v>0.174</v>
      </c>
      <c r="AN11" s="3">
        <v>0.17</v>
      </c>
      <c r="AO11" s="3">
        <v>0.195</v>
      </c>
      <c r="AP11" s="3">
        <v>0.195</v>
      </c>
      <c r="AQ11" s="3">
        <v>0.196</v>
      </c>
      <c r="AR11" s="3">
        <v>0.199</v>
      </c>
      <c r="AS11" s="3">
        <v>0.201</v>
      </c>
      <c r="AT11" s="3">
        <v>0.188</v>
      </c>
      <c r="AU11" s="3">
        <v>24.861</v>
      </c>
    </row>
    <row r="12" ht="14.25" customHeight="1">
      <c r="A12" s="2" t="s">
        <v>28</v>
      </c>
      <c r="B12" s="3">
        <v>0.246</v>
      </c>
      <c r="C12" s="3">
        <v>0.246</v>
      </c>
      <c r="D12" s="3">
        <v>0.2</v>
      </c>
      <c r="E12" s="3">
        <v>0.2</v>
      </c>
      <c r="F12" s="3">
        <v>0.2</v>
      </c>
      <c r="G12" s="3">
        <v>0.2</v>
      </c>
      <c r="H12" s="3">
        <v>0.2</v>
      </c>
      <c r="I12" s="3">
        <v>0.2</v>
      </c>
      <c r="J12" s="3">
        <v>0.2</v>
      </c>
      <c r="K12" s="3">
        <v>0.2</v>
      </c>
      <c r="L12" s="3">
        <v>0.207</v>
      </c>
      <c r="M12" s="3">
        <v>0.28</v>
      </c>
      <c r="N12" s="3">
        <v>0.279</v>
      </c>
      <c r="O12" s="3">
        <v>0.279</v>
      </c>
      <c r="P12" s="3">
        <v>0.279</v>
      </c>
      <c r="Q12" s="3">
        <v>0.279</v>
      </c>
      <c r="R12" s="3">
        <v>0.282</v>
      </c>
      <c r="S12" s="3">
        <v>0.276</v>
      </c>
      <c r="T12" s="3">
        <v>0.276</v>
      </c>
      <c r="U12" s="3">
        <v>0.276</v>
      </c>
      <c r="V12" s="3">
        <v>0.266</v>
      </c>
      <c r="W12" s="3">
        <v>0.264</v>
      </c>
      <c r="X12" s="3">
        <v>0.241</v>
      </c>
      <c r="Y12" s="3">
        <v>0.241</v>
      </c>
      <c r="Z12" s="3">
        <v>0.241</v>
      </c>
      <c r="AA12" s="3">
        <v>0.241</v>
      </c>
      <c r="AB12" s="3">
        <v>0.242</v>
      </c>
      <c r="AC12" s="3">
        <v>0.248</v>
      </c>
      <c r="AD12" s="3">
        <v>0.247</v>
      </c>
      <c r="AE12" s="3">
        <v>0.147</v>
      </c>
      <c r="AF12" s="3">
        <v>0.12</v>
      </c>
      <c r="AG12" s="3">
        <v>0.122</v>
      </c>
      <c r="AH12" s="3">
        <v>0.118</v>
      </c>
      <c r="AI12" s="3">
        <v>0.117</v>
      </c>
      <c r="AJ12" s="3">
        <v>0.113</v>
      </c>
      <c r="AK12" s="3">
        <v>0.138</v>
      </c>
      <c r="AL12" s="3">
        <v>0.136</v>
      </c>
      <c r="AM12" s="3">
        <v>0.121</v>
      </c>
      <c r="AN12" s="3">
        <v>0.116</v>
      </c>
      <c r="AO12" s="3">
        <v>0.103</v>
      </c>
      <c r="AP12" s="3">
        <v>0.113</v>
      </c>
      <c r="AQ12" s="3">
        <v>0.098</v>
      </c>
      <c r="AR12" s="3">
        <v>0.077</v>
      </c>
      <c r="AS12" s="3">
        <v>0.085</v>
      </c>
      <c r="AT12" s="3">
        <v>0.107</v>
      </c>
      <c r="AU12" s="3">
        <v>11.358</v>
      </c>
    </row>
    <row r="13" ht="14.25" customHeight="1">
      <c r="A13" s="2" t="s">
        <v>29</v>
      </c>
      <c r="B13" s="3">
        <v>0.924</v>
      </c>
      <c r="C13" s="3">
        <v>0.924</v>
      </c>
      <c r="D13" s="3">
        <v>0.918</v>
      </c>
      <c r="E13" s="3">
        <v>0.918</v>
      </c>
      <c r="F13" s="3">
        <v>0.918</v>
      </c>
      <c r="G13" s="3">
        <v>0.918</v>
      </c>
      <c r="H13" s="3">
        <v>0.918</v>
      </c>
      <c r="I13" s="3">
        <v>0.918</v>
      </c>
      <c r="J13" s="3">
        <v>0.918</v>
      </c>
      <c r="K13" s="3">
        <v>0.918</v>
      </c>
      <c r="L13" s="3">
        <v>0.914</v>
      </c>
      <c r="M13" s="3">
        <v>0.914</v>
      </c>
      <c r="N13" s="3">
        <v>0.915</v>
      </c>
      <c r="O13" s="3">
        <v>0.915</v>
      </c>
      <c r="P13" s="3">
        <v>0.915</v>
      </c>
      <c r="Q13" s="3">
        <v>0.915</v>
      </c>
      <c r="R13" s="3">
        <v>0.915</v>
      </c>
      <c r="S13" s="3">
        <v>0.915</v>
      </c>
      <c r="T13" s="3">
        <v>0.915</v>
      </c>
      <c r="U13" s="3">
        <v>0.915</v>
      </c>
      <c r="V13" s="3">
        <v>0.915</v>
      </c>
      <c r="W13" s="3">
        <v>0.915</v>
      </c>
      <c r="X13" s="3">
        <v>0.915</v>
      </c>
      <c r="Y13" s="3">
        <v>0.915</v>
      </c>
      <c r="Z13" s="3">
        <v>0.915</v>
      </c>
      <c r="AA13" s="3">
        <v>0.915</v>
      </c>
      <c r="AB13" s="3">
        <v>0.915</v>
      </c>
      <c r="AC13" s="3">
        <v>0.915</v>
      </c>
      <c r="AD13" s="3">
        <v>0.915</v>
      </c>
      <c r="AE13" s="3">
        <v>0.915</v>
      </c>
      <c r="AF13" s="3">
        <v>0.909</v>
      </c>
      <c r="AG13" s="3">
        <v>0.909</v>
      </c>
      <c r="AH13" s="3">
        <v>0.909</v>
      </c>
      <c r="AI13" s="3">
        <v>0.909</v>
      </c>
      <c r="AJ13" s="3">
        <v>0.909</v>
      </c>
      <c r="AK13" s="3">
        <v>0.902</v>
      </c>
      <c r="AL13" s="3">
        <v>0.902</v>
      </c>
      <c r="AM13" s="3">
        <v>0.903</v>
      </c>
      <c r="AN13" s="3">
        <v>0.917</v>
      </c>
      <c r="AO13" s="3">
        <v>0.924</v>
      </c>
      <c r="AP13" s="3">
        <v>0.924</v>
      </c>
      <c r="AQ13" s="3">
        <v>0.931</v>
      </c>
      <c r="AR13" s="3">
        <v>0.931</v>
      </c>
      <c r="AS13" s="3">
        <v>0.936</v>
      </c>
      <c r="AT13" s="3">
        <v>0.931</v>
      </c>
      <c r="AU13" s="3">
        <v>110.849</v>
      </c>
    </row>
    <row r="14" ht="14.25" customHeight="1">
      <c r="A14" s="2" t="s">
        <v>436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0.58</v>
      </c>
      <c r="M14" s="3">
        <v>0.572</v>
      </c>
      <c r="N14" s="3">
        <v>0.639</v>
      </c>
      <c r="O14" s="3">
        <v>0.632</v>
      </c>
      <c r="P14" s="3">
        <v>0.524</v>
      </c>
      <c r="Q14" s="3">
        <v>0.5</v>
      </c>
      <c r="R14" s="3">
        <v>0.301</v>
      </c>
      <c r="S14" s="3">
        <v>0.249</v>
      </c>
      <c r="T14" s="3">
        <v>0.253</v>
      </c>
      <c r="U14" s="3">
        <v>0.268</v>
      </c>
      <c r="V14" s="3">
        <v>0.266</v>
      </c>
      <c r="W14" s="3">
        <v>0.276</v>
      </c>
      <c r="X14" s="3">
        <v>0.267</v>
      </c>
      <c r="Y14" s="3">
        <v>0.267</v>
      </c>
      <c r="Z14" s="3">
        <v>0.254</v>
      </c>
      <c r="AA14" s="3">
        <v>0.254</v>
      </c>
      <c r="AB14" s="3">
        <v>0.254</v>
      </c>
      <c r="AC14" s="3">
        <v>0.257</v>
      </c>
      <c r="AD14" s="3">
        <v>0.257</v>
      </c>
      <c r="AE14" s="3">
        <v>0.257</v>
      </c>
      <c r="AF14" s="3">
        <v>0.257</v>
      </c>
      <c r="AG14" s="3">
        <v>0.264</v>
      </c>
      <c r="AH14" s="3">
        <v>0.265</v>
      </c>
      <c r="AI14" s="3">
        <v>0.248</v>
      </c>
      <c r="AJ14" s="3">
        <v>0.248</v>
      </c>
      <c r="AK14" s="3">
        <v>0.248</v>
      </c>
      <c r="AL14" s="3">
        <v>0.282</v>
      </c>
      <c r="AM14" s="3">
        <v>0.272</v>
      </c>
      <c r="AN14" s="3">
        <v>0.277</v>
      </c>
      <c r="AO14" s="3">
        <v>0.29</v>
      </c>
      <c r="AP14" s="3">
        <v>0.136</v>
      </c>
      <c r="AQ14" s="3">
        <v>0.097</v>
      </c>
      <c r="AR14" s="3">
        <v>0.1</v>
      </c>
      <c r="AS14" s="3">
        <v>0.09</v>
      </c>
      <c r="AT14" s="3">
        <v>0.097</v>
      </c>
      <c r="AU14" s="3">
        <v>10.298</v>
      </c>
    </row>
    <row r="15" ht="14.25" customHeight="1">
      <c r="A15" s="2" t="s">
        <v>30</v>
      </c>
      <c r="B15" s="3">
        <v>0.98</v>
      </c>
      <c r="C15" s="3">
        <v>0.98</v>
      </c>
      <c r="D15" s="3">
        <v>0.98</v>
      </c>
      <c r="E15" s="3">
        <v>0.98</v>
      </c>
      <c r="F15" s="3">
        <v>0.98</v>
      </c>
      <c r="G15" s="3">
        <v>0.98</v>
      </c>
      <c r="H15" s="3">
        <v>0.98</v>
      </c>
      <c r="I15" s="3">
        <v>0.98</v>
      </c>
      <c r="J15" s="3">
        <v>0.98</v>
      </c>
      <c r="K15" s="3">
        <v>0.977</v>
      </c>
      <c r="L15" s="3">
        <v>0.974</v>
      </c>
      <c r="M15" s="3">
        <v>0.974</v>
      </c>
      <c r="N15" s="3">
        <v>0.976</v>
      </c>
      <c r="O15" s="3">
        <v>0.976</v>
      </c>
      <c r="P15" s="3">
        <v>0.976</v>
      </c>
      <c r="Q15" s="3">
        <v>0.976</v>
      </c>
      <c r="R15" s="3">
        <v>0.976</v>
      </c>
      <c r="S15" s="3">
        <v>0.979</v>
      </c>
      <c r="T15" s="3">
        <v>0.979</v>
      </c>
      <c r="U15" s="3">
        <v>0.979</v>
      </c>
      <c r="V15" s="3">
        <v>0.979</v>
      </c>
      <c r="W15" s="3">
        <v>0.979</v>
      </c>
      <c r="X15" s="3">
        <v>0.979</v>
      </c>
      <c r="Y15" s="3">
        <v>0.979</v>
      </c>
      <c r="Z15" s="3">
        <v>0.979</v>
      </c>
      <c r="AA15" s="3">
        <v>0.979</v>
      </c>
      <c r="AB15" s="3">
        <v>0.979</v>
      </c>
      <c r="AC15" s="3">
        <v>0.979</v>
      </c>
      <c r="AD15" s="3">
        <v>0.979</v>
      </c>
      <c r="AE15" s="3">
        <v>0.979</v>
      </c>
      <c r="AF15" s="3">
        <v>0.979</v>
      </c>
      <c r="AG15" s="3">
        <v>0.979</v>
      </c>
      <c r="AH15" s="3">
        <v>0.979</v>
      </c>
      <c r="AI15" s="3">
        <v>0.979</v>
      </c>
      <c r="AJ15" s="3">
        <v>0.979</v>
      </c>
      <c r="AK15" s="3">
        <v>0.979</v>
      </c>
      <c r="AL15" s="3">
        <v>0.979</v>
      </c>
      <c r="AM15" s="3">
        <v>0.979</v>
      </c>
      <c r="AN15" s="3">
        <v>0.979</v>
      </c>
      <c r="AO15" s="3">
        <v>0.976</v>
      </c>
      <c r="AP15" s="3">
        <v>0.977</v>
      </c>
      <c r="AQ15" s="3">
        <v>0.977</v>
      </c>
      <c r="AR15" s="3">
        <v>0.977</v>
      </c>
      <c r="AS15" s="3">
        <v>0.971</v>
      </c>
      <c r="AT15" s="3">
        <v>0.971</v>
      </c>
      <c r="AU15" s="3">
        <v>194.728</v>
      </c>
    </row>
    <row r="16" ht="14.25" customHeight="1">
      <c r="A16" s="2" t="s">
        <v>31</v>
      </c>
      <c r="B16" s="3">
        <v>0.402</v>
      </c>
      <c r="C16" s="3">
        <v>0.402</v>
      </c>
      <c r="D16" s="3">
        <v>0.402</v>
      </c>
      <c r="E16" s="3">
        <v>0.402</v>
      </c>
      <c r="F16" s="3">
        <v>0.402</v>
      </c>
      <c r="G16" s="3">
        <v>0.402</v>
      </c>
      <c r="H16" s="3">
        <v>0.402</v>
      </c>
      <c r="I16" s="3">
        <v>0.394</v>
      </c>
      <c r="J16" s="3">
        <v>0.394</v>
      </c>
      <c r="K16" s="3">
        <v>0.394</v>
      </c>
      <c r="L16" s="3">
        <v>0.52</v>
      </c>
      <c r="M16" s="3">
        <v>0.546</v>
      </c>
      <c r="N16" s="3">
        <v>0.586</v>
      </c>
      <c r="O16" s="3">
        <v>0.586</v>
      </c>
      <c r="P16" s="3">
        <v>0.586</v>
      </c>
      <c r="Q16" s="3">
        <v>0.586</v>
      </c>
      <c r="R16" s="3">
        <v>0.569</v>
      </c>
      <c r="S16" s="3">
        <v>0.537</v>
      </c>
      <c r="T16" s="3">
        <v>0.537</v>
      </c>
      <c r="U16" s="3">
        <v>0.537</v>
      </c>
      <c r="V16" s="3">
        <v>0.54</v>
      </c>
      <c r="W16" s="3">
        <v>0.54</v>
      </c>
      <c r="X16" s="3">
        <v>0.54</v>
      </c>
      <c r="Y16" s="3">
        <v>0.54</v>
      </c>
      <c r="Z16" s="3">
        <v>0.54</v>
      </c>
      <c r="AA16" s="3">
        <v>0.573</v>
      </c>
      <c r="AB16" s="3">
        <v>0.569</v>
      </c>
      <c r="AC16" s="3">
        <v>0.569</v>
      </c>
      <c r="AD16" s="3">
        <v>0.571</v>
      </c>
      <c r="AE16" s="3">
        <v>0.571</v>
      </c>
      <c r="AF16" s="3">
        <v>0.571</v>
      </c>
      <c r="AG16" s="3">
        <v>0.571</v>
      </c>
      <c r="AH16" s="3">
        <v>0.571</v>
      </c>
      <c r="AI16" s="3">
        <v>0.634</v>
      </c>
      <c r="AJ16" s="3">
        <v>0.636</v>
      </c>
      <c r="AK16" s="3">
        <v>0.579</v>
      </c>
      <c r="AL16" s="3">
        <v>0.718</v>
      </c>
      <c r="AM16" s="3">
        <v>0.785</v>
      </c>
      <c r="AN16" s="3">
        <v>0.747</v>
      </c>
      <c r="AO16" s="3">
        <v>0.676</v>
      </c>
      <c r="AP16" s="3">
        <v>0.776</v>
      </c>
      <c r="AQ16" s="3">
        <v>0.769</v>
      </c>
      <c r="AR16" s="3">
        <v>0.773</v>
      </c>
      <c r="AS16" s="3">
        <v>0.752</v>
      </c>
      <c r="AT16" s="3">
        <v>0.777</v>
      </c>
      <c r="AU16" s="3">
        <v>56.878</v>
      </c>
    </row>
    <row r="17" ht="14.25" customHeight="1">
      <c r="A17" s="2" t="s">
        <v>437</v>
      </c>
      <c r="B17" s="3">
        <v>0.775</v>
      </c>
      <c r="C17" s="3">
        <v>0.775</v>
      </c>
      <c r="D17" s="3">
        <v>0.775</v>
      </c>
      <c r="E17" s="3">
        <v>0.775</v>
      </c>
      <c r="F17" s="3">
        <v>0.775</v>
      </c>
      <c r="G17" s="3">
        <v>0.77</v>
      </c>
      <c r="H17" s="3">
        <v>0.77</v>
      </c>
      <c r="I17" s="3">
        <v>0.77</v>
      </c>
      <c r="J17" s="3">
        <v>0.77</v>
      </c>
      <c r="K17" s="3">
        <v>0.77</v>
      </c>
      <c r="L17" s="3">
        <v>0.77</v>
      </c>
      <c r="M17" s="3">
        <v>0.77</v>
      </c>
      <c r="N17" s="3">
        <v>0.78</v>
      </c>
      <c r="O17" s="3">
        <v>0.793</v>
      </c>
      <c r="P17" s="3">
        <v>0.793</v>
      </c>
      <c r="Q17" s="3">
        <v>0.793</v>
      </c>
      <c r="R17" s="3">
        <v>0.793</v>
      </c>
      <c r="S17" s="3">
        <v>0.793</v>
      </c>
      <c r="T17" s="3">
        <v>0.789</v>
      </c>
      <c r="U17" s="3">
        <v>0.785</v>
      </c>
      <c r="V17" s="3">
        <v>0.791</v>
      </c>
      <c r="W17" s="3">
        <v>0.791</v>
      </c>
      <c r="X17" s="3">
        <v>0.826</v>
      </c>
      <c r="Y17" s="3">
        <v>0.836</v>
      </c>
      <c r="Z17" s="3">
        <v>0.836</v>
      </c>
      <c r="AA17" s="3">
        <v>0.836</v>
      </c>
      <c r="AB17" s="3">
        <v>0.85</v>
      </c>
      <c r="AC17" s="3">
        <v>0.85</v>
      </c>
      <c r="AD17" s="3">
        <v>0.923</v>
      </c>
      <c r="AE17" s="3">
        <v>0.932</v>
      </c>
      <c r="AF17" s="3">
        <v>0.928</v>
      </c>
      <c r="AG17" s="3">
        <v>0.928</v>
      </c>
      <c r="AH17" s="3">
        <v>0.931</v>
      </c>
      <c r="AI17" s="3">
        <v>0.915</v>
      </c>
      <c r="AJ17" s="3">
        <v>0.915</v>
      </c>
      <c r="AK17" s="3">
        <v>0.915</v>
      </c>
      <c r="AL17" s="3">
        <v>0.91</v>
      </c>
      <c r="AM17" s="3">
        <v>0.916</v>
      </c>
      <c r="AN17" s="3">
        <v>0.91</v>
      </c>
      <c r="AO17" s="3">
        <v>0.925</v>
      </c>
      <c r="AP17" s="3">
        <v>0.917</v>
      </c>
      <c r="AQ17" s="3">
        <v>0.913</v>
      </c>
      <c r="AR17" s="3">
        <v>0.906</v>
      </c>
      <c r="AS17" s="3">
        <v>0.9</v>
      </c>
      <c r="AT17" s="3">
        <v>0.854</v>
      </c>
      <c r="AU17" s="3">
        <v>89.267</v>
      </c>
    </row>
    <row r="18" ht="14.25" customHeight="1">
      <c r="A18" s="2" t="s">
        <v>32</v>
      </c>
      <c r="B18" s="3">
        <v>0.052</v>
      </c>
      <c r="C18" s="3">
        <v>0.042</v>
      </c>
      <c r="D18" s="3">
        <v>0.25</v>
      </c>
      <c r="E18" s="3">
        <v>0.377</v>
      </c>
      <c r="F18" s="3">
        <v>0.388</v>
      </c>
      <c r="G18" s="3">
        <v>0.443</v>
      </c>
      <c r="H18" s="3">
        <v>0.448</v>
      </c>
      <c r="I18" s="3">
        <v>0.474</v>
      </c>
      <c r="J18" s="3">
        <v>0.474</v>
      </c>
      <c r="K18" s="3">
        <v>0.474</v>
      </c>
      <c r="L18" s="3">
        <v>0.464</v>
      </c>
      <c r="M18" s="3">
        <v>0.464</v>
      </c>
      <c r="N18" s="3">
        <v>0.464</v>
      </c>
      <c r="O18" s="3">
        <v>0.468</v>
      </c>
      <c r="P18" s="3">
        <v>0.468</v>
      </c>
      <c r="Q18" s="3">
        <v>0.468</v>
      </c>
      <c r="R18" s="3">
        <v>0.468</v>
      </c>
      <c r="S18" s="3">
        <v>0.464</v>
      </c>
      <c r="T18" s="3">
        <v>0.464</v>
      </c>
      <c r="U18" s="3">
        <v>0.464</v>
      </c>
      <c r="V18" s="3">
        <v>0.464</v>
      </c>
      <c r="W18" s="3">
        <v>0.464</v>
      </c>
      <c r="X18" s="3">
        <v>0.457</v>
      </c>
      <c r="Y18" s="3">
        <v>0.469</v>
      </c>
      <c r="Z18" s="3">
        <v>0.456</v>
      </c>
      <c r="AA18" s="3">
        <v>0.455</v>
      </c>
      <c r="AB18" s="3">
        <v>0.403</v>
      </c>
      <c r="AC18" s="3">
        <v>0.403</v>
      </c>
      <c r="AD18" s="3">
        <v>0.399</v>
      </c>
      <c r="AE18" s="3">
        <v>0.383</v>
      </c>
      <c r="AF18" s="3">
        <v>0.367</v>
      </c>
      <c r="AG18" s="3">
        <v>0.367</v>
      </c>
      <c r="AH18" s="3">
        <v>0.354</v>
      </c>
      <c r="AI18" s="3">
        <v>0.407</v>
      </c>
      <c r="AJ18" s="3">
        <v>0.401</v>
      </c>
      <c r="AK18" s="3">
        <v>0.405</v>
      </c>
      <c r="AL18" s="3">
        <v>0.406</v>
      </c>
      <c r="AM18" s="3">
        <v>0.402</v>
      </c>
      <c r="AN18" s="3">
        <v>0.389</v>
      </c>
      <c r="AO18" s="3">
        <v>0.345</v>
      </c>
      <c r="AP18" s="3">
        <v>0.387</v>
      </c>
      <c r="AQ18" s="3">
        <v>0.474</v>
      </c>
      <c r="AR18" s="3">
        <v>0.376</v>
      </c>
      <c r="AS18" s="3">
        <v>0.352</v>
      </c>
      <c r="AT18" s="3">
        <v>0.332</v>
      </c>
      <c r="AU18" s="3">
        <v>56.759</v>
      </c>
    </row>
    <row r="19" ht="14.25" customHeight="1">
      <c r="A19" s="2" t="s">
        <v>438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0.291</v>
      </c>
      <c r="O19" s="3">
        <v>0.291</v>
      </c>
      <c r="P19" s="3">
        <v>0.291</v>
      </c>
      <c r="Q19" s="3">
        <v>0.289</v>
      </c>
      <c r="R19" s="3">
        <v>0.348</v>
      </c>
      <c r="S19" s="3">
        <v>0.357</v>
      </c>
      <c r="T19" s="3">
        <v>0.375</v>
      </c>
      <c r="U19" s="3">
        <v>0.387</v>
      </c>
      <c r="V19" s="3">
        <v>0.415</v>
      </c>
      <c r="W19" s="3">
        <v>0.475</v>
      </c>
      <c r="X19" s="3">
        <v>0.477</v>
      </c>
      <c r="Y19" s="3">
        <v>0.468</v>
      </c>
      <c r="Z19" s="3">
        <v>0.436</v>
      </c>
      <c r="AA19" s="3">
        <v>0.449</v>
      </c>
      <c r="AB19" s="3">
        <v>0.439</v>
      </c>
      <c r="AC19" s="3">
        <v>0.439</v>
      </c>
      <c r="AD19" s="3">
        <v>0.449</v>
      </c>
      <c r="AE19" s="3">
        <v>0.44</v>
      </c>
      <c r="AF19" s="3">
        <v>0.44</v>
      </c>
      <c r="AG19" s="3">
        <v>0.44</v>
      </c>
      <c r="AH19" s="3">
        <v>0.44</v>
      </c>
      <c r="AI19" s="3">
        <v>0.447</v>
      </c>
      <c r="AJ19" s="3">
        <v>0.447</v>
      </c>
      <c r="AK19" s="3">
        <v>0.447</v>
      </c>
      <c r="AL19" s="3">
        <v>0.451</v>
      </c>
      <c r="AM19" s="3">
        <v>0.454</v>
      </c>
      <c r="AN19" s="3">
        <v>0.452</v>
      </c>
      <c r="AO19" s="3">
        <v>0.398</v>
      </c>
      <c r="AP19" s="3">
        <v>0.399</v>
      </c>
      <c r="AQ19" s="3">
        <v>0.394</v>
      </c>
      <c r="AR19" s="3">
        <v>0.435</v>
      </c>
      <c r="AS19" s="3">
        <v>0.446</v>
      </c>
      <c r="AT19" s="3">
        <v>0.432</v>
      </c>
      <c r="AU19" s="3">
        <v>13.638</v>
      </c>
    </row>
    <row r="20" ht="14.25" customHeight="1">
      <c r="A20" s="2" t="s">
        <v>439</v>
      </c>
      <c r="B20" s="3">
        <v>0.895</v>
      </c>
      <c r="C20" s="3">
        <v>0.901</v>
      </c>
      <c r="D20" s="3">
        <v>0.901</v>
      </c>
      <c r="E20" s="3">
        <v>0.901</v>
      </c>
      <c r="F20" s="3">
        <v>0.901</v>
      </c>
      <c r="G20" s="3">
        <v>0.901</v>
      </c>
      <c r="H20" s="3">
        <v>0.905</v>
      </c>
      <c r="I20" s="3">
        <v>0.905</v>
      </c>
      <c r="J20" s="3">
        <v>0.905</v>
      </c>
      <c r="K20" s="3">
        <v>0.905</v>
      </c>
      <c r="L20" s="3">
        <v>0.905</v>
      </c>
      <c r="M20" s="3">
        <v>0.905</v>
      </c>
      <c r="N20" s="3">
        <v>0.905</v>
      </c>
      <c r="O20" s="3">
        <v>0.905</v>
      </c>
      <c r="P20" s="3">
        <v>0.905</v>
      </c>
      <c r="Q20" s="3">
        <v>0.908</v>
      </c>
      <c r="R20" s="3">
        <v>0.908</v>
      </c>
      <c r="S20" s="3">
        <v>0.908</v>
      </c>
      <c r="T20" s="3">
        <v>0.912</v>
      </c>
      <c r="U20" s="3">
        <v>0.915</v>
      </c>
      <c r="V20" s="3">
        <v>0.909</v>
      </c>
      <c r="W20" s="3">
        <v>0.909</v>
      </c>
      <c r="X20" s="3">
        <v>0.909</v>
      </c>
      <c r="Y20" s="3">
        <v>0.909</v>
      </c>
      <c r="Z20" s="3">
        <v>0.909</v>
      </c>
      <c r="AA20" s="3">
        <v>0.909</v>
      </c>
      <c r="AB20" s="3">
        <v>0.909</v>
      </c>
      <c r="AC20" s="3">
        <v>0.905</v>
      </c>
      <c r="AD20" s="3">
        <v>0.906</v>
      </c>
      <c r="AE20" s="3">
        <v>0.901</v>
      </c>
      <c r="AF20" s="3">
        <v>0.907</v>
      </c>
      <c r="AG20" s="3">
        <v>0.907</v>
      </c>
      <c r="AH20" s="3">
        <v>0.899</v>
      </c>
      <c r="AI20" s="3">
        <v>0.891</v>
      </c>
      <c r="AJ20" s="3">
        <v>0.885</v>
      </c>
      <c r="AK20" s="3">
        <v>0.867</v>
      </c>
      <c r="AL20" s="3">
        <v>0.867</v>
      </c>
      <c r="AM20" s="3">
        <v>0.868</v>
      </c>
      <c r="AN20" s="3">
        <v>0.879</v>
      </c>
      <c r="AO20" s="3">
        <v>0.883</v>
      </c>
      <c r="AP20" s="3">
        <v>0.899</v>
      </c>
      <c r="AQ20" s="3">
        <v>0.854</v>
      </c>
      <c r="AR20" s="3">
        <v>0.831</v>
      </c>
      <c r="AS20" s="3">
        <v>0.786</v>
      </c>
      <c r="AT20" s="3">
        <v>0.814</v>
      </c>
      <c r="AU20" s="3">
        <v>109.024</v>
      </c>
    </row>
    <row r="21" ht="14.25" customHeight="1">
      <c r="A21" s="2" t="s">
        <v>414</v>
      </c>
      <c r="B21" s="3">
        <v>0.25</v>
      </c>
      <c r="C21" s="3">
        <v>0.25</v>
      </c>
      <c r="D21" s="3">
        <v>0.25</v>
      </c>
      <c r="E21" s="3">
        <v>0.25</v>
      </c>
      <c r="F21" s="3">
        <v>0.25</v>
      </c>
      <c r="G21" s="3">
        <v>0.325</v>
      </c>
      <c r="H21" s="3">
        <v>0.434</v>
      </c>
      <c r="I21" s="3">
        <v>0.434</v>
      </c>
      <c r="J21" s="3">
        <v>0.605</v>
      </c>
      <c r="K21" s="3">
        <v>0.625</v>
      </c>
      <c r="L21" s="3">
        <v>0.645</v>
      </c>
      <c r="M21" s="3">
        <v>0.654</v>
      </c>
      <c r="N21" s="3">
        <v>0.654</v>
      </c>
      <c r="O21" s="3">
        <v>0.687</v>
      </c>
      <c r="P21" s="3">
        <v>0.708</v>
      </c>
      <c r="Q21" s="3">
        <v>0.716</v>
      </c>
      <c r="R21" s="3">
        <v>0.716</v>
      </c>
      <c r="S21" s="3">
        <v>0.719</v>
      </c>
      <c r="T21" s="3">
        <v>0.719</v>
      </c>
      <c r="U21" s="3">
        <v>0.719</v>
      </c>
      <c r="V21" s="3">
        <v>0.731</v>
      </c>
      <c r="W21" s="3">
        <v>0.731</v>
      </c>
      <c r="X21" s="3">
        <v>0.731</v>
      </c>
      <c r="Y21" s="3">
        <v>0.731</v>
      </c>
      <c r="Z21" s="3">
        <v>0.731</v>
      </c>
      <c r="AA21" s="3">
        <v>0.8</v>
      </c>
      <c r="AB21" s="3">
        <v>0.796</v>
      </c>
      <c r="AC21" s="3">
        <v>0.796</v>
      </c>
      <c r="AD21" s="3">
        <v>0.796</v>
      </c>
      <c r="AE21" s="3">
        <v>0.796</v>
      </c>
      <c r="AF21" s="3">
        <v>0.801</v>
      </c>
      <c r="AG21" s="3">
        <v>0.801</v>
      </c>
      <c r="AH21" s="3">
        <v>0.8</v>
      </c>
      <c r="AI21" s="3">
        <v>0.797</v>
      </c>
      <c r="AJ21" s="3">
        <v>0.797</v>
      </c>
      <c r="AK21" s="3">
        <v>0.794</v>
      </c>
      <c r="AL21" s="3">
        <v>0.736</v>
      </c>
      <c r="AM21" s="3">
        <v>0.728</v>
      </c>
      <c r="AN21" s="3">
        <v>0.71</v>
      </c>
      <c r="AO21" s="3">
        <v>0.638</v>
      </c>
      <c r="AP21" s="3">
        <v>0.644</v>
      </c>
      <c r="AQ21" s="3">
        <v>0.642</v>
      </c>
      <c r="AR21" s="3">
        <v>0.632</v>
      </c>
      <c r="AS21" s="3">
        <v>0.805</v>
      </c>
      <c r="AT21" s="3">
        <v>0.845</v>
      </c>
      <c r="AU21" s="3">
        <v>85.1489999999999</v>
      </c>
    </row>
    <row r="22" ht="14.25" customHeight="1">
      <c r="A22" s="2" t="s">
        <v>33</v>
      </c>
      <c r="B22" s="3">
        <v>0.285</v>
      </c>
      <c r="C22" s="3">
        <v>0.285</v>
      </c>
      <c r="D22" s="3">
        <v>0.285</v>
      </c>
      <c r="E22" s="3">
        <v>0.277</v>
      </c>
      <c r="F22" s="3">
        <v>0.277</v>
      </c>
      <c r="G22" s="3">
        <v>0.277</v>
      </c>
      <c r="H22" s="3">
        <v>0.271</v>
      </c>
      <c r="I22" s="3">
        <v>0.271</v>
      </c>
      <c r="J22" s="3">
        <v>0.271</v>
      </c>
      <c r="K22" s="3">
        <v>0.271</v>
      </c>
      <c r="L22" s="3">
        <v>0.689</v>
      </c>
      <c r="M22" s="3">
        <v>0.73</v>
      </c>
      <c r="N22" s="3">
        <v>0.754</v>
      </c>
      <c r="O22" s="3">
        <v>0.737</v>
      </c>
      <c r="P22" s="3">
        <v>0.737</v>
      </c>
      <c r="Q22" s="3">
        <v>0.737</v>
      </c>
      <c r="R22" s="3">
        <v>0.743</v>
      </c>
      <c r="S22" s="3">
        <v>0.762</v>
      </c>
      <c r="T22" s="3">
        <v>0.793</v>
      </c>
      <c r="U22" s="3">
        <v>0.793</v>
      </c>
      <c r="V22" s="3">
        <v>0.793</v>
      </c>
      <c r="W22" s="3">
        <v>0.774</v>
      </c>
      <c r="X22" s="3">
        <v>0.774</v>
      </c>
      <c r="Y22" s="3">
        <v>0.774</v>
      </c>
      <c r="Z22" s="3">
        <v>0.774</v>
      </c>
      <c r="AA22" s="3">
        <v>0.774</v>
      </c>
      <c r="AB22" s="3">
        <v>0.781</v>
      </c>
      <c r="AC22" s="3">
        <v>0.78</v>
      </c>
      <c r="AD22" s="3">
        <v>0.782</v>
      </c>
      <c r="AE22" s="3">
        <v>0.709</v>
      </c>
      <c r="AF22" s="3">
        <v>0.694</v>
      </c>
      <c r="AG22" s="3">
        <v>0.696</v>
      </c>
      <c r="AH22" s="3">
        <v>0.71</v>
      </c>
      <c r="AI22" s="3">
        <v>0.724</v>
      </c>
      <c r="AJ22" s="3">
        <v>0.737</v>
      </c>
      <c r="AK22" s="3">
        <v>0.716</v>
      </c>
      <c r="AL22" s="3">
        <v>0.7</v>
      </c>
      <c r="AM22" s="3">
        <v>0.691</v>
      </c>
      <c r="AN22" s="3">
        <v>0.67</v>
      </c>
      <c r="AO22" s="3">
        <v>0.636</v>
      </c>
      <c r="AP22" s="3">
        <v>0.637</v>
      </c>
      <c r="AQ22" s="3">
        <v>0.629</v>
      </c>
      <c r="AR22" s="3">
        <v>0.785</v>
      </c>
      <c r="AS22" s="3">
        <v>0.767</v>
      </c>
      <c r="AT22" s="3">
        <v>0.559</v>
      </c>
      <c r="AU22" s="3">
        <v>72.433</v>
      </c>
    </row>
    <row r="23" ht="14.25" customHeight="1">
      <c r="A23" s="2" t="s">
        <v>440</v>
      </c>
      <c r="B23" s="3">
        <v>0.452</v>
      </c>
      <c r="C23" s="3">
        <v>0.444</v>
      </c>
      <c r="D23" s="3">
        <v>0.444</v>
      </c>
      <c r="E23" s="3">
        <v>0.624</v>
      </c>
      <c r="F23" s="3">
        <v>0.651</v>
      </c>
      <c r="G23" s="3">
        <v>0.645</v>
      </c>
      <c r="H23" s="3">
        <v>0.655</v>
      </c>
      <c r="I23" s="3">
        <v>0.655</v>
      </c>
      <c r="J23" s="3">
        <v>0.345</v>
      </c>
      <c r="K23" s="3">
        <v>0.339</v>
      </c>
      <c r="L23" s="3">
        <v>0.354</v>
      </c>
      <c r="M23" s="3">
        <v>0.369</v>
      </c>
      <c r="N23" s="3">
        <v>0.46</v>
      </c>
      <c r="O23" s="3">
        <v>0.47</v>
      </c>
      <c r="P23" s="3">
        <v>0.47</v>
      </c>
      <c r="Q23" s="3">
        <v>0.47</v>
      </c>
      <c r="R23" s="3">
        <v>0.47</v>
      </c>
      <c r="S23" s="3">
        <v>0.47</v>
      </c>
      <c r="T23" s="3">
        <v>0.47</v>
      </c>
      <c r="U23" s="3">
        <v>0.548</v>
      </c>
      <c r="V23" s="3">
        <v>0.569</v>
      </c>
      <c r="W23" s="3">
        <v>0.569</v>
      </c>
      <c r="X23" s="3">
        <v>0.569</v>
      </c>
      <c r="Y23" s="3">
        <v>0.564</v>
      </c>
      <c r="Z23" s="3">
        <v>0.564</v>
      </c>
      <c r="AA23" s="3">
        <v>0.564</v>
      </c>
      <c r="AB23" s="3">
        <v>0.563</v>
      </c>
      <c r="AC23" s="3">
        <v>0.563</v>
      </c>
      <c r="AD23" s="3">
        <v>0.563</v>
      </c>
      <c r="AE23" s="3">
        <v>0.563</v>
      </c>
      <c r="AF23" s="3">
        <v>0.561</v>
      </c>
      <c r="AG23" s="3">
        <v>0.554</v>
      </c>
      <c r="AH23" s="3">
        <v>0.553</v>
      </c>
      <c r="AI23" s="3">
        <v>0.624</v>
      </c>
      <c r="AJ23" s="3">
        <v>0.679</v>
      </c>
      <c r="AK23" s="3">
        <v>0.706</v>
      </c>
      <c r="AL23" s="3">
        <v>0.71</v>
      </c>
      <c r="AM23" s="3">
        <v>0.714</v>
      </c>
      <c r="AN23" s="3">
        <v>0.728</v>
      </c>
      <c r="AO23" s="3">
        <v>0.693</v>
      </c>
      <c r="AP23" s="3">
        <v>0.707</v>
      </c>
      <c r="AQ23" s="3">
        <v>0.686</v>
      </c>
      <c r="AR23" s="3">
        <v>0.704</v>
      </c>
      <c r="AS23" s="3">
        <v>0.703</v>
      </c>
      <c r="AT23" s="3">
        <v>0.53</v>
      </c>
      <c r="AU23" s="3">
        <v>52.071</v>
      </c>
    </row>
    <row r="24" ht="14.25" customHeight="1">
      <c r="A24" s="2" t="s">
        <v>441</v>
      </c>
      <c r="B24" s="3">
        <v>0.579</v>
      </c>
      <c r="C24" s="3">
        <v>0.579</v>
      </c>
      <c r="D24" s="3">
        <v>0.579</v>
      </c>
      <c r="E24" s="3">
        <v>0.585</v>
      </c>
      <c r="F24" s="3">
        <v>0.585</v>
      </c>
      <c r="G24" s="3">
        <v>0.585</v>
      </c>
      <c r="H24" s="3">
        <v>0.585</v>
      </c>
      <c r="I24" s="3">
        <v>0.602</v>
      </c>
      <c r="J24" s="3">
        <v>0.574</v>
      </c>
      <c r="K24" s="3">
        <v>0.574</v>
      </c>
      <c r="L24" s="3">
        <v>0.577</v>
      </c>
      <c r="M24" s="3">
        <v>0.577</v>
      </c>
      <c r="N24" s="3">
        <v>0.562</v>
      </c>
      <c r="O24" s="3">
        <v>0.495</v>
      </c>
      <c r="P24" s="3">
        <v>0.463</v>
      </c>
      <c r="Q24" s="3">
        <v>0.463</v>
      </c>
      <c r="R24" s="3">
        <v>0.463</v>
      </c>
      <c r="S24" s="3">
        <v>0.463</v>
      </c>
      <c r="T24" s="3">
        <v>0.463</v>
      </c>
      <c r="U24" s="3">
        <v>0.463</v>
      </c>
      <c r="V24" s="3">
        <v>0.464</v>
      </c>
      <c r="W24" s="3">
        <v>0.464</v>
      </c>
      <c r="X24" s="3">
        <v>0.464</v>
      </c>
      <c r="Y24" s="3">
        <v>0.464</v>
      </c>
      <c r="Z24" s="3">
        <v>0.446</v>
      </c>
      <c r="AA24" s="3">
        <v>0.176</v>
      </c>
      <c r="AB24" s="3">
        <v>0.16</v>
      </c>
      <c r="AC24" s="3">
        <v>0.157</v>
      </c>
      <c r="AD24" s="3">
        <v>0.155</v>
      </c>
      <c r="AE24" s="3">
        <v>0.152</v>
      </c>
      <c r="AF24" s="3">
        <v>0.134</v>
      </c>
      <c r="AG24" s="3">
        <v>0.135</v>
      </c>
      <c r="AH24" s="3">
        <v>0.133</v>
      </c>
      <c r="AI24" s="3">
        <v>0.088</v>
      </c>
      <c r="AJ24" s="3">
        <v>0.078</v>
      </c>
      <c r="AK24" s="3">
        <v>0.07</v>
      </c>
      <c r="AL24" s="3">
        <v>0.042</v>
      </c>
      <c r="AM24" s="3">
        <v>0.043</v>
      </c>
      <c r="AN24" s="3">
        <v>0.034</v>
      </c>
      <c r="AO24" s="3">
        <v>0.069</v>
      </c>
      <c r="AP24" s="3">
        <v>0.073</v>
      </c>
      <c r="AQ24" s="3">
        <v>0.17</v>
      </c>
      <c r="AR24" s="3">
        <v>0.203</v>
      </c>
      <c r="AS24" s="3">
        <v>0.123</v>
      </c>
      <c r="AT24" s="3">
        <v>0.146</v>
      </c>
      <c r="AU24" s="3">
        <v>39.957</v>
      </c>
    </row>
    <row r="25" ht="14.25" customHeight="1">
      <c r="A25" s="2" t="s">
        <v>442</v>
      </c>
      <c r="B25" s="3">
        <v>0.787</v>
      </c>
      <c r="C25" s="3">
        <v>0.787</v>
      </c>
      <c r="D25" s="3">
        <v>0.787</v>
      </c>
      <c r="E25" s="3">
        <v>0.787</v>
      </c>
      <c r="F25" s="3">
        <v>0.787</v>
      </c>
      <c r="G25" s="3">
        <v>0.787</v>
      </c>
      <c r="H25" s="3">
        <v>0.787</v>
      </c>
      <c r="I25" s="3">
        <v>0.787</v>
      </c>
      <c r="J25" s="3">
        <v>0.797</v>
      </c>
      <c r="K25" s="3">
        <v>0.797</v>
      </c>
      <c r="L25" s="3">
        <v>0.803</v>
      </c>
      <c r="M25" s="3">
        <v>0.857</v>
      </c>
      <c r="N25" s="3">
        <v>0.863</v>
      </c>
      <c r="O25" s="3">
        <v>0.862</v>
      </c>
      <c r="P25" s="3">
        <v>0.862</v>
      </c>
      <c r="Q25" s="3">
        <v>0.862</v>
      </c>
      <c r="R25" s="3">
        <v>0.862</v>
      </c>
      <c r="S25" s="3">
        <v>0.862</v>
      </c>
      <c r="T25" s="3">
        <v>0.862</v>
      </c>
      <c r="U25" s="3">
        <v>0.862</v>
      </c>
      <c r="V25" s="3">
        <v>0.862</v>
      </c>
      <c r="W25" s="3">
        <v>0.865</v>
      </c>
      <c r="X25" s="3">
        <v>0.865</v>
      </c>
      <c r="Y25" s="3">
        <v>0.865</v>
      </c>
      <c r="Z25" s="3">
        <v>0.865</v>
      </c>
      <c r="AA25" s="3">
        <v>0.869</v>
      </c>
      <c r="AB25" s="3">
        <v>0.869</v>
      </c>
      <c r="AC25" s="3">
        <v>0.869</v>
      </c>
      <c r="AD25" s="3">
        <v>0.869</v>
      </c>
      <c r="AE25" s="3">
        <v>0.869</v>
      </c>
      <c r="AF25" s="3">
        <v>0.869</v>
      </c>
      <c r="AG25" s="3">
        <v>0.869</v>
      </c>
      <c r="AH25" s="3">
        <v>0.869</v>
      </c>
      <c r="AI25" s="3">
        <v>0.866</v>
      </c>
      <c r="AJ25" s="3">
        <v>0.86</v>
      </c>
      <c r="AK25" s="3">
        <v>0.862</v>
      </c>
      <c r="AL25" s="3">
        <v>0.86</v>
      </c>
      <c r="AM25" s="3">
        <v>0.851</v>
      </c>
      <c r="AN25" s="3">
        <v>0.844</v>
      </c>
      <c r="AO25" s="3">
        <v>0.84</v>
      </c>
      <c r="AP25" s="3">
        <v>0.84</v>
      </c>
      <c r="AQ25" s="3">
        <v>0.831</v>
      </c>
      <c r="AR25" s="3">
        <v>0.829</v>
      </c>
      <c r="AS25" s="3">
        <v>0.81</v>
      </c>
      <c r="AT25" s="3">
        <v>0.81</v>
      </c>
      <c r="AU25" s="3">
        <v>51.734</v>
      </c>
    </row>
    <row r="26" ht="14.25" customHeight="1">
      <c r="A26" s="2" t="s">
        <v>34</v>
      </c>
      <c r="B26" s="3">
        <v>0.139</v>
      </c>
      <c r="C26" s="3">
        <v>0.139</v>
      </c>
      <c r="D26" s="3">
        <v>0.139</v>
      </c>
      <c r="E26" s="3">
        <v>0.15</v>
      </c>
      <c r="F26" s="3">
        <v>0.15</v>
      </c>
      <c r="G26" s="3">
        <v>0.15</v>
      </c>
      <c r="H26" s="3">
        <v>0.15</v>
      </c>
      <c r="I26" s="3">
        <v>0.15</v>
      </c>
      <c r="J26" s="3">
        <v>0.15</v>
      </c>
      <c r="K26" s="3">
        <v>0.141</v>
      </c>
      <c r="L26" s="3">
        <v>0.127</v>
      </c>
      <c r="M26" s="3">
        <v>0.137</v>
      </c>
      <c r="N26" s="3">
        <v>0.16</v>
      </c>
      <c r="O26" s="3">
        <v>0.096</v>
      </c>
      <c r="P26" s="3">
        <v>0.096</v>
      </c>
      <c r="Q26" s="3">
        <v>0.096</v>
      </c>
      <c r="R26" s="3">
        <v>0.096</v>
      </c>
      <c r="S26" s="3">
        <v>0.096</v>
      </c>
      <c r="T26" s="3">
        <v>0.088</v>
      </c>
      <c r="U26" s="3">
        <v>0.089</v>
      </c>
      <c r="V26" s="3">
        <v>0.089</v>
      </c>
      <c r="W26" s="3">
        <v>0.089</v>
      </c>
      <c r="X26" s="3">
        <v>0.089</v>
      </c>
      <c r="Y26" s="3">
        <v>0.089</v>
      </c>
      <c r="Z26" s="3">
        <v>0.089</v>
      </c>
      <c r="AA26" s="3">
        <v>0.089</v>
      </c>
      <c r="AB26" s="3">
        <v>0.089</v>
      </c>
      <c r="AC26" s="3">
        <v>0.089</v>
      </c>
      <c r="AD26" s="3">
        <v>0.089</v>
      </c>
      <c r="AE26" s="3">
        <v>0.089</v>
      </c>
      <c r="AF26" s="3">
        <v>0.089</v>
      </c>
      <c r="AG26" s="3">
        <v>0.089</v>
      </c>
      <c r="AH26" s="3">
        <v>0.087</v>
      </c>
      <c r="AI26" s="3">
        <v>0.086</v>
      </c>
      <c r="AJ26" s="3">
        <v>0.11</v>
      </c>
      <c r="AK26" s="3">
        <v>0.11</v>
      </c>
      <c r="AL26" s="3">
        <v>0.097</v>
      </c>
      <c r="AM26" s="3">
        <v>0.077</v>
      </c>
      <c r="AN26" s="3">
        <v>0.071</v>
      </c>
      <c r="AO26" s="3">
        <v>0.072</v>
      </c>
      <c r="AP26" s="3">
        <v>0.069</v>
      </c>
      <c r="AQ26" s="3">
        <v>0.061</v>
      </c>
      <c r="AR26" s="3">
        <v>0.061</v>
      </c>
      <c r="AS26" s="3">
        <v>0.055</v>
      </c>
      <c r="AT26" s="3">
        <v>0.061</v>
      </c>
      <c r="AU26" s="3">
        <v>33.174</v>
      </c>
    </row>
    <row r="27" ht="14.25" customHeight="1">
      <c r="A27" s="2" t="s">
        <v>35</v>
      </c>
      <c r="B27" s="3">
        <v>0.195</v>
      </c>
      <c r="C27" s="3">
        <v>0.189</v>
      </c>
      <c r="D27" s="3">
        <v>0.185</v>
      </c>
      <c r="E27" s="3">
        <v>0.181</v>
      </c>
      <c r="F27" s="3">
        <v>0.188</v>
      </c>
      <c r="G27" s="3">
        <v>0.172</v>
      </c>
      <c r="H27" s="3">
        <v>0.166</v>
      </c>
      <c r="I27" s="3">
        <v>0.162</v>
      </c>
      <c r="J27" s="3">
        <v>0.162</v>
      </c>
      <c r="K27" s="3">
        <v>0.162</v>
      </c>
      <c r="L27" s="3">
        <v>0.14</v>
      </c>
      <c r="M27" s="3">
        <v>0.131</v>
      </c>
      <c r="N27" s="3">
        <v>0.131</v>
      </c>
      <c r="O27" s="3">
        <v>0.107</v>
      </c>
      <c r="P27" s="3">
        <v>0.104</v>
      </c>
      <c r="Q27" s="3">
        <v>0.107</v>
      </c>
      <c r="R27" s="3">
        <v>0.106</v>
      </c>
      <c r="S27" s="3">
        <v>0.107</v>
      </c>
      <c r="T27" s="3">
        <v>0.104</v>
      </c>
      <c r="U27" s="3">
        <v>0.104</v>
      </c>
      <c r="V27" s="3">
        <v>0.104</v>
      </c>
      <c r="W27" s="3">
        <v>0.104</v>
      </c>
      <c r="X27" s="3">
        <v>0.104</v>
      </c>
      <c r="Y27" s="3">
        <v>0.104</v>
      </c>
      <c r="Z27" s="3">
        <v>0.104</v>
      </c>
      <c r="AA27" s="3">
        <v>0.101</v>
      </c>
      <c r="AB27" s="3">
        <v>0.101</v>
      </c>
      <c r="AC27" s="3">
        <v>0.099</v>
      </c>
      <c r="AD27" s="3">
        <v>0.101</v>
      </c>
      <c r="AE27" s="3">
        <v>0.101</v>
      </c>
      <c r="AF27" s="3">
        <v>0.101</v>
      </c>
      <c r="AG27" s="3">
        <v>0.105</v>
      </c>
      <c r="AH27" s="3">
        <v>0.103</v>
      </c>
      <c r="AI27" s="3">
        <v>0.1</v>
      </c>
      <c r="AJ27" s="3">
        <v>0.1</v>
      </c>
      <c r="AK27" s="3">
        <v>0.1</v>
      </c>
      <c r="AL27" s="3">
        <v>0.084</v>
      </c>
      <c r="AM27" s="3">
        <v>0.084</v>
      </c>
      <c r="AN27" s="3">
        <v>0.078</v>
      </c>
      <c r="AO27" s="3">
        <v>0.076</v>
      </c>
      <c r="AP27" s="3">
        <v>0.089</v>
      </c>
      <c r="AQ27" s="3">
        <v>0.097</v>
      </c>
      <c r="AR27" s="3">
        <v>0.114</v>
      </c>
      <c r="AS27" s="3">
        <v>0.082</v>
      </c>
      <c r="AT27" s="3">
        <v>0.095</v>
      </c>
      <c r="AU27" s="3">
        <v>9.95200000000001</v>
      </c>
    </row>
    <row r="28" ht="14.25" customHeight="1">
      <c r="A28" s="2" t="s">
        <v>36</v>
      </c>
      <c r="B28" s="3">
        <v>0.972</v>
      </c>
      <c r="C28" s="3">
        <v>0.972</v>
      </c>
      <c r="D28" s="3">
        <v>0.972</v>
      </c>
      <c r="E28" s="3">
        <v>0.975</v>
      </c>
      <c r="F28" s="3">
        <v>0.975</v>
      </c>
      <c r="G28" s="3">
        <v>0.978</v>
      </c>
      <c r="H28" s="3">
        <v>0.978</v>
      </c>
      <c r="I28" s="3">
        <v>0.98</v>
      </c>
      <c r="J28" s="3">
        <v>0.98</v>
      </c>
      <c r="K28" s="3">
        <v>0.975</v>
      </c>
      <c r="L28" s="3">
        <v>0.978</v>
      </c>
      <c r="M28" s="3">
        <v>0.978</v>
      </c>
      <c r="N28" s="3">
        <v>0.978</v>
      </c>
      <c r="O28" s="3">
        <v>0.978</v>
      </c>
      <c r="P28" s="3">
        <v>0.977</v>
      </c>
      <c r="Q28" s="3">
        <v>0.977</v>
      </c>
      <c r="R28" s="3">
        <v>0.977</v>
      </c>
      <c r="S28" s="3">
        <v>0.977</v>
      </c>
      <c r="T28" s="3">
        <v>0.977</v>
      </c>
      <c r="U28" s="3">
        <v>0.977</v>
      </c>
      <c r="V28" s="3">
        <v>0.977</v>
      </c>
      <c r="W28" s="3">
        <v>0.977</v>
      </c>
      <c r="X28" s="3">
        <v>0.977</v>
      </c>
      <c r="Y28" s="3">
        <v>0.977</v>
      </c>
      <c r="Z28" s="3">
        <v>0.977</v>
      </c>
      <c r="AA28" s="3">
        <v>0.977</v>
      </c>
      <c r="AB28" s="3">
        <v>0.977</v>
      </c>
      <c r="AC28" s="3">
        <v>0.98</v>
      </c>
      <c r="AD28" s="3">
        <v>0.979</v>
      </c>
      <c r="AE28" s="3">
        <v>0.979</v>
      </c>
      <c r="AF28" s="3">
        <v>0.98</v>
      </c>
      <c r="AG28" s="3">
        <v>0.98</v>
      </c>
      <c r="AH28" s="3">
        <v>0.98</v>
      </c>
      <c r="AI28" s="3">
        <v>0.981</v>
      </c>
      <c r="AJ28" s="3">
        <v>0.981</v>
      </c>
      <c r="AK28" s="3">
        <v>0.982</v>
      </c>
      <c r="AL28" s="3">
        <v>0.983</v>
      </c>
      <c r="AM28" s="3">
        <v>0.983</v>
      </c>
      <c r="AN28" s="3">
        <v>0.983</v>
      </c>
      <c r="AO28" s="3">
        <v>0.978</v>
      </c>
      <c r="AP28" s="3">
        <v>0.965</v>
      </c>
      <c r="AQ28" s="3">
        <v>0.969</v>
      </c>
      <c r="AR28" s="3">
        <v>0.963</v>
      </c>
      <c r="AS28" s="3">
        <v>0.964</v>
      </c>
      <c r="AT28" s="3">
        <v>0.966</v>
      </c>
      <c r="AU28" s="3">
        <v>174.366</v>
      </c>
    </row>
    <row r="29" ht="14.25" customHeight="1">
      <c r="A29" s="2" t="s">
        <v>443</v>
      </c>
      <c r="B29" s="3">
        <v>0.17</v>
      </c>
      <c r="C29" s="3">
        <v>0.183</v>
      </c>
      <c r="D29" s="3">
        <v>0.161</v>
      </c>
      <c r="E29" s="3">
        <v>0.166</v>
      </c>
      <c r="F29" s="3">
        <v>0.166</v>
      </c>
      <c r="G29" s="3">
        <v>0.166</v>
      </c>
      <c r="H29" s="3">
        <v>0.175</v>
      </c>
      <c r="I29" s="3">
        <v>0.175</v>
      </c>
      <c r="J29" s="3">
        <v>0.175</v>
      </c>
      <c r="K29" s="3">
        <v>0.175</v>
      </c>
      <c r="L29" s="3">
        <v>0.175</v>
      </c>
      <c r="M29" s="3">
        <v>0.175</v>
      </c>
      <c r="N29" s="3">
        <v>0.175</v>
      </c>
      <c r="O29" s="3">
        <v>0.224</v>
      </c>
      <c r="P29" s="3">
        <v>0.236</v>
      </c>
      <c r="Q29" s="3">
        <v>0.236</v>
      </c>
      <c r="R29" s="3">
        <v>0.236</v>
      </c>
      <c r="S29" s="3">
        <v>0.236</v>
      </c>
      <c r="T29" s="3">
        <v>0.236</v>
      </c>
      <c r="U29" s="3">
        <v>0.236</v>
      </c>
      <c r="V29" s="3">
        <v>0.235</v>
      </c>
      <c r="W29" s="3">
        <v>0.235</v>
      </c>
      <c r="X29" s="3">
        <v>0.235</v>
      </c>
      <c r="Y29" s="3">
        <v>0.205</v>
      </c>
      <c r="Z29" s="3">
        <v>0.154</v>
      </c>
      <c r="AA29" s="3">
        <v>0.157</v>
      </c>
      <c r="AB29" s="3">
        <v>0.16</v>
      </c>
      <c r="AC29" s="3">
        <v>0.16</v>
      </c>
      <c r="AD29" s="3">
        <v>0.16</v>
      </c>
      <c r="AE29" s="3">
        <v>0.16</v>
      </c>
      <c r="AF29" s="3">
        <v>0.16</v>
      </c>
      <c r="AG29" s="3">
        <v>0.152</v>
      </c>
      <c r="AH29" s="3">
        <v>0.15</v>
      </c>
      <c r="AI29" s="3">
        <v>0.112</v>
      </c>
      <c r="AJ29" s="3">
        <v>0.184</v>
      </c>
      <c r="AK29" s="3">
        <v>0.191</v>
      </c>
      <c r="AL29" s="3">
        <v>0.226</v>
      </c>
      <c r="AM29" s="3">
        <v>0.243</v>
      </c>
      <c r="AN29" s="3">
        <v>0.258</v>
      </c>
      <c r="AO29" s="3">
        <v>0.256</v>
      </c>
      <c r="AP29" s="3">
        <v>0.17</v>
      </c>
      <c r="AQ29" s="3">
        <v>0.187</v>
      </c>
      <c r="AR29" s="3">
        <v>0.166</v>
      </c>
      <c r="AS29" s="3">
        <v>0.106</v>
      </c>
      <c r="AT29" s="3">
        <v>0.101</v>
      </c>
      <c r="AU29" s="3">
        <v>28.789</v>
      </c>
    </row>
    <row r="30" ht="14.25" customHeight="1">
      <c r="A30" s="2" t="s">
        <v>444</v>
      </c>
      <c r="B30" s="3">
        <v>0.119</v>
      </c>
      <c r="C30" s="3">
        <v>0.119</v>
      </c>
      <c r="D30" s="3">
        <v>0.104</v>
      </c>
      <c r="E30" s="3">
        <v>0.109</v>
      </c>
      <c r="F30" s="3">
        <v>0.109</v>
      </c>
      <c r="G30" s="3">
        <v>0.109</v>
      </c>
      <c r="H30" s="3">
        <v>0.109</v>
      </c>
      <c r="I30" s="3">
        <v>0.109</v>
      </c>
      <c r="J30" s="3">
        <v>0.109</v>
      </c>
      <c r="K30" s="3">
        <v>0.109</v>
      </c>
      <c r="L30" s="3">
        <v>0.093</v>
      </c>
      <c r="M30" s="3">
        <v>0.062</v>
      </c>
      <c r="N30" s="3">
        <v>0.062</v>
      </c>
      <c r="O30" s="3">
        <v>0.062</v>
      </c>
      <c r="P30" s="3">
        <v>0.062</v>
      </c>
      <c r="Q30" s="3">
        <v>0.062</v>
      </c>
      <c r="R30" s="3">
        <v>0.062</v>
      </c>
      <c r="S30" s="3">
        <v>0.062</v>
      </c>
      <c r="T30" s="3">
        <v>0.062</v>
      </c>
      <c r="U30" s="3">
        <v>0.062</v>
      </c>
      <c r="V30" s="3">
        <v>0.062</v>
      </c>
      <c r="W30" s="3">
        <v>0.062</v>
      </c>
      <c r="X30" s="3">
        <v>0.062</v>
      </c>
      <c r="Y30" s="3">
        <v>0.062</v>
      </c>
      <c r="Z30" s="3">
        <v>0.062</v>
      </c>
      <c r="AA30" s="3">
        <v>0.062</v>
      </c>
      <c r="AB30" s="3">
        <v>0.061</v>
      </c>
      <c r="AC30" s="3">
        <v>0.061</v>
      </c>
      <c r="AD30" s="3">
        <v>0.061</v>
      </c>
      <c r="AE30" s="3">
        <v>0.06</v>
      </c>
      <c r="AF30" s="3">
        <v>0.059</v>
      </c>
      <c r="AG30" s="3">
        <v>0.059</v>
      </c>
      <c r="AH30" s="3">
        <v>0.059</v>
      </c>
      <c r="AI30" s="3">
        <v>0.046</v>
      </c>
      <c r="AJ30" s="3">
        <v>0.047</v>
      </c>
      <c r="AK30" s="3">
        <v>0.047</v>
      </c>
      <c r="AL30" s="3">
        <v>0.047</v>
      </c>
      <c r="AM30" s="3">
        <v>0.054</v>
      </c>
      <c r="AN30" s="3">
        <v>0.05</v>
      </c>
      <c r="AO30" s="3">
        <v>0.051</v>
      </c>
      <c r="AP30" s="3">
        <v>0.053</v>
      </c>
      <c r="AQ30" s="3">
        <v>0.032</v>
      </c>
      <c r="AR30" s="3">
        <v>0.03</v>
      </c>
      <c r="AS30" s="3">
        <v>0.03</v>
      </c>
      <c r="AT30" s="3">
        <v>0.016</v>
      </c>
      <c r="AU30" s="3">
        <v>22.476</v>
      </c>
    </row>
    <row r="31" ht="14.25" customHeight="1">
      <c r="A31" s="2" t="s">
        <v>37</v>
      </c>
      <c r="B31" s="3">
        <v>0.379</v>
      </c>
      <c r="C31" s="3">
        <v>0.379</v>
      </c>
      <c r="D31" s="3">
        <v>0.386</v>
      </c>
      <c r="E31" s="3">
        <v>0.386</v>
      </c>
      <c r="F31" s="3">
        <v>0.386</v>
      </c>
      <c r="G31" s="3">
        <v>0.393</v>
      </c>
      <c r="H31" s="3">
        <v>0.393</v>
      </c>
      <c r="I31" s="3">
        <v>0.393</v>
      </c>
      <c r="J31" s="3">
        <v>0.393</v>
      </c>
      <c r="K31" s="3">
        <v>0.439</v>
      </c>
      <c r="L31" s="3">
        <v>0.942</v>
      </c>
      <c r="M31" s="3">
        <v>0.958</v>
      </c>
      <c r="N31" s="3">
        <v>0.958</v>
      </c>
      <c r="O31" s="3">
        <v>0.958</v>
      </c>
      <c r="P31" s="3">
        <v>0.958</v>
      </c>
      <c r="Q31" s="3">
        <v>0.958</v>
      </c>
      <c r="R31" s="3">
        <v>0.96</v>
      </c>
      <c r="S31" s="3">
        <v>0.96</v>
      </c>
      <c r="T31" s="3">
        <v>0.96</v>
      </c>
      <c r="U31" s="3">
        <v>0.96</v>
      </c>
      <c r="V31" s="3">
        <v>0.96</v>
      </c>
      <c r="W31" s="3">
        <v>0.96</v>
      </c>
      <c r="X31" s="3">
        <v>0.96</v>
      </c>
      <c r="Y31" s="3">
        <v>0.96</v>
      </c>
      <c r="Z31" s="3">
        <v>0.96</v>
      </c>
      <c r="AA31" s="3">
        <v>0.96</v>
      </c>
      <c r="AB31" s="3">
        <v>0.96</v>
      </c>
      <c r="AC31" s="3">
        <v>0.96</v>
      </c>
      <c r="AD31" s="3">
        <v>0.961</v>
      </c>
      <c r="AE31" s="3">
        <v>0.961</v>
      </c>
      <c r="AF31" s="3">
        <v>0.961</v>
      </c>
      <c r="AG31" s="3">
        <v>0.961</v>
      </c>
      <c r="AH31" s="3">
        <v>0.961</v>
      </c>
      <c r="AI31" s="3">
        <v>0.958</v>
      </c>
      <c r="AJ31" s="3">
        <v>0.958</v>
      </c>
      <c r="AK31" s="3">
        <v>0.95</v>
      </c>
      <c r="AL31" s="3">
        <v>0.95</v>
      </c>
      <c r="AM31" s="3">
        <v>0.95</v>
      </c>
      <c r="AN31" s="3">
        <v>0.946</v>
      </c>
      <c r="AO31" s="3">
        <v>0.941</v>
      </c>
      <c r="AP31" s="3">
        <v>0.945</v>
      </c>
      <c r="AQ31" s="3">
        <v>0.95</v>
      </c>
      <c r="AR31" s="3">
        <v>0.953</v>
      </c>
      <c r="AS31" s="3">
        <v>0.953</v>
      </c>
      <c r="AT31" s="3">
        <v>0.945</v>
      </c>
      <c r="AU31" s="3">
        <v>152.973</v>
      </c>
    </row>
    <row r="32" ht="14.25" customHeight="1">
      <c r="A32" s="2" t="s">
        <v>38</v>
      </c>
      <c r="B32" s="3">
        <v>0.342</v>
      </c>
      <c r="C32" s="3">
        <v>0.341</v>
      </c>
      <c r="D32" s="3">
        <v>0.341</v>
      </c>
      <c r="E32" s="3">
        <v>0.331</v>
      </c>
      <c r="F32" s="3">
        <v>0.331</v>
      </c>
      <c r="G32" s="3">
        <v>0.331</v>
      </c>
      <c r="H32" s="3">
        <v>0.321</v>
      </c>
      <c r="I32" s="3">
        <v>0.321</v>
      </c>
      <c r="J32" s="3">
        <v>0.321</v>
      </c>
      <c r="K32" s="3">
        <v>0.321</v>
      </c>
      <c r="L32" s="3">
        <v>0.317</v>
      </c>
      <c r="M32" s="3">
        <v>0.317</v>
      </c>
      <c r="N32" s="3">
        <v>0.315</v>
      </c>
      <c r="O32" s="3">
        <v>0.308</v>
      </c>
      <c r="P32" s="3">
        <v>0.307</v>
      </c>
      <c r="Q32" s="3">
        <v>0.307</v>
      </c>
      <c r="R32" s="3">
        <v>0.301</v>
      </c>
      <c r="S32" s="3">
        <v>0.307</v>
      </c>
      <c r="T32" s="3">
        <v>0.307</v>
      </c>
      <c r="U32" s="3">
        <v>0.307</v>
      </c>
      <c r="V32" s="3">
        <v>0.303</v>
      </c>
      <c r="W32" s="3">
        <v>0.307</v>
      </c>
      <c r="X32" s="3">
        <v>0.312</v>
      </c>
      <c r="Y32" s="3">
        <v>0.313</v>
      </c>
      <c r="Z32" s="3">
        <v>0.31</v>
      </c>
      <c r="AA32" s="3">
        <v>0.246</v>
      </c>
      <c r="AB32" s="3">
        <v>0.246</v>
      </c>
      <c r="AC32" s="3">
        <v>0.246</v>
      </c>
      <c r="AD32" s="3">
        <v>0.249</v>
      </c>
      <c r="AE32" s="3">
        <v>0.245</v>
      </c>
      <c r="AF32" s="3">
        <v>0.245</v>
      </c>
      <c r="AG32" s="3">
        <v>0.246</v>
      </c>
      <c r="AH32" s="3">
        <v>0.254</v>
      </c>
      <c r="AI32" s="3">
        <v>0.27</v>
      </c>
      <c r="AJ32" s="3">
        <v>0.278</v>
      </c>
      <c r="AK32" s="3">
        <v>0.259</v>
      </c>
      <c r="AL32" s="3">
        <v>0.261</v>
      </c>
      <c r="AM32" s="3">
        <v>0.253</v>
      </c>
      <c r="AN32" s="3">
        <v>0.257</v>
      </c>
      <c r="AO32" s="3">
        <v>0.265</v>
      </c>
      <c r="AP32" s="3">
        <v>0.241</v>
      </c>
      <c r="AQ32" s="3">
        <v>0.239</v>
      </c>
      <c r="AR32" s="3">
        <v>0.244</v>
      </c>
      <c r="AS32" s="3">
        <v>0.235</v>
      </c>
      <c r="AT32" s="3">
        <v>0.215</v>
      </c>
      <c r="AU32" s="3">
        <v>35.749</v>
      </c>
    </row>
    <row r="33" ht="14.25" customHeight="1">
      <c r="A33" s="2" t="s">
        <v>39</v>
      </c>
      <c r="B33" s="3">
        <v>0.511</v>
      </c>
      <c r="C33" s="3">
        <v>0.511</v>
      </c>
      <c r="D33" s="3">
        <v>0.539</v>
      </c>
      <c r="E33" s="3">
        <v>0.551</v>
      </c>
      <c r="F33" s="3">
        <v>0.551</v>
      </c>
      <c r="G33" s="3">
        <v>0.551</v>
      </c>
      <c r="H33" s="3">
        <v>0.534</v>
      </c>
      <c r="I33" s="3">
        <v>0.534</v>
      </c>
      <c r="J33" s="3">
        <v>0.525</v>
      </c>
      <c r="K33" s="3">
        <v>0.525</v>
      </c>
      <c r="L33" s="3">
        <v>0.527</v>
      </c>
      <c r="M33" s="3">
        <v>0.644</v>
      </c>
      <c r="N33" s="3">
        <v>0.676</v>
      </c>
      <c r="O33" s="3">
        <v>0.672</v>
      </c>
      <c r="P33" s="3">
        <v>0.676</v>
      </c>
      <c r="Q33" s="3">
        <v>0.676</v>
      </c>
      <c r="R33" s="3">
        <v>0.676</v>
      </c>
      <c r="S33" s="3">
        <v>0.682</v>
      </c>
      <c r="T33" s="3">
        <v>0.682</v>
      </c>
      <c r="U33" s="3">
        <v>0.682</v>
      </c>
      <c r="V33" s="3">
        <v>0.704</v>
      </c>
      <c r="W33" s="3">
        <v>0.704</v>
      </c>
      <c r="X33" s="3">
        <v>0.732</v>
      </c>
      <c r="Y33" s="3">
        <v>0.732</v>
      </c>
      <c r="Z33" s="3">
        <v>0.732</v>
      </c>
      <c r="AA33" s="3">
        <v>0.732</v>
      </c>
      <c r="AB33" s="3">
        <v>0.734</v>
      </c>
      <c r="AC33" s="3">
        <v>0.734</v>
      </c>
      <c r="AD33" s="3">
        <v>0.732</v>
      </c>
      <c r="AE33" s="3">
        <v>0.73</v>
      </c>
      <c r="AF33" s="3">
        <v>0.742</v>
      </c>
      <c r="AG33" s="3">
        <v>0.769</v>
      </c>
      <c r="AH33" s="3">
        <v>0.771</v>
      </c>
      <c r="AI33" s="3">
        <v>0.767</v>
      </c>
      <c r="AJ33" s="3">
        <v>0.767</v>
      </c>
      <c r="AK33" s="3">
        <v>0.754</v>
      </c>
      <c r="AL33" s="3">
        <v>0.766</v>
      </c>
      <c r="AM33" s="3">
        <v>0.758</v>
      </c>
      <c r="AN33" s="3">
        <v>0.759</v>
      </c>
      <c r="AO33" s="3">
        <v>0.745</v>
      </c>
      <c r="AP33" s="3">
        <v>0.736</v>
      </c>
      <c r="AQ33" s="3">
        <v>0.738</v>
      </c>
      <c r="AR33" s="3">
        <v>0.753</v>
      </c>
      <c r="AS33" s="3">
        <v>0.756</v>
      </c>
      <c r="AT33" s="3">
        <v>0.748</v>
      </c>
      <c r="AU33" s="3">
        <v>111.385</v>
      </c>
    </row>
    <row r="34" ht="14.25" customHeight="1">
      <c r="A34" s="2" t="s">
        <v>445</v>
      </c>
      <c r="B34" s="3">
        <v>0.26</v>
      </c>
      <c r="C34" s="3">
        <v>0.26</v>
      </c>
      <c r="D34" s="3">
        <v>0.26</v>
      </c>
      <c r="E34" s="3">
        <v>0.26</v>
      </c>
      <c r="F34" s="3">
        <v>0.26</v>
      </c>
      <c r="G34" s="3">
        <v>0.26</v>
      </c>
      <c r="H34" s="3">
        <v>0.264</v>
      </c>
      <c r="I34" s="3">
        <v>0.27</v>
      </c>
      <c r="J34" s="3">
        <v>0.27</v>
      </c>
      <c r="K34" s="3">
        <v>0.27</v>
      </c>
      <c r="L34" s="3">
        <v>0.289</v>
      </c>
      <c r="M34" s="3">
        <v>0.277</v>
      </c>
      <c r="N34" s="3">
        <v>0.277</v>
      </c>
      <c r="O34" s="3">
        <v>0.277</v>
      </c>
      <c r="P34" s="3">
        <v>0.277</v>
      </c>
      <c r="Q34" s="3">
        <v>0.276</v>
      </c>
      <c r="R34" s="3">
        <v>0.282</v>
      </c>
      <c r="S34" s="3">
        <v>0.282</v>
      </c>
      <c r="T34" s="3">
        <v>0.282</v>
      </c>
      <c r="U34" s="3">
        <v>0.269</v>
      </c>
      <c r="V34" s="3">
        <v>0.28</v>
      </c>
      <c r="W34" s="3">
        <v>0.263</v>
      </c>
      <c r="X34" s="3">
        <v>0.32</v>
      </c>
      <c r="Y34" s="3">
        <v>0.346</v>
      </c>
      <c r="Z34" s="3">
        <v>0.346</v>
      </c>
      <c r="AA34" s="3">
        <v>0.358</v>
      </c>
      <c r="AB34" s="3">
        <v>0.318</v>
      </c>
      <c r="AC34" s="3">
        <v>0.318</v>
      </c>
      <c r="AD34" s="3">
        <v>0.323</v>
      </c>
      <c r="AE34" s="3">
        <v>0.311</v>
      </c>
      <c r="AF34" s="3">
        <v>0.328</v>
      </c>
      <c r="AG34" s="3">
        <v>0.337</v>
      </c>
      <c r="AH34" s="3">
        <v>0.349</v>
      </c>
      <c r="AI34" s="3">
        <v>0.328</v>
      </c>
      <c r="AJ34" s="3">
        <v>0.333</v>
      </c>
      <c r="AK34" s="3">
        <v>0.305</v>
      </c>
      <c r="AL34" s="3">
        <v>0.334</v>
      </c>
      <c r="AM34" s="3">
        <v>0.299</v>
      </c>
      <c r="AN34" s="3">
        <v>0.246</v>
      </c>
      <c r="AO34" s="3">
        <v>0.137</v>
      </c>
      <c r="AP34" s="3">
        <v>0.149</v>
      </c>
      <c r="AQ34" s="3">
        <v>0.149</v>
      </c>
      <c r="AR34" s="3">
        <v>0.144</v>
      </c>
      <c r="AS34" s="3">
        <v>0.119</v>
      </c>
      <c r="AT34" s="3">
        <v>0.119</v>
      </c>
      <c r="AU34" s="3">
        <v>42.878</v>
      </c>
    </row>
    <row r="35" ht="14.25" customHeight="1">
      <c r="A35" s="2" t="s">
        <v>45</v>
      </c>
      <c r="B35" s="3">
        <v>0.028</v>
      </c>
      <c r="C35" s="3">
        <v>0.028</v>
      </c>
      <c r="D35" s="3">
        <v>0.028</v>
      </c>
      <c r="E35" s="3">
        <v>0.028</v>
      </c>
      <c r="F35" s="3">
        <v>0.028</v>
      </c>
      <c r="G35" s="3">
        <v>0.028</v>
      </c>
      <c r="H35" s="3">
        <v>0.028</v>
      </c>
      <c r="I35" s="3">
        <v>0.028</v>
      </c>
      <c r="J35" s="3">
        <v>0.028</v>
      </c>
      <c r="K35" s="3">
        <v>0.028</v>
      </c>
      <c r="L35" s="3">
        <v>0.05</v>
      </c>
      <c r="M35" s="3">
        <v>0.05</v>
      </c>
      <c r="N35" s="3">
        <v>0.05</v>
      </c>
      <c r="O35" s="3">
        <v>0.05</v>
      </c>
      <c r="P35" s="3">
        <v>0.05</v>
      </c>
      <c r="Q35" s="3">
        <v>0.05</v>
      </c>
      <c r="R35" s="3">
        <v>0.048</v>
      </c>
      <c r="S35" s="3">
        <v>0.038</v>
      </c>
      <c r="T35" s="3">
        <v>0.045</v>
      </c>
      <c r="U35" s="3">
        <v>0.053</v>
      </c>
      <c r="V35" s="3">
        <v>0.081</v>
      </c>
      <c r="W35" s="3">
        <v>0.081</v>
      </c>
      <c r="X35" s="3">
        <v>0.081</v>
      </c>
      <c r="Y35" s="3">
        <v>0.087</v>
      </c>
      <c r="Z35" s="3">
        <v>0.088</v>
      </c>
      <c r="AA35" s="3">
        <v>0.088</v>
      </c>
      <c r="AB35" s="3">
        <v>0.095</v>
      </c>
      <c r="AC35" s="3">
        <v>0.094</v>
      </c>
      <c r="AD35" s="3">
        <v>0.094</v>
      </c>
      <c r="AE35" s="3">
        <v>0.1</v>
      </c>
      <c r="AF35" s="3">
        <v>0.104</v>
      </c>
      <c r="AG35" s="3">
        <v>0.104</v>
      </c>
      <c r="AH35" s="3">
        <v>0.105</v>
      </c>
      <c r="AI35" s="3">
        <v>0.083</v>
      </c>
      <c r="AJ35" s="3">
        <v>0.083</v>
      </c>
      <c r="AK35" s="3">
        <v>0.072</v>
      </c>
      <c r="AL35" s="3">
        <v>0.072</v>
      </c>
      <c r="AM35" s="3">
        <v>0.063</v>
      </c>
      <c r="AN35" s="3">
        <v>0.076</v>
      </c>
      <c r="AO35" s="3">
        <v>0.112</v>
      </c>
      <c r="AP35" s="3">
        <v>0.145</v>
      </c>
      <c r="AQ35" s="3">
        <v>0.11</v>
      </c>
      <c r="AR35" s="3">
        <v>0.104</v>
      </c>
      <c r="AS35" s="3">
        <v>0.123</v>
      </c>
      <c r="AT35" s="3">
        <v>0.137</v>
      </c>
      <c r="AU35" s="3">
        <v>29.269</v>
      </c>
    </row>
    <row r="36" ht="14.25" customHeight="1">
      <c r="A36" s="2" t="s">
        <v>446</v>
      </c>
      <c r="B36" s="3">
        <v>0.053</v>
      </c>
      <c r="C36" s="3">
        <v>0.053</v>
      </c>
      <c r="D36" s="3">
        <v>0.057</v>
      </c>
      <c r="E36" s="3">
        <v>0.057</v>
      </c>
      <c r="F36" s="3">
        <v>0.057</v>
      </c>
      <c r="G36" s="3">
        <v>0.057</v>
      </c>
      <c r="H36" s="3">
        <v>0.057</v>
      </c>
      <c r="I36" s="3">
        <v>0.057</v>
      </c>
      <c r="J36" s="3">
        <v>0.057</v>
      </c>
      <c r="K36" s="3">
        <v>0.057</v>
      </c>
      <c r="L36" s="3">
        <v>0.082</v>
      </c>
      <c r="M36" s="3">
        <v>0.429</v>
      </c>
      <c r="N36" s="3">
        <v>0.453</v>
      </c>
      <c r="O36" s="3">
        <v>0.466</v>
      </c>
      <c r="P36" s="3">
        <v>0.466</v>
      </c>
      <c r="Q36" s="3">
        <v>0.466</v>
      </c>
      <c r="R36" s="3">
        <v>0.466</v>
      </c>
      <c r="S36" s="3">
        <v>0.13</v>
      </c>
      <c r="T36" s="3">
        <v>0.133</v>
      </c>
      <c r="U36" s="3">
        <v>0.144</v>
      </c>
      <c r="V36" s="3">
        <v>0.144</v>
      </c>
      <c r="W36" s="3">
        <v>0.144</v>
      </c>
      <c r="X36" s="3">
        <v>0.144</v>
      </c>
      <c r="Y36" s="3">
        <v>0.144</v>
      </c>
      <c r="Z36" s="3">
        <v>0.144</v>
      </c>
      <c r="AA36" s="3">
        <v>0.144</v>
      </c>
      <c r="AB36" s="3">
        <v>0.144</v>
      </c>
      <c r="AC36" s="3">
        <v>0.144</v>
      </c>
      <c r="AD36" s="3">
        <v>0.144</v>
      </c>
      <c r="AE36" s="3">
        <v>0.14</v>
      </c>
      <c r="AF36" s="3">
        <v>0.139</v>
      </c>
      <c r="AG36" s="3">
        <v>0.139</v>
      </c>
      <c r="AH36" s="3">
        <v>0.139</v>
      </c>
      <c r="AI36" s="3">
        <v>0.148</v>
      </c>
      <c r="AJ36" s="3">
        <v>0.148</v>
      </c>
      <c r="AK36" s="3">
        <v>0.148</v>
      </c>
      <c r="AL36" s="3">
        <v>0.148</v>
      </c>
      <c r="AM36" s="3">
        <v>0.152</v>
      </c>
      <c r="AN36" s="3">
        <v>0.163</v>
      </c>
      <c r="AO36" s="3">
        <v>0.148</v>
      </c>
      <c r="AP36" s="3">
        <v>0.19</v>
      </c>
      <c r="AQ36" s="3">
        <v>0.184</v>
      </c>
      <c r="AR36" s="3">
        <v>0.181</v>
      </c>
      <c r="AS36" s="3">
        <v>0.194</v>
      </c>
      <c r="AT36" s="3">
        <v>0.188</v>
      </c>
      <c r="AU36" s="3">
        <v>28.732</v>
      </c>
    </row>
    <row r="37" ht="14.25" customHeight="1">
      <c r="A37" s="2" t="s">
        <v>40</v>
      </c>
      <c r="B37" s="3">
        <v>0.921</v>
      </c>
      <c r="C37" s="3">
        <v>0.921</v>
      </c>
      <c r="D37" s="3">
        <v>0.922</v>
      </c>
      <c r="E37" s="3">
        <v>0.922</v>
      </c>
      <c r="F37" s="3">
        <v>0.922</v>
      </c>
      <c r="G37" s="3">
        <v>0.922</v>
      </c>
      <c r="H37" s="3">
        <v>0.922</v>
      </c>
      <c r="I37" s="3">
        <v>0.931</v>
      </c>
      <c r="J37" s="3">
        <v>0.931</v>
      </c>
      <c r="K37" s="3">
        <v>0.941</v>
      </c>
      <c r="L37" s="3">
        <v>0.949</v>
      </c>
      <c r="M37" s="3">
        <v>0.952</v>
      </c>
      <c r="N37" s="3">
        <v>0.952</v>
      </c>
      <c r="O37" s="3">
        <v>0.952</v>
      </c>
      <c r="P37" s="3">
        <v>0.952</v>
      </c>
      <c r="Q37" s="3">
        <v>0.955</v>
      </c>
      <c r="R37" s="3">
        <v>0.955</v>
      </c>
      <c r="S37" s="3">
        <v>0.95</v>
      </c>
      <c r="T37" s="3">
        <v>0.951</v>
      </c>
      <c r="U37" s="3">
        <v>0.951</v>
      </c>
      <c r="V37" s="3">
        <v>0.951</v>
      </c>
      <c r="W37" s="3">
        <v>0.951</v>
      </c>
      <c r="X37" s="3">
        <v>0.951</v>
      </c>
      <c r="Y37" s="3">
        <v>0.951</v>
      </c>
      <c r="Z37" s="3">
        <v>0.951</v>
      </c>
      <c r="AA37" s="3">
        <v>0.945</v>
      </c>
      <c r="AB37" s="3">
        <v>0.938</v>
      </c>
      <c r="AC37" s="3">
        <v>0.938</v>
      </c>
      <c r="AD37" s="3">
        <v>0.938</v>
      </c>
      <c r="AE37" s="3">
        <v>0.94</v>
      </c>
      <c r="AF37" s="3">
        <v>0.942</v>
      </c>
      <c r="AG37" s="3">
        <v>0.943</v>
      </c>
      <c r="AH37" s="3">
        <v>0.944</v>
      </c>
      <c r="AI37" s="3">
        <v>0.938</v>
      </c>
      <c r="AJ37" s="3">
        <v>0.945</v>
      </c>
      <c r="AK37" s="3">
        <v>0.943</v>
      </c>
      <c r="AL37" s="3">
        <v>0.942</v>
      </c>
      <c r="AM37" s="3">
        <v>0.939</v>
      </c>
      <c r="AN37" s="3">
        <v>0.94</v>
      </c>
      <c r="AO37" s="3">
        <v>0.941</v>
      </c>
      <c r="AP37" s="3">
        <v>0.942</v>
      </c>
      <c r="AQ37" s="3">
        <v>0.942</v>
      </c>
      <c r="AR37" s="3">
        <v>0.942</v>
      </c>
      <c r="AS37" s="3">
        <v>0.942</v>
      </c>
      <c r="AT37" s="3">
        <v>0.936</v>
      </c>
      <c r="AU37" s="3">
        <v>139.356</v>
      </c>
    </row>
    <row r="38" ht="14.25" customHeight="1">
      <c r="A38" s="2" t="s">
        <v>41</v>
      </c>
      <c r="B38" s="3">
        <v>0.381</v>
      </c>
      <c r="C38" s="3">
        <v>0.381</v>
      </c>
      <c r="D38" s="3">
        <v>0.381</v>
      </c>
      <c r="E38" s="3">
        <v>0.381</v>
      </c>
      <c r="F38" s="3">
        <v>0.381</v>
      </c>
      <c r="G38" s="3">
        <v>0.381</v>
      </c>
      <c r="H38" s="3">
        <v>0.381</v>
      </c>
      <c r="I38" s="3">
        <v>0.381</v>
      </c>
      <c r="J38" s="3">
        <v>0.381</v>
      </c>
      <c r="K38" s="3">
        <v>0.381</v>
      </c>
      <c r="L38" s="3">
        <v>0.487</v>
      </c>
      <c r="M38" s="3">
        <v>0.491</v>
      </c>
      <c r="N38" s="3">
        <v>0.494</v>
      </c>
      <c r="O38" s="3">
        <v>0.481</v>
      </c>
      <c r="P38" s="3">
        <v>0.447</v>
      </c>
      <c r="Q38" s="3">
        <v>0.444</v>
      </c>
      <c r="R38" s="3">
        <v>0.453</v>
      </c>
      <c r="S38" s="3">
        <v>0.453</v>
      </c>
      <c r="T38" s="3">
        <v>0.466</v>
      </c>
      <c r="U38" s="3">
        <v>0.454</v>
      </c>
      <c r="V38" s="3">
        <v>0.521</v>
      </c>
      <c r="W38" s="3">
        <v>0.502</v>
      </c>
      <c r="X38" s="3">
        <v>0.464</v>
      </c>
      <c r="Y38" s="3">
        <v>0.49</v>
      </c>
      <c r="Z38" s="3">
        <v>0.49</v>
      </c>
      <c r="AA38" s="3">
        <v>0.49</v>
      </c>
      <c r="AB38" s="3">
        <v>0.49</v>
      </c>
      <c r="AC38" s="3">
        <v>0.49</v>
      </c>
      <c r="AD38" s="3">
        <v>0.478</v>
      </c>
      <c r="AE38" s="3">
        <v>0.479</v>
      </c>
      <c r="AF38" s="3">
        <v>0.482</v>
      </c>
      <c r="AG38" s="3">
        <v>0.536</v>
      </c>
      <c r="AH38" s="3">
        <v>0.571</v>
      </c>
      <c r="AI38" s="3">
        <v>0.584</v>
      </c>
      <c r="AJ38" s="3">
        <v>0.587</v>
      </c>
      <c r="AK38" s="3">
        <v>0.59</v>
      </c>
      <c r="AL38" s="3">
        <v>0.579</v>
      </c>
      <c r="AM38" s="3">
        <v>0.551</v>
      </c>
      <c r="AN38" s="3">
        <v>0.547</v>
      </c>
      <c r="AO38" s="3">
        <v>0.5</v>
      </c>
      <c r="AP38" s="3">
        <v>0.411</v>
      </c>
      <c r="AQ38" s="3">
        <v>0.415</v>
      </c>
      <c r="AR38" s="3">
        <v>0.415</v>
      </c>
      <c r="AS38" s="3">
        <v>0.426</v>
      </c>
      <c r="AT38" s="3">
        <v>0.42</v>
      </c>
      <c r="AU38" s="3">
        <v>49.045</v>
      </c>
    </row>
    <row r="39" ht="14.25" customHeight="1">
      <c r="A39" s="2" t="s">
        <v>447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v>0.343</v>
      </c>
      <c r="N39" s="3">
        <v>0.346</v>
      </c>
      <c r="O39" s="3">
        <v>0.346</v>
      </c>
      <c r="P39" s="3">
        <v>0.348</v>
      </c>
      <c r="Q39" s="3">
        <v>0.357</v>
      </c>
      <c r="R39" s="3">
        <v>0.381</v>
      </c>
      <c r="S39" s="3">
        <v>0.394</v>
      </c>
      <c r="T39" s="3">
        <v>0.401</v>
      </c>
      <c r="U39" s="3">
        <v>0.401</v>
      </c>
      <c r="V39" s="3">
        <v>0.778</v>
      </c>
      <c r="W39" s="3">
        <v>0.786</v>
      </c>
      <c r="X39" s="3">
        <v>0.789</v>
      </c>
      <c r="Y39" s="3">
        <v>0.771</v>
      </c>
      <c r="Z39" s="3">
        <v>0.695</v>
      </c>
      <c r="AA39" s="3">
        <v>0.686</v>
      </c>
      <c r="AB39" s="3">
        <v>0.686</v>
      </c>
      <c r="AC39" s="3">
        <v>0.692</v>
      </c>
      <c r="AD39" s="3">
        <v>0.694</v>
      </c>
      <c r="AE39" s="3">
        <v>0.759</v>
      </c>
      <c r="AF39" s="3">
        <v>0.832</v>
      </c>
      <c r="AG39" s="3">
        <v>0.85</v>
      </c>
      <c r="AH39" s="3">
        <v>0.85</v>
      </c>
      <c r="AI39" s="3">
        <v>0.821</v>
      </c>
      <c r="AJ39" s="3">
        <v>0.821</v>
      </c>
      <c r="AK39" s="3">
        <v>0.82</v>
      </c>
      <c r="AL39" s="3">
        <v>0.79</v>
      </c>
      <c r="AM39" s="3">
        <v>0.785</v>
      </c>
      <c r="AN39" s="3">
        <v>0.785</v>
      </c>
      <c r="AO39" s="3">
        <v>0.792</v>
      </c>
      <c r="AP39" s="3">
        <v>0.823</v>
      </c>
      <c r="AQ39" s="3">
        <v>0.831</v>
      </c>
      <c r="AR39" s="3">
        <v>0.858</v>
      </c>
      <c r="AS39" s="3">
        <v>0.835</v>
      </c>
      <c r="AT39" s="3">
        <v>0.8</v>
      </c>
      <c r="AU39" s="3">
        <v>23.009</v>
      </c>
    </row>
    <row r="40" ht="14.25" customHeight="1">
      <c r="A40" s="2" t="s">
        <v>42</v>
      </c>
      <c r="B40" s="3">
        <v>0.189</v>
      </c>
      <c r="C40" s="3">
        <v>0.189</v>
      </c>
      <c r="D40" s="3">
        <v>0.189</v>
      </c>
      <c r="E40" s="3">
        <v>0.189</v>
      </c>
      <c r="F40" s="3">
        <v>0.189</v>
      </c>
      <c r="G40" s="3">
        <v>0.189</v>
      </c>
      <c r="H40" s="3">
        <v>0.189</v>
      </c>
      <c r="I40" s="3">
        <v>0.189</v>
      </c>
      <c r="J40" s="3">
        <v>0.189</v>
      </c>
      <c r="K40" s="3">
        <v>0.189</v>
      </c>
      <c r="L40" s="3">
        <v>0.189</v>
      </c>
      <c r="M40" s="3">
        <v>0.189</v>
      </c>
      <c r="N40" s="3">
        <v>0.15</v>
      </c>
      <c r="O40" s="3">
        <v>0.146</v>
      </c>
      <c r="P40" s="3">
        <v>0.146</v>
      </c>
      <c r="Q40" s="3">
        <v>0.146</v>
      </c>
      <c r="R40" s="3">
        <v>0.146</v>
      </c>
      <c r="S40" s="3">
        <v>0.146</v>
      </c>
      <c r="T40" s="3">
        <v>0.146</v>
      </c>
      <c r="U40" s="3">
        <v>0.146</v>
      </c>
      <c r="V40" s="3">
        <v>0.146</v>
      </c>
      <c r="W40" s="3">
        <v>0.146</v>
      </c>
      <c r="X40" s="3">
        <v>0.146</v>
      </c>
      <c r="Y40" s="3">
        <v>0.137</v>
      </c>
      <c r="Z40" s="3">
        <v>0.137</v>
      </c>
      <c r="AA40" s="3">
        <v>0.137</v>
      </c>
      <c r="AB40" s="3">
        <v>0.137</v>
      </c>
      <c r="AC40" s="3">
        <v>0.137</v>
      </c>
      <c r="AD40" s="3">
        <v>0.142</v>
      </c>
      <c r="AE40" s="3">
        <v>0.142</v>
      </c>
      <c r="AF40" s="3">
        <v>0.142</v>
      </c>
      <c r="AG40" s="3">
        <v>0.142</v>
      </c>
      <c r="AH40" s="3">
        <v>0.142</v>
      </c>
      <c r="AI40" s="3">
        <v>0.148</v>
      </c>
      <c r="AJ40" s="3">
        <v>0.145</v>
      </c>
      <c r="AK40" s="3">
        <v>0.143</v>
      </c>
      <c r="AL40" s="3">
        <v>0.156</v>
      </c>
      <c r="AM40" s="3">
        <v>0.136</v>
      </c>
      <c r="AN40" s="3">
        <v>0.146</v>
      </c>
      <c r="AO40" s="3">
        <v>0.145</v>
      </c>
      <c r="AP40" s="3">
        <v>0.146</v>
      </c>
      <c r="AQ40" s="3">
        <v>0.14</v>
      </c>
      <c r="AR40" s="3">
        <v>0.14</v>
      </c>
      <c r="AS40" s="3">
        <v>0.138</v>
      </c>
      <c r="AT40" s="3">
        <v>0.128</v>
      </c>
      <c r="AU40" s="3">
        <v>64.4590000000001</v>
      </c>
    </row>
    <row r="41" ht="14.25" customHeight="1">
      <c r="A41" s="2" t="s">
        <v>43</v>
      </c>
      <c r="B41" s="3">
        <v>0.822</v>
      </c>
      <c r="C41" s="3">
        <v>0.822</v>
      </c>
      <c r="D41" s="3">
        <v>0.822</v>
      </c>
      <c r="E41" s="3">
        <v>0.822</v>
      </c>
      <c r="F41" s="3">
        <v>0.821</v>
      </c>
      <c r="G41" s="3">
        <v>0.821</v>
      </c>
      <c r="H41" s="3">
        <v>0.825</v>
      </c>
      <c r="I41" s="3">
        <v>0.825</v>
      </c>
      <c r="J41" s="3">
        <v>0.825</v>
      </c>
      <c r="K41" s="3">
        <v>0.825</v>
      </c>
      <c r="L41" s="3">
        <v>0.839</v>
      </c>
      <c r="M41" s="3">
        <v>0.839</v>
      </c>
      <c r="N41" s="3">
        <v>0.839</v>
      </c>
      <c r="O41" s="3">
        <v>0.839</v>
      </c>
      <c r="P41" s="3">
        <v>0.839</v>
      </c>
      <c r="Q41" s="3">
        <v>0.839</v>
      </c>
      <c r="R41" s="3">
        <v>0.839</v>
      </c>
      <c r="S41" s="3">
        <v>0.839</v>
      </c>
      <c r="T41" s="3">
        <v>0.839</v>
      </c>
      <c r="U41" s="3">
        <v>0.837</v>
      </c>
      <c r="V41" s="3">
        <v>0.862</v>
      </c>
      <c r="W41" s="3">
        <v>0.862</v>
      </c>
      <c r="X41" s="3">
        <v>0.862</v>
      </c>
      <c r="Y41" s="3">
        <v>0.862</v>
      </c>
      <c r="Z41" s="3">
        <v>0.899</v>
      </c>
      <c r="AA41" s="3">
        <v>0.901</v>
      </c>
      <c r="AB41" s="3">
        <v>0.901</v>
      </c>
      <c r="AC41" s="3">
        <v>0.904</v>
      </c>
      <c r="AD41" s="3">
        <v>0.904</v>
      </c>
      <c r="AE41" s="3">
        <v>0.909</v>
      </c>
      <c r="AF41" s="3">
        <v>0.907</v>
      </c>
      <c r="AG41" s="3">
        <v>0.907</v>
      </c>
      <c r="AH41" s="3">
        <v>0.907</v>
      </c>
      <c r="AI41" s="3">
        <v>0.898</v>
      </c>
      <c r="AJ41" s="3">
        <v>0.897</v>
      </c>
      <c r="AK41" s="3">
        <v>0.897</v>
      </c>
      <c r="AL41" s="3">
        <v>0.899</v>
      </c>
      <c r="AM41" s="3">
        <v>0.903</v>
      </c>
      <c r="AN41" s="3">
        <v>0.901</v>
      </c>
      <c r="AO41" s="3">
        <v>0.885</v>
      </c>
      <c r="AP41" s="3">
        <v>0.88</v>
      </c>
      <c r="AQ41" s="3">
        <v>0.86</v>
      </c>
      <c r="AR41" s="3">
        <v>0.866</v>
      </c>
      <c r="AS41" s="3">
        <v>0.862</v>
      </c>
      <c r="AT41" s="3">
        <v>0.873</v>
      </c>
      <c r="AU41" s="3">
        <v>85.376</v>
      </c>
    </row>
    <row r="42" ht="14.25" customHeight="1">
      <c r="A42" s="2" t="s">
        <v>44</v>
      </c>
      <c r="B42" s="3">
        <v>0.189</v>
      </c>
      <c r="C42" s="3">
        <v>0.189</v>
      </c>
      <c r="D42" s="3">
        <v>0.189</v>
      </c>
      <c r="E42" s="3">
        <v>0.189</v>
      </c>
      <c r="F42" s="3">
        <v>0.189</v>
      </c>
      <c r="G42" s="3">
        <v>0.189</v>
      </c>
      <c r="H42" s="3">
        <v>0.189</v>
      </c>
      <c r="I42" s="3">
        <v>0.189</v>
      </c>
      <c r="J42" s="3">
        <v>0.189</v>
      </c>
      <c r="K42" s="3">
        <v>0.212</v>
      </c>
      <c r="L42" s="3">
        <v>0.843</v>
      </c>
      <c r="M42" s="3">
        <v>0.843</v>
      </c>
      <c r="N42" s="3">
        <v>0.843</v>
      </c>
      <c r="O42" s="3">
        <v>0.843</v>
      </c>
      <c r="P42" s="3">
        <v>0.843</v>
      </c>
      <c r="Q42" s="3">
        <v>0.843</v>
      </c>
      <c r="R42" s="3">
        <v>0.843</v>
      </c>
      <c r="S42" s="3">
        <v>0.843</v>
      </c>
      <c r="T42" s="3">
        <v>0.843</v>
      </c>
      <c r="U42" s="3">
        <v>0.843</v>
      </c>
      <c r="V42" s="3">
        <v>0.855</v>
      </c>
      <c r="W42" s="3">
        <v>0.855</v>
      </c>
      <c r="X42" s="3">
        <v>0.855</v>
      </c>
      <c r="Y42" s="3">
        <v>0.855</v>
      </c>
      <c r="Z42" s="3">
        <v>0.855</v>
      </c>
      <c r="AA42" s="3">
        <v>0.859</v>
      </c>
      <c r="AB42" s="3">
        <v>0.859</v>
      </c>
      <c r="AC42" s="3">
        <v>0.86</v>
      </c>
      <c r="AD42" s="3">
        <v>0.862</v>
      </c>
      <c r="AE42" s="3">
        <v>0.864</v>
      </c>
      <c r="AF42" s="3">
        <v>0.866</v>
      </c>
      <c r="AG42" s="3">
        <v>0.861</v>
      </c>
      <c r="AH42" s="3">
        <v>0.873</v>
      </c>
      <c r="AI42" s="3">
        <v>0.874</v>
      </c>
      <c r="AJ42" s="3">
        <v>0.887</v>
      </c>
      <c r="AK42" s="3">
        <v>0.888</v>
      </c>
      <c r="AL42" s="3">
        <v>0.884</v>
      </c>
      <c r="AM42" s="3">
        <v>0.855</v>
      </c>
      <c r="AN42" s="3">
        <v>0.849</v>
      </c>
      <c r="AO42" s="3">
        <v>0.843</v>
      </c>
      <c r="AP42" s="3">
        <v>0.843</v>
      </c>
      <c r="AQ42" s="3">
        <v>0.846</v>
      </c>
      <c r="AR42" s="3">
        <v>0.896</v>
      </c>
      <c r="AS42" s="3">
        <v>0.908</v>
      </c>
      <c r="AT42" s="3">
        <v>0.945</v>
      </c>
      <c r="AU42" s="3">
        <v>54.816</v>
      </c>
    </row>
    <row r="43" ht="14.25" customHeight="1">
      <c r="A43" s="2" t="s">
        <v>46</v>
      </c>
      <c r="B43" s="3">
        <v>0.999</v>
      </c>
      <c r="C43" s="3">
        <v>0.999</v>
      </c>
      <c r="D43" s="3">
        <v>0.999</v>
      </c>
      <c r="E43" s="3">
        <v>0.999</v>
      </c>
      <c r="F43" s="3">
        <v>0.999</v>
      </c>
      <c r="G43" s="3">
        <v>0.999</v>
      </c>
      <c r="H43" s="3">
        <v>0.999</v>
      </c>
      <c r="I43" s="3">
        <v>0.999</v>
      </c>
      <c r="J43" s="3">
        <v>0.999</v>
      </c>
      <c r="K43" s="3">
        <v>0.999</v>
      </c>
      <c r="L43" s="3">
        <v>0.999</v>
      </c>
      <c r="M43" s="3">
        <v>0.999</v>
      </c>
      <c r="N43" s="3">
        <v>0.999</v>
      </c>
      <c r="O43" s="3">
        <v>0.999</v>
      </c>
      <c r="P43" s="3">
        <v>0.999</v>
      </c>
      <c r="Q43" s="3">
        <v>0.999</v>
      </c>
      <c r="R43" s="3">
        <v>0.999</v>
      </c>
      <c r="S43" s="3">
        <v>0.999</v>
      </c>
      <c r="T43" s="3">
        <v>0.999</v>
      </c>
      <c r="U43" s="3">
        <v>0.999</v>
      </c>
      <c r="V43" s="3">
        <v>0.999</v>
      </c>
      <c r="W43" s="3">
        <v>0.999</v>
      </c>
      <c r="X43" s="3">
        <v>0.999</v>
      </c>
      <c r="Y43" s="3">
        <v>0.999</v>
      </c>
      <c r="Z43" s="3">
        <v>0.999</v>
      </c>
      <c r="AA43" s="3">
        <v>0.999</v>
      </c>
      <c r="AB43" s="3">
        <v>0.999</v>
      </c>
      <c r="AC43" s="3">
        <v>0.999</v>
      </c>
      <c r="AD43" s="3">
        <v>0.999</v>
      </c>
      <c r="AE43" s="3">
        <v>0.999</v>
      </c>
      <c r="AF43" s="3">
        <v>0.999</v>
      </c>
      <c r="AG43" s="3">
        <v>0.999</v>
      </c>
      <c r="AH43" s="3">
        <v>0.999</v>
      </c>
      <c r="AI43" s="3">
        <v>0.999</v>
      </c>
      <c r="AJ43" s="3">
        <v>0.999</v>
      </c>
      <c r="AK43" s="3">
        <v>0.999</v>
      </c>
      <c r="AL43" s="3">
        <v>0.999</v>
      </c>
      <c r="AM43" s="3">
        <v>0.998</v>
      </c>
      <c r="AN43" s="3">
        <v>0.998</v>
      </c>
      <c r="AO43" s="3">
        <v>0.998</v>
      </c>
      <c r="AP43" s="3">
        <v>0.997</v>
      </c>
      <c r="AQ43" s="3">
        <v>0.997</v>
      </c>
      <c r="AR43" s="3">
        <v>0.998</v>
      </c>
      <c r="AS43" s="3">
        <v>0.998</v>
      </c>
      <c r="AT43" s="3">
        <v>0.998</v>
      </c>
      <c r="AU43" s="3">
        <v>234.742</v>
      </c>
    </row>
    <row r="44" ht="14.25" customHeight="1">
      <c r="A44" s="2" t="s">
        <v>448</v>
      </c>
      <c r="B44" s="3">
        <v>0.222</v>
      </c>
      <c r="C44" s="3">
        <v>0.222</v>
      </c>
      <c r="D44" s="3">
        <v>0.222</v>
      </c>
      <c r="E44" s="3">
        <v>0.222</v>
      </c>
      <c r="F44" s="3">
        <v>0.222</v>
      </c>
      <c r="G44" s="3">
        <v>0.222</v>
      </c>
      <c r="H44" s="3">
        <v>0.222</v>
      </c>
      <c r="I44" s="3">
        <v>0.222</v>
      </c>
      <c r="J44" s="3">
        <v>0.222</v>
      </c>
      <c r="K44" s="3">
        <v>0.222</v>
      </c>
      <c r="L44" s="3">
        <v>0.228</v>
      </c>
      <c r="M44" s="3">
        <v>0.215</v>
      </c>
      <c r="N44" s="3">
        <v>0.266</v>
      </c>
      <c r="O44" s="3">
        <v>0.273</v>
      </c>
      <c r="P44" s="3">
        <v>0.273</v>
      </c>
      <c r="Q44" s="3">
        <v>0.273</v>
      </c>
      <c r="R44" s="3">
        <v>0.273</v>
      </c>
      <c r="S44" s="3">
        <v>0.273</v>
      </c>
      <c r="T44" s="3">
        <v>0.29</v>
      </c>
      <c r="U44" s="3">
        <v>0.29</v>
      </c>
      <c r="V44" s="3">
        <v>0.296</v>
      </c>
      <c r="W44" s="3">
        <v>0.296</v>
      </c>
      <c r="X44" s="3">
        <v>0.299</v>
      </c>
      <c r="Y44" s="3">
        <v>0.301</v>
      </c>
      <c r="Z44" s="3">
        <v>0.301</v>
      </c>
      <c r="AA44" s="3">
        <v>0.301</v>
      </c>
      <c r="AB44" s="3">
        <v>0.301</v>
      </c>
      <c r="AC44" s="3">
        <v>0.301</v>
      </c>
      <c r="AD44" s="3">
        <v>0.301</v>
      </c>
      <c r="AE44" s="3">
        <v>0.301</v>
      </c>
      <c r="AF44" s="3">
        <v>0.301</v>
      </c>
      <c r="AG44" s="3">
        <v>0.301</v>
      </c>
      <c r="AH44" s="3">
        <v>0.301</v>
      </c>
      <c r="AI44" s="3">
        <v>0.301</v>
      </c>
      <c r="AJ44" s="3">
        <v>0.301</v>
      </c>
      <c r="AK44" s="3">
        <v>0.301</v>
      </c>
      <c r="AL44" s="3">
        <v>0.301</v>
      </c>
      <c r="AM44" s="3">
        <v>0.301</v>
      </c>
      <c r="AN44" s="3">
        <v>0.302</v>
      </c>
      <c r="AO44" s="3">
        <v>0.326</v>
      </c>
      <c r="AP44" s="3">
        <v>0.326</v>
      </c>
      <c r="AQ44" s="3">
        <v>0.32</v>
      </c>
      <c r="AR44" s="3">
        <v>0.32</v>
      </c>
      <c r="AS44" s="3">
        <v>0.32</v>
      </c>
      <c r="AT44" s="3">
        <v>0.32</v>
      </c>
      <c r="AU44" s="3">
        <v>24.262</v>
      </c>
    </row>
    <row r="45" ht="14.25" customHeight="1">
      <c r="A45" s="2" t="s">
        <v>47</v>
      </c>
      <c r="B45" s="3">
        <v>0.335</v>
      </c>
      <c r="C45" s="3">
        <v>0.335</v>
      </c>
      <c r="D45" s="3">
        <v>0.335</v>
      </c>
      <c r="E45" s="3">
        <v>0.304</v>
      </c>
      <c r="F45" s="3">
        <v>0.304</v>
      </c>
      <c r="G45" s="3">
        <v>0.304</v>
      </c>
      <c r="H45" s="3">
        <v>0.291</v>
      </c>
      <c r="I45" s="3">
        <v>0.255</v>
      </c>
      <c r="J45" s="3">
        <v>0.244</v>
      </c>
      <c r="K45" s="3">
        <v>0.244</v>
      </c>
      <c r="L45" s="3">
        <v>0.244</v>
      </c>
      <c r="M45" s="3">
        <v>0.244</v>
      </c>
      <c r="N45" s="3">
        <v>0.244</v>
      </c>
      <c r="O45" s="3">
        <v>0.221</v>
      </c>
      <c r="P45" s="3">
        <v>0.211</v>
      </c>
      <c r="Q45" s="3">
        <v>0.211</v>
      </c>
      <c r="R45" s="3">
        <v>0.254</v>
      </c>
      <c r="S45" s="3">
        <v>0.349</v>
      </c>
      <c r="T45" s="3">
        <v>0.366</v>
      </c>
      <c r="U45" s="3">
        <v>0.366</v>
      </c>
      <c r="V45" s="3">
        <v>0.362</v>
      </c>
      <c r="W45" s="3">
        <v>0.362</v>
      </c>
      <c r="X45" s="3">
        <v>0.347</v>
      </c>
      <c r="Y45" s="3">
        <v>0.323</v>
      </c>
      <c r="Z45" s="3">
        <v>0.328</v>
      </c>
      <c r="AA45" s="3">
        <v>0.328</v>
      </c>
      <c r="AB45" s="3">
        <v>0.328</v>
      </c>
      <c r="AC45" s="3">
        <v>0.329</v>
      </c>
      <c r="AD45" s="3">
        <v>0.329</v>
      </c>
      <c r="AE45" s="3">
        <v>0.329</v>
      </c>
      <c r="AF45" s="3">
        <v>0.324</v>
      </c>
      <c r="AG45" s="3">
        <v>0.326</v>
      </c>
      <c r="AH45" s="3">
        <v>0.337</v>
      </c>
      <c r="AI45" s="3">
        <v>0.346</v>
      </c>
      <c r="AJ45" s="3">
        <v>0.344</v>
      </c>
      <c r="AK45" s="3">
        <v>0.348</v>
      </c>
      <c r="AL45" s="3">
        <v>0.348</v>
      </c>
      <c r="AM45" s="3">
        <v>0.332</v>
      </c>
      <c r="AN45" s="3">
        <v>0.302</v>
      </c>
      <c r="AO45" s="3">
        <v>0.28</v>
      </c>
      <c r="AP45" s="3">
        <v>0.561</v>
      </c>
      <c r="AQ45" s="3">
        <v>0.565</v>
      </c>
      <c r="AR45" s="3">
        <v>0.547</v>
      </c>
      <c r="AS45" s="3">
        <v>0.528</v>
      </c>
      <c r="AT45" s="3">
        <v>0.494</v>
      </c>
      <c r="AU45" s="3">
        <v>36.385</v>
      </c>
    </row>
    <row r="46" ht="14.25" customHeight="1">
      <c r="A46" s="2" t="s">
        <v>48</v>
      </c>
      <c r="B46" s="3">
        <v>0.473</v>
      </c>
      <c r="C46" s="3">
        <v>0.478</v>
      </c>
      <c r="D46" s="3">
        <v>0.478</v>
      </c>
      <c r="E46" s="3">
        <v>0.478</v>
      </c>
      <c r="F46" s="3">
        <v>0.459</v>
      </c>
      <c r="G46" s="3">
        <v>0.362</v>
      </c>
      <c r="H46" s="3">
        <v>0.362</v>
      </c>
      <c r="I46" s="3">
        <v>0.362</v>
      </c>
      <c r="J46" s="3">
        <v>0.367</v>
      </c>
      <c r="K46" s="3">
        <v>0.446</v>
      </c>
      <c r="L46" s="3">
        <v>0.446</v>
      </c>
      <c r="M46" s="3">
        <v>0.446</v>
      </c>
      <c r="N46" s="3">
        <v>0.446</v>
      </c>
      <c r="O46" s="3">
        <v>0.422</v>
      </c>
      <c r="P46" s="3">
        <v>0.424</v>
      </c>
      <c r="Q46" s="3">
        <v>0.406</v>
      </c>
      <c r="R46" s="3">
        <v>0.382</v>
      </c>
      <c r="S46" s="3">
        <v>0.358</v>
      </c>
      <c r="T46" s="3">
        <v>0.402</v>
      </c>
      <c r="U46" s="3">
        <v>0.387</v>
      </c>
      <c r="V46" s="3">
        <v>0.379</v>
      </c>
      <c r="W46" s="3">
        <v>0.379</v>
      </c>
      <c r="X46" s="3">
        <v>0.379</v>
      </c>
      <c r="Y46" s="3">
        <v>0.373</v>
      </c>
      <c r="Z46" s="3">
        <v>0.372</v>
      </c>
      <c r="AA46" s="3">
        <v>0.363</v>
      </c>
      <c r="AB46" s="3">
        <v>0.376</v>
      </c>
      <c r="AC46" s="3">
        <v>0.405</v>
      </c>
      <c r="AD46" s="3">
        <v>0.392</v>
      </c>
      <c r="AE46" s="3">
        <v>0.401</v>
      </c>
      <c r="AF46" s="3">
        <v>0.379</v>
      </c>
      <c r="AG46" s="3">
        <v>0.385</v>
      </c>
      <c r="AH46" s="3">
        <v>0.377</v>
      </c>
      <c r="AI46" s="3">
        <v>0.356</v>
      </c>
      <c r="AJ46" s="3">
        <v>0.344</v>
      </c>
      <c r="AK46" s="3">
        <v>0.344</v>
      </c>
      <c r="AL46" s="3">
        <v>0.333</v>
      </c>
      <c r="AM46" s="3">
        <v>0.431</v>
      </c>
      <c r="AN46" s="3">
        <v>0.507</v>
      </c>
      <c r="AO46" s="3">
        <v>0.518</v>
      </c>
      <c r="AP46" s="3">
        <v>0.523</v>
      </c>
      <c r="AQ46" s="3">
        <v>0.525</v>
      </c>
      <c r="AR46" s="3">
        <v>0.526</v>
      </c>
      <c r="AS46" s="3">
        <v>0.458</v>
      </c>
      <c r="AT46" s="3">
        <v>0.429</v>
      </c>
      <c r="AU46" s="3">
        <v>40.87</v>
      </c>
    </row>
    <row r="47" ht="14.25" customHeight="1">
      <c r="A47" s="2" t="s">
        <v>49</v>
      </c>
      <c r="B47" s="3">
        <v>0.375</v>
      </c>
      <c r="C47" s="3">
        <v>0.375</v>
      </c>
      <c r="D47" s="3">
        <v>0.382</v>
      </c>
      <c r="E47" s="3">
        <v>0.382</v>
      </c>
      <c r="F47" s="3">
        <v>0.382</v>
      </c>
      <c r="G47" s="3">
        <v>0.382</v>
      </c>
      <c r="H47" s="3">
        <v>0.413</v>
      </c>
      <c r="I47" s="3">
        <v>0.381</v>
      </c>
      <c r="J47" s="3">
        <v>0.381</v>
      </c>
      <c r="K47" s="3">
        <v>0.381</v>
      </c>
      <c r="L47" s="3">
        <v>0.34</v>
      </c>
      <c r="M47" s="3">
        <v>0.34</v>
      </c>
      <c r="N47" s="3">
        <v>0.34</v>
      </c>
      <c r="O47" s="3">
        <v>0.34</v>
      </c>
      <c r="P47" s="3">
        <v>0.354</v>
      </c>
      <c r="Q47" s="3">
        <v>0.339</v>
      </c>
      <c r="R47" s="3">
        <v>0.339</v>
      </c>
      <c r="S47" s="3">
        <v>0.339</v>
      </c>
      <c r="T47" s="3">
        <v>0.339</v>
      </c>
      <c r="U47" s="3">
        <v>0.339</v>
      </c>
      <c r="V47" s="3">
        <v>0.326</v>
      </c>
      <c r="W47" s="3">
        <v>0.327</v>
      </c>
      <c r="X47" s="3">
        <v>0.327</v>
      </c>
      <c r="Y47" s="3">
        <v>0.327</v>
      </c>
      <c r="Z47" s="3">
        <v>0.327</v>
      </c>
      <c r="AA47" s="3">
        <v>0.327</v>
      </c>
      <c r="AB47" s="3">
        <v>0.327</v>
      </c>
      <c r="AC47" s="3">
        <v>0.327</v>
      </c>
      <c r="AD47" s="3">
        <v>0.327</v>
      </c>
      <c r="AE47" s="3">
        <v>0.327</v>
      </c>
      <c r="AF47" s="3">
        <v>0.324</v>
      </c>
      <c r="AG47" s="3">
        <v>0.382</v>
      </c>
      <c r="AH47" s="3">
        <v>0.363</v>
      </c>
      <c r="AI47" s="3">
        <v>0.352</v>
      </c>
      <c r="AJ47" s="3">
        <v>0.366</v>
      </c>
      <c r="AK47" s="3">
        <v>0.374</v>
      </c>
      <c r="AL47" s="3">
        <v>0.367</v>
      </c>
      <c r="AM47" s="3">
        <v>0.346</v>
      </c>
      <c r="AN47" s="3">
        <v>0.339</v>
      </c>
      <c r="AO47" s="3">
        <v>0.347</v>
      </c>
      <c r="AP47" s="3">
        <v>0.352</v>
      </c>
      <c r="AQ47" s="3">
        <v>0.347</v>
      </c>
      <c r="AR47" s="3">
        <v>0.358</v>
      </c>
      <c r="AS47" s="3">
        <v>0.347</v>
      </c>
      <c r="AT47" s="3">
        <v>0.348</v>
      </c>
      <c r="AU47" s="3">
        <v>99.9570000000001</v>
      </c>
    </row>
    <row r="48" ht="14.25" customHeight="1">
      <c r="A48" s="2" t="s">
        <v>50</v>
      </c>
      <c r="B48" s="3">
        <v>0.133</v>
      </c>
      <c r="C48" s="3">
        <v>0.133</v>
      </c>
      <c r="D48" s="3">
        <v>0.133</v>
      </c>
      <c r="E48" s="3">
        <v>0.133</v>
      </c>
      <c r="F48" s="3">
        <v>0.121</v>
      </c>
      <c r="G48" s="3">
        <v>0.121</v>
      </c>
      <c r="H48" s="3">
        <v>0.121</v>
      </c>
      <c r="I48" s="3">
        <v>0.121</v>
      </c>
      <c r="J48" s="3">
        <v>0.121</v>
      </c>
      <c r="K48" s="3">
        <v>0.141</v>
      </c>
      <c r="L48" s="3">
        <v>0.149</v>
      </c>
      <c r="M48" s="3">
        <v>0.148</v>
      </c>
      <c r="N48" s="3">
        <v>0.292</v>
      </c>
      <c r="O48" s="3">
        <v>0.344</v>
      </c>
      <c r="P48" s="3">
        <v>0.36</v>
      </c>
      <c r="Q48" s="3">
        <v>0.36</v>
      </c>
      <c r="R48" s="3">
        <v>0.36</v>
      </c>
      <c r="S48" s="3">
        <v>0.36</v>
      </c>
      <c r="T48" s="3">
        <v>0.355</v>
      </c>
      <c r="U48" s="3">
        <v>0.355</v>
      </c>
      <c r="V48" s="3">
        <v>0.388</v>
      </c>
      <c r="W48" s="3">
        <v>0.388</v>
      </c>
      <c r="X48" s="3">
        <v>0.391</v>
      </c>
      <c r="Y48" s="3">
        <v>0.394</v>
      </c>
      <c r="Z48" s="3">
        <v>0.364</v>
      </c>
      <c r="AA48" s="3">
        <v>0.359</v>
      </c>
      <c r="AB48" s="3">
        <v>0.352</v>
      </c>
      <c r="AC48" s="3">
        <v>0.352</v>
      </c>
      <c r="AD48" s="3">
        <v>0.38</v>
      </c>
      <c r="AE48" s="3">
        <v>0.398</v>
      </c>
      <c r="AF48" s="3">
        <v>0.413</v>
      </c>
      <c r="AG48" s="3">
        <v>0.413</v>
      </c>
      <c r="AH48" s="3">
        <v>0.421</v>
      </c>
      <c r="AI48" s="3">
        <v>0.478</v>
      </c>
      <c r="AJ48" s="3">
        <v>0.485</v>
      </c>
      <c r="AK48" s="3">
        <v>0.487</v>
      </c>
      <c r="AL48" s="3">
        <v>0.474</v>
      </c>
      <c r="AM48" s="3">
        <v>0.457</v>
      </c>
      <c r="AN48" s="3">
        <v>0.393</v>
      </c>
      <c r="AO48" s="3">
        <v>0.412</v>
      </c>
      <c r="AP48" s="3">
        <v>0.309</v>
      </c>
      <c r="AQ48" s="3">
        <v>0.152</v>
      </c>
      <c r="AR48" s="3">
        <v>0.131</v>
      </c>
      <c r="AS48" s="3">
        <v>0.113</v>
      </c>
      <c r="AT48" s="3">
        <v>0.098</v>
      </c>
      <c r="AU48" s="3">
        <v>35.74</v>
      </c>
    </row>
    <row r="49" ht="14.25" customHeight="1">
      <c r="A49" s="2" t="s">
        <v>449</v>
      </c>
      <c r="B49" s="3">
        <v>0.065</v>
      </c>
      <c r="C49" s="3">
        <v>0.065</v>
      </c>
      <c r="D49" s="3">
        <v>0.065</v>
      </c>
      <c r="E49" s="3">
        <v>0.065</v>
      </c>
      <c r="F49" s="3">
        <v>0.065</v>
      </c>
      <c r="G49" s="3">
        <v>0.065</v>
      </c>
      <c r="H49" s="3">
        <v>0.065</v>
      </c>
      <c r="I49" s="3">
        <v>0.065</v>
      </c>
      <c r="J49" s="3">
        <v>0.065</v>
      </c>
      <c r="K49" s="3">
        <v>0.065</v>
      </c>
      <c r="L49" s="3">
        <v>0.072</v>
      </c>
      <c r="M49" s="3">
        <v>0.072</v>
      </c>
      <c r="N49" s="3">
        <v>0.072</v>
      </c>
      <c r="O49" s="3">
        <v>0.072</v>
      </c>
      <c r="P49" s="3">
        <v>0.072</v>
      </c>
      <c r="Q49" s="3">
        <v>0.069</v>
      </c>
      <c r="R49" s="3">
        <v>0.069</v>
      </c>
      <c r="S49" s="3">
        <v>0.069</v>
      </c>
      <c r="T49" s="3">
        <v>0.069</v>
      </c>
      <c r="U49" s="3">
        <v>0.069</v>
      </c>
      <c r="V49" s="3">
        <v>0.069</v>
      </c>
      <c r="W49" s="3">
        <v>0.069</v>
      </c>
      <c r="X49" s="3">
        <v>0.069</v>
      </c>
      <c r="Y49" s="3">
        <v>0.069</v>
      </c>
      <c r="Z49" s="3">
        <v>0.069</v>
      </c>
      <c r="AA49" s="3">
        <v>0.069</v>
      </c>
      <c r="AB49" s="3">
        <v>0.069</v>
      </c>
      <c r="AC49" s="3">
        <v>0.069</v>
      </c>
      <c r="AD49" s="3">
        <v>0.069</v>
      </c>
      <c r="AE49" s="3">
        <v>0.069</v>
      </c>
      <c r="AF49" s="3">
        <v>0.057</v>
      </c>
      <c r="AG49" s="3">
        <v>0.057</v>
      </c>
      <c r="AH49" s="3">
        <v>0.057</v>
      </c>
      <c r="AI49" s="3">
        <v>0.057</v>
      </c>
      <c r="AJ49" s="3">
        <v>0.057</v>
      </c>
      <c r="AK49" s="3">
        <v>0.05</v>
      </c>
      <c r="AL49" s="3">
        <v>0.05</v>
      </c>
      <c r="AM49" s="3">
        <v>0.047</v>
      </c>
      <c r="AN49" s="3">
        <v>0.051</v>
      </c>
      <c r="AO49" s="3">
        <v>0.048</v>
      </c>
      <c r="AP49" s="3">
        <v>0.044</v>
      </c>
      <c r="AQ49" s="3">
        <v>0.044</v>
      </c>
      <c r="AR49" s="3">
        <v>0.042</v>
      </c>
      <c r="AS49" s="3">
        <v>0.045</v>
      </c>
      <c r="AT49" s="3">
        <v>0.053</v>
      </c>
      <c r="AU49" s="3">
        <v>14.82</v>
      </c>
    </row>
    <row r="50" ht="14.25" customHeight="1">
      <c r="A50" s="2" t="s">
        <v>450</v>
      </c>
      <c r="B50" s="3">
        <v>0.033</v>
      </c>
      <c r="C50" s="3">
        <v>0.033</v>
      </c>
      <c r="D50" s="3">
        <v>0.033</v>
      </c>
      <c r="E50" s="3">
        <v>0.033</v>
      </c>
      <c r="F50" s="3">
        <v>0.033</v>
      </c>
      <c r="G50" s="3">
        <v>0.033</v>
      </c>
      <c r="H50" s="3">
        <v>0.033</v>
      </c>
      <c r="I50" s="3">
        <v>0.033</v>
      </c>
      <c r="J50" s="3">
        <v>0.033</v>
      </c>
      <c r="K50" s="3">
        <v>0.033</v>
      </c>
      <c r="L50" s="3">
        <v>0.061</v>
      </c>
      <c r="M50" s="3">
        <v>0.214</v>
      </c>
      <c r="N50" s="3">
        <v>0.242</v>
      </c>
      <c r="O50" s="3">
        <v>0.225</v>
      </c>
      <c r="P50" s="3">
        <v>0.225</v>
      </c>
      <c r="Q50" s="3">
        <v>0.225</v>
      </c>
      <c r="R50" s="3">
        <v>0.225</v>
      </c>
      <c r="S50" s="3">
        <v>0.225</v>
      </c>
      <c r="T50" s="3">
        <v>0.199</v>
      </c>
      <c r="U50" s="3">
        <v>0.199</v>
      </c>
      <c r="V50" s="3">
        <v>0.181</v>
      </c>
      <c r="W50" s="3">
        <v>0.097</v>
      </c>
      <c r="X50" s="3">
        <v>0.043</v>
      </c>
      <c r="Y50" s="3">
        <v>0.043</v>
      </c>
      <c r="Z50" s="3">
        <v>0.043</v>
      </c>
      <c r="AA50" s="3">
        <v>0.043</v>
      </c>
      <c r="AB50" s="3">
        <v>0.043</v>
      </c>
      <c r="AC50" s="3">
        <v>0.043</v>
      </c>
      <c r="AD50" s="3">
        <v>0.043</v>
      </c>
      <c r="AE50" s="3">
        <v>0.043</v>
      </c>
      <c r="AF50" s="3">
        <v>0.043</v>
      </c>
      <c r="AG50" s="3">
        <v>0.043</v>
      </c>
      <c r="AH50" s="3">
        <v>0.041</v>
      </c>
      <c r="AI50" s="3">
        <v>0.049</v>
      </c>
      <c r="AJ50" s="3">
        <v>0.049</v>
      </c>
      <c r="AK50" s="3">
        <v>0.049</v>
      </c>
      <c r="AL50" s="3">
        <v>0.042</v>
      </c>
      <c r="AM50" s="3">
        <v>0.053</v>
      </c>
      <c r="AN50" s="3">
        <v>0.054</v>
      </c>
      <c r="AO50" s="3">
        <v>0.076</v>
      </c>
      <c r="AP50" s="3">
        <v>0.088</v>
      </c>
      <c r="AQ50" s="3">
        <v>0.089</v>
      </c>
      <c r="AR50" s="3">
        <v>0.105</v>
      </c>
      <c r="AS50" s="3">
        <v>0.087</v>
      </c>
      <c r="AT50" s="3">
        <v>0.064</v>
      </c>
      <c r="AU50" s="3">
        <v>23.728</v>
      </c>
    </row>
    <row r="51" ht="14.25" customHeight="1">
      <c r="A51" s="2" t="s">
        <v>451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v>0.896</v>
      </c>
      <c r="M51" s="3">
        <v>0.901</v>
      </c>
      <c r="N51" s="3">
        <v>0.919</v>
      </c>
      <c r="O51" s="3">
        <v>0.924</v>
      </c>
      <c r="P51" s="3">
        <v>0.929</v>
      </c>
      <c r="Q51" s="3">
        <v>0.93</v>
      </c>
      <c r="R51" s="3">
        <v>0.937</v>
      </c>
      <c r="S51" s="3">
        <v>0.943</v>
      </c>
      <c r="T51" s="3">
        <v>0.941</v>
      </c>
      <c r="U51" s="3">
        <v>0.955</v>
      </c>
      <c r="V51" s="3">
        <v>0.966</v>
      </c>
      <c r="W51" s="3">
        <v>0.966</v>
      </c>
      <c r="X51" s="3">
        <v>0.967</v>
      </c>
      <c r="Y51" s="3">
        <v>0.967</v>
      </c>
      <c r="Z51" s="3">
        <v>0.969</v>
      </c>
      <c r="AA51" s="3">
        <v>0.973</v>
      </c>
      <c r="AB51" s="3">
        <v>0.974</v>
      </c>
      <c r="AC51" s="3">
        <v>0.976</v>
      </c>
      <c r="AD51" s="3">
        <v>0.979</v>
      </c>
      <c r="AE51" s="3">
        <v>0.981</v>
      </c>
      <c r="AF51" s="3">
        <v>0.983</v>
      </c>
      <c r="AG51" s="3">
        <v>0.983</v>
      </c>
      <c r="AH51" s="3">
        <v>0.983</v>
      </c>
      <c r="AI51" s="3">
        <v>0.985</v>
      </c>
      <c r="AJ51" s="3">
        <v>0.985</v>
      </c>
      <c r="AK51" s="3">
        <v>0.985</v>
      </c>
      <c r="AL51" s="3">
        <v>0.985</v>
      </c>
      <c r="AM51" s="3">
        <v>0.986</v>
      </c>
      <c r="AN51" s="3">
        <v>0.985</v>
      </c>
      <c r="AO51" s="3">
        <v>0.981</v>
      </c>
      <c r="AP51" s="3">
        <v>0.979</v>
      </c>
      <c r="AQ51" s="3">
        <v>0.984</v>
      </c>
      <c r="AR51" s="3">
        <v>0.984</v>
      </c>
      <c r="AS51" s="3">
        <v>0.984</v>
      </c>
      <c r="AT51" s="3">
        <v>0.985</v>
      </c>
      <c r="AU51" s="3">
        <v>53.511</v>
      </c>
    </row>
    <row r="52" ht="14.25" customHeight="1">
      <c r="A52" s="2" t="s">
        <v>452</v>
      </c>
      <c r="B52" s="3">
        <v>0.367</v>
      </c>
      <c r="C52" s="3">
        <v>0.367</v>
      </c>
      <c r="D52" s="3">
        <v>0.367</v>
      </c>
      <c r="E52" s="3">
        <v>0.341</v>
      </c>
      <c r="F52" s="3">
        <v>0.341</v>
      </c>
      <c r="G52" s="3">
        <v>0.341</v>
      </c>
      <c r="H52" s="3">
        <v>0.341</v>
      </c>
      <c r="I52" s="3">
        <v>0.341</v>
      </c>
      <c r="J52" s="3">
        <v>0.341</v>
      </c>
      <c r="K52" s="3">
        <v>0.341</v>
      </c>
      <c r="L52" s="3">
        <v>0.336</v>
      </c>
      <c r="M52" s="3">
        <v>0.336</v>
      </c>
      <c r="N52" s="3">
        <v>0.336</v>
      </c>
      <c r="O52" s="3">
        <v>0.336</v>
      </c>
      <c r="P52" s="3">
        <v>0.322</v>
      </c>
      <c r="Q52" s="3">
        <v>0.322</v>
      </c>
      <c r="R52" s="3">
        <v>0.322</v>
      </c>
      <c r="S52" s="3">
        <v>0.322</v>
      </c>
      <c r="T52" s="3">
        <v>0.298</v>
      </c>
      <c r="U52" s="3">
        <v>0.298</v>
      </c>
      <c r="V52" s="3">
        <v>0.3</v>
      </c>
      <c r="W52" s="3">
        <v>0.3</v>
      </c>
      <c r="X52" s="3">
        <v>0.3</v>
      </c>
      <c r="Y52" s="3">
        <v>0.3</v>
      </c>
      <c r="Z52" s="3">
        <v>0.3</v>
      </c>
      <c r="AA52" s="3">
        <v>0.263</v>
      </c>
      <c r="AB52" s="3">
        <v>0.269</v>
      </c>
      <c r="AC52" s="3">
        <v>0.269</v>
      </c>
      <c r="AD52" s="3">
        <v>0.266</v>
      </c>
      <c r="AE52" s="3">
        <v>0.268</v>
      </c>
      <c r="AF52" s="3">
        <v>0.267</v>
      </c>
      <c r="AG52" s="3">
        <v>0.262</v>
      </c>
      <c r="AH52" s="3">
        <v>0.262</v>
      </c>
      <c r="AI52" s="3">
        <v>0.269</v>
      </c>
      <c r="AJ52" s="3">
        <v>0.269</v>
      </c>
      <c r="AK52" s="3">
        <v>0.269</v>
      </c>
      <c r="AL52" s="3">
        <v>0.269</v>
      </c>
      <c r="AM52" s="3">
        <v>0.303</v>
      </c>
      <c r="AN52" s="3">
        <v>0.321</v>
      </c>
      <c r="AO52" s="3">
        <v>0.293</v>
      </c>
      <c r="AP52" s="3">
        <v>0.3</v>
      </c>
      <c r="AQ52" s="3">
        <v>0.263</v>
      </c>
      <c r="AR52" s="3">
        <v>0.243</v>
      </c>
      <c r="AS52" s="3">
        <v>0.229</v>
      </c>
      <c r="AT52" s="3">
        <v>0.232</v>
      </c>
      <c r="AU52" s="3">
        <v>40.414</v>
      </c>
    </row>
    <row r="53" ht="14.25" customHeight="1">
      <c r="A53" s="2" t="s">
        <v>453</v>
      </c>
      <c r="B53" s="3">
        <v>0.168</v>
      </c>
      <c r="C53" s="3">
        <v>0.176</v>
      </c>
      <c r="D53" s="3">
        <v>0.176</v>
      </c>
      <c r="E53" s="3">
        <v>0.176</v>
      </c>
      <c r="F53" s="3">
        <v>0.176</v>
      </c>
      <c r="G53" s="3">
        <v>0.176</v>
      </c>
      <c r="H53" s="3">
        <v>0.176</v>
      </c>
      <c r="I53" s="3">
        <v>0.183</v>
      </c>
      <c r="J53" s="3">
        <v>0.183</v>
      </c>
      <c r="K53" s="3">
        <v>0.183</v>
      </c>
      <c r="L53" s="3">
        <v>0.202</v>
      </c>
      <c r="M53" s="3">
        <v>0.309</v>
      </c>
      <c r="N53" s="3">
        <v>0.326</v>
      </c>
      <c r="O53" s="3">
        <v>0.345</v>
      </c>
      <c r="P53" s="3">
        <v>0.345</v>
      </c>
      <c r="Q53" s="3">
        <v>0.312</v>
      </c>
      <c r="R53" s="3">
        <v>0.312</v>
      </c>
      <c r="S53" s="3">
        <v>0.312</v>
      </c>
      <c r="T53" s="3">
        <v>0.312</v>
      </c>
      <c r="U53" s="3">
        <v>0.312</v>
      </c>
      <c r="V53" s="3">
        <v>0.312</v>
      </c>
      <c r="W53" s="3">
        <v>0.312</v>
      </c>
      <c r="X53" s="3">
        <v>0.312</v>
      </c>
      <c r="Y53" s="3">
        <v>0.312</v>
      </c>
      <c r="Z53" s="3">
        <v>0.312</v>
      </c>
      <c r="AA53" s="3">
        <v>0.312</v>
      </c>
      <c r="AB53" s="3">
        <v>0.317</v>
      </c>
      <c r="AC53" s="3">
        <v>0.332</v>
      </c>
      <c r="AD53" s="3">
        <v>0.327</v>
      </c>
      <c r="AE53" s="3">
        <v>0.316</v>
      </c>
      <c r="AF53" s="3">
        <v>0.319</v>
      </c>
      <c r="AG53" s="3">
        <v>0.325</v>
      </c>
      <c r="AH53" s="3">
        <v>0.328</v>
      </c>
      <c r="AI53" s="3">
        <v>0.318</v>
      </c>
      <c r="AJ53" s="3">
        <v>0.322</v>
      </c>
      <c r="AK53" s="3">
        <v>0.313</v>
      </c>
      <c r="AL53" s="3">
        <v>0.304</v>
      </c>
      <c r="AM53" s="3">
        <v>0.301</v>
      </c>
      <c r="AN53" s="3">
        <v>0.338</v>
      </c>
      <c r="AO53" s="3">
        <v>0.355</v>
      </c>
      <c r="AP53" s="3">
        <v>0.36</v>
      </c>
      <c r="AQ53" s="3">
        <v>0.338</v>
      </c>
      <c r="AR53" s="3">
        <v>0.332</v>
      </c>
      <c r="AS53" s="3">
        <v>0.288</v>
      </c>
      <c r="AT53" s="3">
        <v>0.295</v>
      </c>
      <c r="AU53" s="3">
        <v>29.862</v>
      </c>
    </row>
    <row r="54" ht="14.25" customHeight="1">
      <c r="A54" s="2" t="s">
        <v>51</v>
      </c>
      <c r="B54" s="3">
        <v>0.736</v>
      </c>
      <c r="C54" s="3">
        <v>0.736</v>
      </c>
      <c r="D54" s="3">
        <v>0.736</v>
      </c>
      <c r="E54" s="3">
        <v>0.736</v>
      </c>
      <c r="F54" s="3">
        <v>0.736</v>
      </c>
      <c r="G54" s="3">
        <v>0.736</v>
      </c>
      <c r="H54" s="3">
        <v>0.736</v>
      </c>
      <c r="I54" s="3">
        <v>0.526</v>
      </c>
      <c r="J54" s="3">
        <v>0.58</v>
      </c>
      <c r="K54" s="3">
        <v>0.58</v>
      </c>
      <c r="L54" s="3">
        <v>0.613</v>
      </c>
      <c r="M54" s="3">
        <v>0.613</v>
      </c>
      <c r="N54" s="3">
        <v>0.613</v>
      </c>
      <c r="O54" s="3">
        <v>0.656</v>
      </c>
      <c r="P54" s="3">
        <v>0.656</v>
      </c>
      <c r="Q54" s="3">
        <v>0.656</v>
      </c>
      <c r="R54" s="3">
        <v>0.656</v>
      </c>
      <c r="S54" s="3">
        <v>0.726</v>
      </c>
      <c r="T54" s="3">
        <v>0.726</v>
      </c>
      <c r="U54" s="3">
        <v>0.726</v>
      </c>
      <c r="V54" s="3">
        <v>0.595</v>
      </c>
      <c r="W54" s="3">
        <v>0.623</v>
      </c>
      <c r="X54" s="3">
        <v>0.66</v>
      </c>
      <c r="Y54" s="3">
        <v>0.66</v>
      </c>
      <c r="Z54" s="3">
        <v>0.66</v>
      </c>
      <c r="AA54" s="3">
        <v>0.66</v>
      </c>
      <c r="AB54" s="3">
        <v>0.567</v>
      </c>
      <c r="AC54" s="3">
        <v>0.541</v>
      </c>
      <c r="AD54" s="3">
        <v>0.551</v>
      </c>
      <c r="AE54" s="3">
        <v>0.507</v>
      </c>
      <c r="AF54" s="3">
        <v>0.536</v>
      </c>
      <c r="AG54" s="3">
        <v>0.536</v>
      </c>
      <c r="AH54" s="3">
        <v>0.537</v>
      </c>
      <c r="AI54" s="3">
        <v>0.565</v>
      </c>
      <c r="AJ54" s="3">
        <v>0.622</v>
      </c>
      <c r="AK54" s="3">
        <v>0.65</v>
      </c>
      <c r="AL54" s="3">
        <v>0.658</v>
      </c>
      <c r="AM54" s="3">
        <v>0.656</v>
      </c>
      <c r="AN54" s="3">
        <v>0.649</v>
      </c>
      <c r="AO54" s="3">
        <v>0.641</v>
      </c>
      <c r="AP54" s="3">
        <v>0.625</v>
      </c>
      <c r="AQ54" s="3">
        <v>0.61</v>
      </c>
      <c r="AR54" s="3">
        <v>0.583</v>
      </c>
      <c r="AS54" s="3">
        <v>0.794</v>
      </c>
      <c r="AT54" s="3">
        <v>0.791</v>
      </c>
      <c r="AU54" s="3">
        <v>85.856</v>
      </c>
    </row>
    <row r="55" ht="14.25" customHeight="1">
      <c r="A55" s="2" t="s">
        <v>52</v>
      </c>
      <c r="B55" s="3">
        <v>0.989</v>
      </c>
      <c r="C55" s="3">
        <v>0.99</v>
      </c>
      <c r="D55" s="3">
        <v>0.988</v>
      </c>
      <c r="E55" s="3">
        <v>0.99</v>
      </c>
      <c r="F55" s="3">
        <v>0.99</v>
      </c>
      <c r="G55" s="3">
        <v>0.99</v>
      </c>
      <c r="H55" s="3">
        <v>0.991</v>
      </c>
      <c r="I55" s="3">
        <v>0.991</v>
      </c>
      <c r="J55" s="3">
        <v>0.991</v>
      </c>
      <c r="K55" s="3">
        <v>0.991</v>
      </c>
      <c r="L55" s="3">
        <v>0.991</v>
      </c>
      <c r="M55" s="3">
        <v>0.991</v>
      </c>
      <c r="N55" s="3">
        <v>0.991</v>
      </c>
      <c r="O55" s="3">
        <v>0.991</v>
      </c>
      <c r="P55" s="3">
        <v>0.991</v>
      </c>
      <c r="Q55" s="3">
        <v>0.991</v>
      </c>
      <c r="R55" s="3">
        <v>0.991</v>
      </c>
      <c r="S55" s="3">
        <v>0.991</v>
      </c>
      <c r="T55" s="3">
        <v>0.991</v>
      </c>
      <c r="U55" s="3">
        <v>0.991</v>
      </c>
      <c r="V55" s="3">
        <v>0.991</v>
      </c>
      <c r="W55" s="3">
        <v>0.991</v>
      </c>
      <c r="X55" s="3">
        <v>0.991</v>
      </c>
      <c r="Y55" s="3">
        <v>0.991</v>
      </c>
      <c r="Z55" s="3">
        <v>0.991</v>
      </c>
      <c r="AA55" s="3">
        <v>0.991</v>
      </c>
      <c r="AB55" s="3">
        <v>0.991</v>
      </c>
      <c r="AC55" s="3">
        <v>0.991</v>
      </c>
      <c r="AD55" s="3">
        <v>0.991</v>
      </c>
      <c r="AE55" s="3">
        <v>0.991</v>
      </c>
      <c r="AF55" s="3">
        <v>0.991</v>
      </c>
      <c r="AG55" s="3">
        <v>0.991</v>
      </c>
      <c r="AH55" s="3">
        <v>0.991</v>
      </c>
      <c r="AI55" s="3">
        <v>0.993</v>
      </c>
      <c r="AJ55" s="3">
        <v>0.993</v>
      </c>
      <c r="AK55" s="3">
        <v>0.992</v>
      </c>
      <c r="AL55" s="3">
        <v>0.992</v>
      </c>
      <c r="AM55" s="3">
        <v>0.992</v>
      </c>
      <c r="AN55" s="3">
        <v>0.994</v>
      </c>
      <c r="AO55" s="3">
        <v>0.992</v>
      </c>
      <c r="AP55" s="3">
        <v>0.993</v>
      </c>
      <c r="AQ55" s="3">
        <v>0.992</v>
      </c>
      <c r="AR55" s="3">
        <v>0.991</v>
      </c>
      <c r="AS55" s="3">
        <v>0.991</v>
      </c>
      <c r="AT55" s="3">
        <v>0.989</v>
      </c>
      <c r="AU55" s="3">
        <v>192.958</v>
      </c>
    </row>
    <row r="56" ht="14.25" customHeight="1">
      <c r="A56" s="2" t="s">
        <v>53</v>
      </c>
      <c r="B56" s="3">
        <v>0.956</v>
      </c>
      <c r="C56" s="3">
        <v>0.961</v>
      </c>
      <c r="D56" s="3">
        <v>0.961</v>
      </c>
      <c r="E56" s="3">
        <v>0.961</v>
      </c>
      <c r="F56" s="3">
        <v>0.961</v>
      </c>
      <c r="G56" s="3">
        <v>0.961</v>
      </c>
      <c r="H56" s="3">
        <v>0.961</v>
      </c>
      <c r="I56" s="3">
        <v>0.961</v>
      </c>
      <c r="J56" s="3">
        <v>0.961</v>
      </c>
      <c r="K56" s="3">
        <v>0.961</v>
      </c>
      <c r="L56" s="3">
        <v>0.961</v>
      </c>
      <c r="M56" s="3">
        <v>0.961</v>
      </c>
      <c r="N56" s="3">
        <v>0.963</v>
      </c>
      <c r="O56" s="3">
        <v>0.958</v>
      </c>
      <c r="P56" s="3">
        <v>0.961</v>
      </c>
      <c r="Q56" s="3">
        <v>0.961</v>
      </c>
      <c r="R56" s="3">
        <v>0.961</v>
      </c>
      <c r="S56" s="3">
        <v>0.961</v>
      </c>
      <c r="T56" s="3">
        <v>0.961</v>
      </c>
      <c r="U56" s="3">
        <v>0.961</v>
      </c>
      <c r="V56" s="3">
        <v>0.961</v>
      </c>
      <c r="W56" s="3">
        <v>0.961</v>
      </c>
      <c r="X56" s="3">
        <v>0.961</v>
      </c>
      <c r="Y56" s="3">
        <v>0.961</v>
      </c>
      <c r="Z56" s="3">
        <v>0.961</v>
      </c>
      <c r="AA56" s="3">
        <v>0.965</v>
      </c>
      <c r="AB56" s="3">
        <v>0.965</v>
      </c>
      <c r="AC56" s="3">
        <v>0.965</v>
      </c>
      <c r="AD56" s="3">
        <v>0.965</v>
      </c>
      <c r="AE56" s="3">
        <v>0.966</v>
      </c>
      <c r="AF56" s="3">
        <v>0.966</v>
      </c>
      <c r="AG56" s="3">
        <v>0.966</v>
      </c>
      <c r="AH56" s="3">
        <v>0.966</v>
      </c>
      <c r="AI56" s="3">
        <v>0.965</v>
      </c>
      <c r="AJ56" s="3">
        <v>0.965</v>
      </c>
      <c r="AK56" s="3">
        <v>0.965</v>
      </c>
      <c r="AL56" s="3">
        <v>0.965</v>
      </c>
      <c r="AM56" s="3">
        <v>0.965</v>
      </c>
      <c r="AN56" s="3">
        <v>0.957</v>
      </c>
      <c r="AO56" s="3">
        <v>0.957</v>
      </c>
      <c r="AP56" s="3">
        <v>0.957</v>
      </c>
      <c r="AQ56" s="3">
        <v>0.953</v>
      </c>
      <c r="AR56" s="3">
        <v>0.959</v>
      </c>
      <c r="AS56" s="3">
        <v>0.963</v>
      </c>
      <c r="AT56" s="3">
        <v>0.963</v>
      </c>
      <c r="AU56" s="3">
        <v>198.754000000001</v>
      </c>
    </row>
    <row r="57" ht="14.25" customHeight="1">
      <c r="A57" s="2" t="s">
        <v>454</v>
      </c>
      <c r="B57" s="3">
        <v>0.218</v>
      </c>
      <c r="C57" s="3">
        <v>0.218</v>
      </c>
      <c r="D57" s="3">
        <v>0.218</v>
      </c>
      <c r="E57" s="3">
        <v>0.218</v>
      </c>
      <c r="F57" s="3">
        <v>0.218</v>
      </c>
      <c r="G57" s="3">
        <v>0.218</v>
      </c>
      <c r="H57" s="3">
        <v>0.218</v>
      </c>
      <c r="I57" s="3">
        <v>0.218</v>
      </c>
      <c r="J57" s="3">
        <v>0.218</v>
      </c>
      <c r="K57" s="3">
        <v>0.218</v>
      </c>
      <c r="L57" s="3">
        <v>0.319</v>
      </c>
      <c r="M57" s="3">
        <v>0.315</v>
      </c>
      <c r="N57" s="3">
        <v>0.315</v>
      </c>
      <c r="O57" s="3">
        <v>0.315</v>
      </c>
      <c r="P57" s="3">
        <v>0.315</v>
      </c>
      <c r="Q57" s="3">
        <v>0.315</v>
      </c>
      <c r="R57" s="3">
        <v>0.315</v>
      </c>
      <c r="S57" s="3">
        <v>0.315</v>
      </c>
      <c r="T57" s="3">
        <v>0.315</v>
      </c>
      <c r="U57" s="3">
        <v>0.315</v>
      </c>
      <c r="V57" s="3">
        <v>0.307</v>
      </c>
      <c r="W57" s="3">
        <v>0.307</v>
      </c>
      <c r="X57" s="3">
        <v>0.307</v>
      </c>
      <c r="Y57" s="3">
        <v>0.307</v>
      </c>
      <c r="Z57" s="3">
        <v>0.307</v>
      </c>
      <c r="AA57" s="3">
        <v>0.307</v>
      </c>
      <c r="AB57" s="3">
        <v>0.307</v>
      </c>
      <c r="AC57" s="3">
        <v>0.307</v>
      </c>
      <c r="AD57" s="3">
        <v>0.307</v>
      </c>
      <c r="AE57" s="3">
        <v>0.307</v>
      </c>
      <c r="AF57" s="3">
        <v>0.281</v>
      </c>
      <c r="AG57" s="3">
        <v>0.281</v>
      </c>
      <c r="AH57" s="3">
        <v>0.283</v>
      </c>
      <c r="AI57" s="3">
        <v>0.401</v>
      </c>
      <c r="AJ57" s="3">
        <v>0.401</v>
      </c>
      <c r="AK57" s="3">
        <v>0.401</v>
      </c>
      <c r="AL57" s="3">
        <v>0.401</v>
      </c>
      <c r="AM57" s="3">
        <v>0.349</v>
      </c>
      <c r="AN57" s="3">
        <v>0.338</v>
      </c>
      <c r="AO57" s="3">
        <v>0.303</v>
      </c>
      <c r="AP57" s="3">
        <v>0.342</v>
      </c>
      <c r="AQ57" s="3">
        <v>0.347</v>
      </c>
      <c r="AR57" s="3">
        <v>0.357</v>
      </c>
      <c r="AS57" s="3">
        <v>0.373</v>
      </c>
      <c r="AT57" s="3">
        <v>0.418</v>
      </c>
      <c r="AU57" s="3">
        <v>32.764</v>
      </c>
    </row>
    <row r="58" ht="14.25" customHeight="1">
      <c r="A58" s="2" t="s">
        <v>54</v>
      </c>
      <c r="B58" s="3">
        <v>0.692</v>
      </c>
      <c r="C58" s="3">
        <v>0.654</v>
      </c>
      <c r="D58" s="3">
        <v>0.654</v>
      </c>
      <c r="E58" s="3">
        <v>0.642</v>
      </c>
      <c r="F58" s="3">
        <v>0.642</v>
      </c>
      <c r="G58" s="3">
        <v>0.661</v>
      </c>
      <c r="H58" s="3">
        <v>0.661</v>
      </c>
      <c r="I58" s="3">
        <v>0.661</v>
      </c>
      <c r="J58" s="3">
        <v>0.661</v>
      </c>
      <c r="K58" s="3">
        <v>0.661</v>
      </c>
      <c r="L58" s="3">
        <v>0.661</v>
      </c>
      <c r="M58" s="3">
        <v>0.661</v>
      </c>
      <c r="N58" s="3">
        <v>0.661</v>
      </c>
      <c r="O58" s="3">
        <v>0.661</v>
      </c>
      <c r="P58" s="3">
        <v>0.403</v>
      </c>
      <c r="Q58" s="3">
        <v>0.304</v>
      </c>
      <c r="R58" s="3">
        <v>0.292</v>
      </c>
      <c r="S58" s="3">
        <v>0.298</v>
      </c>
      <c r="T58" s="3">
        <v>0.294</v>
      </c>
      <c r="U58" s="3">
        <v>0.294</v>
      </c>
      <c r="V58" s="3">
        <v>0.292</v>
      </c>
      <c r="W58" s="3">
        <v>0.292</v>
      </c>
      <c r="X58" s="3">
        <v>0.286</v>
      </c>
      <c r="Y58" s="3">
        <v>0.28</v>
      </c>
      <c r="Z58" s="3">
        <v>0.273</v>
      </c>
      <c r="AA58" s="3">
        <v>0.273</v>
      </c>
      <c r="AB58" s="3">
        <v>0.273</v>
      </c>
      <c r="AC58" s="3">
        <v>0.273</v>
      </c>
      <c r="AD58" s="3">
        <v>0.273</v>
      </c>
      <c r="AE58" s="3">
        <v>0.273</v>
      </c>
      <c r="AF58" s="3">
        <v>0.273</v>
      </c>
      <c r="AG58" s="3">
        <v>0.273</v>
      </c>
      <c r="AH58" s="3">
        <v>0.273</v>
      </c>
      <c r="AI58" s="3">
        <v>0.236</v>
      </c>
      <c r="AJ58" s="3">
        <v>0.236</v>
      </c>
      <c r="AK58" s="3">
        <v>0.236</v>
      </c>
      <c r="AL58" s="3">
        <v>0.25</v>
      </c>
      <c r="AM58" s="3">
        <v>0.762</v>
      </c>
      <c r="AN58" s="3">
        <v>0.764</v>
      </c>
      <c r="AO58" s="3">
        <v>0.726</v>
      </c>
      <c r="AP58" s="3">
        <v>0.741</v>
      </c>
      <c r="AQ58" s="3">
        <v>0.757</v>
      </c>
      <c r="AR58" s="3">
        <v>0.755</v>
      </c>
      <c r="AS58" s="3">
        <v>0.771</v>
      </c>
      <c r="AT58" s="3">
        <v>0.79</v>
      </c>
      <c r="AU58" s="3">
        <v>83.181</v>
      </c>
    </row>
    <row r="59" ht="14.25" customHeight="1">
      <c r="A59" s="2" t="s">
        <v>455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>
        <v>0.176</v>
      </c>
      <c r="M59" s="3">
        <v>0.159</v>
      </c>
      <c r="N59" s="3">
        <v>0.13</v>
      </c>
      <c r="O59" s="3">
        <v>0.132</v>
      </c>
      <c r="P59" s="3">
        <v>0.137</v>
      </c>
      <c r="Q59" s="3">
        <v>0.142</v>
      </c>
      <c r="R59" s="3">
        <v>0.143</v>
      </c>
      <c r="S59" s="3">
        <v>0.156</v>
      </c>
      <c r="T59" s="3">
        <v>0.167</v>
      </c>
      <c r="U59" s="3">
        <v>0.165</v>
      </c>
      <c r="V59" s="3">
        <v>0.179</v>
      </c>
      <c r="W59" s="3">
        <v>0.179</v>
      </c>
      <c r="X59" s="3">
        <v>0.179</v>
      </c>
      <c r="Y59" s="3">
        <v>0.179</v>
      </c>
      <c r="Z59" s="3">
        <v>0.69</v>
      </c>
      <c r="AA59" s="3">
        <v>0.773</v>
      </c>
      <c r="AB59" s="3">
        <v>0.797</v>
      </c>
      <c r="AC59" s="3">
        <v>0.791</v>
      </c>
      <c r="AD59" s="3">
        <v>0.793</v>
      </c>
      <c r="AE59" s="3">
        <v>0.8</v>
      </c>
      <c r="AF59" s="3">
        <v>0.801</v>
      </c>
      <c r="AG59" s="3">
        <v>0.798</v>
      </c>
      <c r="AH59" s="3">
        <v>0.81</v>
      </c>
      <c r="AI59" s="3">
        <v>0.807</v>
      </c>
      <c r="AJ59" s="3">
        <v>0.805</v>
      </c>
      <c r="AK59" s="3">
        <v>0.801</v>
      </c>
      <c r="AL59" s="3">
        <v>0.803</v>
      </c>
      <c r="AM59" s="3">
        <v>0.787</v>
      </c>
      <c r="AN59" s="3">
        <v>0.787</v>
      </c>
      <c r="AO59" s="3">
        <v>0.771</v>
      </c>
      <c r="AP59" s="3">
        <v>0.772</v>
      </c>
      <c r="AQ59" s="3">
        <v>0.755</v>
      </c>
      <c r="AR59" s="3">
        <v>0.745</v>
      </c>
      <c r="AS59" s="3">
        <v>0.758</v>
      </c>
      <c r="AT59" s="3">
        <v>0.599</v>
      </c>
      <c r="AU59" s="3">
        <v>18.466</v>
      </c>
    </row>
    <row r="60" ht="14.25" customHeight="1">
      <c r="A60" s="2" t="s">
        <v>55</v>
      </c>
      <c r="B60" s="3">
        <v>0.993</v>
      </c>
      <c r="C60" s="3">
        <v>0.993</v>
      </c>
      <c r="D60" s="3">
        <v>0.993</v>
      </c>
      <c r="E60" s="3">
        <v>0.993</v>
      </c>
      <c r="F60" s="3">
        <v>0.993</v>
      </c>
      <c r="G60" s="3">
        <v>0.993</v>
      </c>
      <c r="H60" s="3">
        <v>0.993</v>
      </c>
      <c r="I60" s="3">
        <v>0.993</v>
      </c>
      <c r="J60" s="3">
        <v>0.993</v>
      </c>
      <c r="K60" s="3">
        <v>0.993</v>
      </c>
      <c r="L60" s="3">
        <v>0.994</v>
      </c>
      <c r="M60" s="3">
        <v>0.994</v>
      </c>
      <c r="N60" s="3">
        <v>0.994</v>
      </c>
      <c r="O60" s="3">
        <v>0.994</v>
      </c>
      <c r="P60" s="3">
        <v>0.994</v>
      </c>
      <c r="Q60" s="3">
        <v>0.994</v>
      </c>
      <c r="R60" s="3">
        <v>0.994</v>
      </c>
      <c r="S60" s="3">
        <v>0.994</v>
      </c>
      <c r="T60" s="3">
        <v>0.994</v>
      </c>
      <c r="U60" s="3">
        <v>0.994</v>
      </c>
      <c r="V60" s="3">
        <v>0.994</v>
      </c>
      <c r="W60" s="3">
        <v>0.994</v>
      </c>
      <c r="X60" s="3">
        <v>0.994</v>
      </c>
      <c r="Y60" s="3">
        <v>0.994</v>
      </c>
      <c r="Z60" s="3">
        <v>0.994</v>
      </c>
      <c r="AA60" s="3">
        <v>0.994</v>
      </c>
      <c r="AB60" s="3">
        <v>0.994</v>
      </c>
      <c r="AC60" s="3">
        <v>0.994</v>
      </c>
      <c r="AD60" s="3">
        <v>0.994</v>
      </c>
      <c r="AE60" s="3">
        <v>0.994</v>
      </c>
      <c r="AF60" s="3">
        <v>0.994</v>
      </c>
      <c r="AG60" s="3">
        <v>0.994</v>
      </c>
      <c r="AH60" s="3">
        <v>0.994</v>
      </c>
      <c r="AI60" s="3">
        <v>0.994</v>
      </c>
      <c r="AJ60" s="3">
        <v>0.994</v>
      </c>
      <c r="AK60" s="3">
        <v>0.994</v>
      </c>
      <c r="AL60" s="3">
        <v>0.994</v>
      </c>
      <c r="AM60" s="3">
        <v>0.992</v>
      </c>
      <c r="AN60" s="3">
        <v>0.991</v>
      </c>
      <c r="AO60" s="3">
        <v>0.991</v>
      </c>
      <c r="AP60" s="3">
        <v>0.991</v>
      </c>
      <c r="AQ60" s="3">
        <v>0.991</v>
      </c>
      <c r="AR60" s="3">
        <v>0.991</v>
      </c>
      <c r="AS60" s="3">
        <v>0.992</v>
      </c>
      <c r="AT60" s="3">
        <v>0.991</v>
      </c>
      <c r="AU60" s="3">
        <v>187.659</v>
      </c>
    </row>
    <row r="61" ht="14.25" customHeight="1">
      <c r="A61" s="2" t="s">
        <v>56</v>
      </c>
      <c r="B61" s="3">
        <v>0.507</v>
      </c>
      <c r="C61" s="3">
        <v>0.488</v>
      </c>
      <c r="D61" s="3">
        <v>0.279</v>
      </c>
      <c r="E61" s="3">
        <v>0.279</v>
      </c>
      <c r="F61" s="3">
        <v>0.279</v>
      </c>
      <c r="G61" s="3">
        <v>0.285</v>
      </c>
      <c r="H61" s="3">
        <v>0.281</v>
      </c>
      <c r="I61" s="3">
        <v>0.281</v>
      </c>
      <c r="J61" s="3">
        <v>0.299</v>
      </c>
      <c r="K61" s="3">
        <v>0.295</v>
      </c>
      <c r="L61" s="3">
        <v>0.293</v>
      </c>
      <c r="M61" s="3">
        <v>0.293</v>
      </c>
      <c r="N61" s="3">
        <v>0.297</v>
      </c>
      <c r="O61" s="3">
        <v>0.466</v>
      </c>
      <c r="P61" s="3">
        <v>0.504</v>
      </c>
      <c r="Q61" s="3">
        <v>0.504</v>
      </c>
      <c r="R61" s="3">
        <v>0.535</v>
      </c>
      <c r="S61" s="3">
        <v>0.538</v>
      </c>
      <c r="T61" s="3">
        <v>0.54</v>
      </c>
      <c r="U61" s="3">
        <v>0.54</v>
      </c>
      <c r="V61" s="3">
        <v>0.604</v>
      </c>
      <c r="W61" s="3">
        <v>0.604</v>
      </c>
      <c r="X61" s="3">
        <v>0.597</v>
      </c>
      <c r="Y61" s="3">
        <v>0.598</v>
      </c>
      <c r="Z61" s="3">
        <v>0.598</v>
      </c>
      <c r="AA61" s="3">
        <v>0.598</v>
      </c>
      <c r="AB61" s="3">
        <v>0.598</v>
      </c>
      <c r="AC61" s="3">
        <v>0.596</v>
      </c>
      <c r="AD61" s="3">
        <v>0.596</v>
      </c>
      <c r="AE61" s="3">
        <v>0.596</v>
      </c>
      <c r="AF61" s="3">
        <v>0.609</v>
      </c>
      <c r="AG61" s="3">
        <v>0.609</v>
      </c>
      <c r="AH61" s="3">
        <v>0.608</v>
      </c>
      <c r="AI61" s="3">
        <v>0.584</v>
      </c>
      <c r="AJ61" s="3">
        <v>0.584</v>
      </c>
      <c r="AK61" s="3">
        <v>0.573</v>
      </c>
      <c r="AL61" s="3">
        <v>0.564</v>
      </c>
      <c r="AM61" s="3">
        <v>0.59</v>
      </c>
      <c r="AN61" s="3">
        <v>0.575</v>
      </c>
      <c r="AO61" s="3">
        <v>0.555</v>
      </c>
      <c r="AP61" s="3">
        <v>0.557</v>
      </c>
      <c r="AQ61" s="3">
        <v>0.544</v>
      </c>
      <c r="AR61" s="3">
        <v>0.548</v>
      </c>
      <c r="AS61" s="3">
        <v>0.543</v>
      </c>
      <c r="AT61" s="3">
        <v>0.532</v>
      </c>
      <c r="AU61" s="3">
        <v>67.946</v>
      </c>
    </row>
    <row r="62" ht="14.25" customHeight="1">
      <c r="A62" s="2" t="s">
        <v>57</v>
      </c>
      <c r="B62" s="3">
        <v>0.839</v>
      </c>
      <c r="C62" s="3">
        <v>0.842</v>
      </c>
      <c r="D62" s="3">
        <v>0.86</v>
      </c>
      <c r="E62" s="3">
        <v>0.862</v>
      </c>
      <c r="F62" s="3">
        <v>0.862</v>
      </c>
      <c r="G62" s="3">
        <v>0.862</v>
      </c>
      <c r="H62" s="3">
        <v>0.862</v>
      </c>
      <c r="I62" s="3">
        <v>0.862</v>
      </c>
      <c r="J62" s="3">
        <v>0.862</v>
      </c>
      <c r="K62" s="3">
        <v>0.862</v>
      </c>
      <c r="L62" s="3">
        <v>0.862</v>
      </c>
      <c r="M62" s="3">
        <v>0.862</v>
      </c>
      <c r="N62" s="3">
        <v>0.862</v>
      </c>
      <c r="O62" s="3">
        <v>0.862</v>
      </c>
      <c r="P62" s="3">
        <v>0.862</v>
      </c>
      <c r="Q62" s="3">
        <v>0.863</v>
      </c>
      <c r="R62" s="3">
        <v>0.863</v>
      </c>
      <c r="S62" s="3">
        <v>0.863</v>
      </c>
      <c r="T62" s="3">
        <v>0.868</v>
      </c>
      <c r="U62" s="3">
        <v>0.868</v>
      </c>
      <c r="V62" s="3">
        <v>0.868</v>
      </c>
      <c r="W62" s="3">
        <v>0.868</v>
      </c>
      <c r="X62" s="3">
        <v>0.868</v>
      </c>
      <c r="Y62" s="3">
        <v>0.868</v>
      </c>
      <c r="Z62" s="3">
        <v>0.868</v>
      </c>
      <c r="AA62" s="3">
        <v>0.868</v>
      </c>
      <c r="AB62" s="3">
        <v>0.868</v>
      </c>
      <c r="AC62" s="3">
        <v>0.868</v>
      </c>
      <c r="AD62" s="3">
        <v>0.864</v>
      </c>
      <c r="AE62" s="3">
        <v>0.875</v>
      </c>
      <c r="AF62" s="3">
        <v>0.888</v>
      </c>
      <c r="AG62" s="3">
        <v>0.892</v>
      </c>
      <c r="AH62" s="3">
        <v>0.89</v>
      </c>
      <c r="AI62" s="3">
        <v>0.903</v>
      </c>
      <c r="AJ62" s="3">
        <v>0.902</v>
      </c>
      <c r="AK62" s="3">
        <v>0.892</v>
      </c>
      <c r="AL62" s="3">
        <v>0.892</v>
      </c>
      <c r="AM62" s="3">
        <v>0.893</v>
      </c>
      <c r="AN62" s="3">
        <v>0.894</v>
      </c>
      <c r="AO62" s="3">
        <v>0.896</v>
      </c>
      <c r="AP62" s="3">
        <v>0.896</v>
      </c>
      <c r="AQ62" s="3">
        <v>0.894</v>
      </c>
      <c r="AR62" s="3">
        <v>0.867</v>
      </c>
      <c r="AS62" s="3">
        <v>0.858</v>
      </c>
      <c r="AT62" s="3">
        <v>0.846</v>
      </c>
      <c r="AU62" s="3">
        <v>123.158</v>
      </c>
    </row>
    <row r="63" ht="14.25" customHeight="1">
      <c r="A63" s="2" t="s">
        <v>58</v>
      </c>
      <c r="B63" s="3">
        <v>0.085</v>
      </c>
      <c r="C63" s="3">
        <v>0.094</v>
      </c>
      <c r="D63" s="3">
        <v>0.084</v>
      </c>
      <c r="E63" s="3">
        <v>0.117</v>
      </c>
      <c r="F63" s="3">
        <v>0.119</v>
      </c>
      <c r="G63" s="3">
        <v>0.151</v>
      </c>
      <c r="H63" s="3">
        <v>0.197</v>
      </c>
      <c r="I63" s="3">
        <v>0.251</v>
      </c>
      <c r="J63" s="3">
        <v>0.251</v>
      </c>
      <c r="K63" s="3">
        <v>0.251</v>
      </c>
      <c r="L63" s="3">
        <v>0.257</v>
      </c>
      <c r="M63" s="3">
        <v>0.243</v>
      </c>
      <c r="N63" s="3">
        <v>0.243</v>
      </c>
      <c r="O63" s="3">
        <v>0.277</v>
      </c>
      <c r="P63" s="3">
        <v>0.279</v>
      </c>
      <c r="Q63" s="3">
        <v>0.294</v>
      </c>
      <c r="R63" s="3">
        <v>0.341</v>
      </c>
      <c r="S63" s="3">
        <v>0.354</v>
      </c>
      <c r="T63" s="3">
        <v>0.354</v>
      </c>
      <c r="U63" s="3">
        <v>0.346</v>
      </c>
      <c r="V63" s="3">
        <v>0.332</v>
      </c>
      <c r="W63" s="3">
        <v>0.335</v>
      </c>
      <c r="X63" s="3">
        <v>0.333</v>
      </c>
      <c r="Y63" s="3">
        <v>0.333</v>
      </c>
      <c r="Z63" s="3">
        <v>0.356</v>
      </c>
      <c r="AA63" s="3">
        <v>0.356</v>
      </c>
      <c r="AB63" s="3">
        <v>0.356</v>
      </c>
      <c r="AC63" s="3">
        <v>0.356</v>
      </c>
      <c r="AD63" s="3">
        <v>0.371</v>
      </c>
      <c r="AE63" s="3">
        <v>0.372</v>
      </c>
      <c r="AF63" s="3">
        <v>0.363</v>
      </c>
      <c r="AG63" s="3">
        <v>0.366</v>
      </c>
      <c r="AH63" s="3">
        <v>0.371</v>
      </c>
      <c r="AI63" s="3">
        <v>0.39</v>
      </c>
      <c r="AJ63" s="3">
        <v>0.395</v>
      </c>
      <c r="AK63" s="3">
        <v>0.425</v>
      </c>
      <c r="AL63" s="3">
        <v>0.456</v>
      </c>
      <c r="AM63" s="3">
        <v>0.46</v>
      </c>
      <c r="AN63" s="3">
        <v>0.368</v>
      </c>
      <c r="AO63" s="3">
        <v>0.373</v>
      </c>
      <c r="AP63" s="3">
        <v>0.376</v>
      </c>
      <c r="AQ63" s="3">
        <v>0.353</v>
      </c>
      <c r="AR63" s="3">
        <v>0.293</v>
      </c>
      <c r="AS63" s="3">
        <v>0.265</v>
      </c>
      <c r="AT63" s="3">
        <v>0.572</v>
      </c>
      <c r="AU63" s="3">
        <v>57.265</v>
      </c>
    </row>
    <row r="64" ht="14.25" customHeight="1">
      <c r="A64" s="2" t="s">
        <v>456</v>
      </c>
      <c r="B64" s="3">
        <v>0.149</v>
      </c>
      <c r="C64" s="3">
        <v>0.149</v>
      </c>
      <c r="D64" s="3">
        <v>0.149</v>
      </c>
      <c r="E64" s="3">
        <v>0.149</v>
      </c>
      <c r="F64" s="3">
        <v>0.149</v>
      </c>
      <c r="G64" s="3">
        <v>0.09</v>
      </c>
      <c r="H64" s="3">
        <v>0.08</v>
      </c>
      <c r="I64" s="3">
        <v>0.08</v>
      </c>
      <c r="J64" s="3">
        <v>0.08</v>
      </c>
      <c r="K64" s="3">
        <v>0.08</v>
      </c>
      <c r="L64" s="3">
        <v>0.093</v>
      </c>
      <c r="M64" s="3">
        <v>0.122</v>
      </c>
      <c r="N64" s="3">
        <v>0.122</v>
      </c>
      <c r="O64" s="3">
        <v>0.122</v>
      </c>
      <c r="P64" s="3">
        <v>0.095</v>
      </c>
      <c r="Q64" s="3">
        <v>0.089</v>
      </c>
      <c r="R64" s="3">
        <v>0.087</v>
      </c>
      <c r="S64" s="3">
        <v>0.087</v>
      </c>
      <c r="T64" s="3">
        <v>0.087</v>
      </c>
      <c r="U64" s="3">
        <v>0.087</v>
      </c>
      <c r="V64" s="3">
        <v>0.082</v>
      </c>
      <c r="W64" s="3">
        <v>0.082</v>
      </c>
      <c r="X64" s="3">
        <v>0.082</v>
      </c>
      <c r="Y64" s="3">
        <v>0.082</v>
      </c>
      <c r="Z64" s="3">
        <v>0.082</v>
      </c>
      <c r="AA64" s="3">
        <v>0.083</v>
      </c>
      <c r="AB64" s="3">
        <v>0.083</v>
      </c>
      <c r="AC64" s="3">
        <v>0.086</v>
      </c>
      <c r="AD64" s="3">
        <v>0.061</v>
      </c>
      <c r="AE64" s="3">
        <v>0.068</v>
      </c>
      <c r="AF64" s="3">
        <v>0.116</v>
      </c>
      <c r="AG64" s="3">
        <v>0.15</v>
      </c>
      <c r="AH64" s="3">
        <v>0.153</v>
      </c>
      <c r="AI64" s="3">
        <v>0.173</v>
      </c>
      <c r="AJ64" s="3">
        <v>0.173</v>
      </c>
      <c r="AK64" s="3">
        <v>0.173</v>
      </c>
      <c r="AL64" s="3">
        <v>0.172</v>
      </c>
      <c r="AM64" s="3">
        <v>0.168</v>
      </c>
      <c r="AN64" s="3">
        <v>0.137</v>
      </c>
      <c r="AO64" s="3">
        <v>0.135</v>
      </c>
      <c r="AP64" s="3">
        <v>0.126</v>
      </c>
      <c r="AQ64" s="3">
        <v>0.123</v>
      </c>
      <c r="AR64" s="3">
        <v>0.123</v>
      </c>
      <c r="AS64" s="3">
        <v>0.127</v>
      </c>
      <c r="AT64" s="3">
        <v>0.119</v>
      </c>
      <c r="AU64" s="3">
        <v>19.678</v>
      </c>
    </row>
    <row r="65" ht="14.25" customHeight="1">
      <c r="A65" s="2" t="s">
        <v>457</v>
      </c>
      <c r="B65" s="3">
        <v>0.166</v>
      </c>
      <c r="C65" s="3">
        <v>0.148</v>
      </c>
      <c r="D65" s="3">
        <v>0.148</v>
      </c>
      <c r="E65" s="3">
        <v>0.148</v>
      </c>
      <c r="F65" s="3">
        <v>0.148</v>
      </c>
      <c r="G65" s="3">
        <v>0.148</v>
      </c>
      <c r="H65" s="3">
        <v>0.156</v>
      </c>
      <c r="I65" s="3">
        <v>0.156</v>
      </c>
      <c r="J65" s="3">
        <v>0.156</v>
      </c>
      <c r="K65" s="3">
        <v>0.156</v>
      </c>
      <c r="L65" s="3">
        <v>0.143</v>
      </c>
      <c r="M65" s="3">
        <v>0.143</v>
      </c>
      <c r="N65" s="3">
        <v>0.143</v>
      </c>
      <c r="O65" s="3">
        <v>0.165</v>
      </c>
      <c r="P65" s="3">
        <v>0.158</v>
      </c>
      <c r="Q65" s="3">
        <v>0.193</v>
      </c>
      <c r="R65" s="3">
        <v>0.193</v>
      </c>
      <c r="S65" s="3">
        <v>0.182</v>
      </c>
      <c r="T65" s="3">
        <v>0.187</v>
      </c>
      <c r="U65" s="3">
        <v>0.184</v>
      </c>
      <c r="V65" s="3">
        <v>0.168</v>
      </c>
      <c r="W65" s="3">
        <v>0.172</v>
      </c>
      <c r="X65" s="3">
        <v>0.159</v>
      </c>
      <c r="Y65" s="3">
        <v>0.161</v>
      </c>
      <c r="Z65" s="3">
        <v>0.257</v>
      </c>
      <c r="AA65" s="3">
        <v>0.257</v>
      </c>
      <c r="AB65" s="3">
        <v>0.25</v>
      </c>
      <c r="AC65" s="3">
        <v>0.252</v>
      </c>
      <c r="AD65" s="3">
        <v>0.258</v>
      </c>
      <c r="AE65" s="3">
        <v>0.258</v>
      </c>
      <c r="AF65" s="3">
        <v>0.258</v>
      </c>
      <c r="AG65" s="3">
        <v>0.254</v>
      </c>
      <c r="AH65" s="3">
        <v>0.181</v>
      </c>
      <c r="AI65" s="3">
        <v>0.286</v>
      </c>
      <c r="AJ65" s="3">
        <v>0.308</v>
      </c>
      <c r="AK65" s="3">
        <v>0.308</v>
      </c>
      <c r="AL65" s="3">
        <v>0.29</v>
      </c>
      <c r="AM65" s="3">
        <v>0.29</v>
      </c>
      <c r="AN65" s="3">
        <v>0.283</v>
      </c>
      <c r="AO65" s="3">
        <v>0.255</v>
      </c>
      <c r="AP65" s="3">
        <v>0.269</v>
      </c>
      <c r="AQ65" s="3">
        <v>0.262</v>
      </c>
      <c r="AR65" s="3">
        <v>0.245</v>
      </c>
      <c r="AS65" s="3">
        <v>0.271</v>
      </c>
      <c r="AT65" s="3">
        <v>0.271</v>
      </c>
      <c r="AU65" s="3">
        <v>34.131</v>
      </c>
    </row>
    <row r="66" ht="14.25" customHeight="1">
      <c r="A66" s="2" t="s">
        <v>59</v>
      </c>
      <c r="B66" s="3">
        <v>0.455</v>
      </c>
      <c r="C66" s="3">
        <v>0.477</v>
      </c>
      <c r="D66" s="3">
        <v>0.477</v>
      </c>
      <c r="E66" s="3">
        <v>0.477</v>
      </c>
      <c r="F66" s="3">
        <v>0.477</v>
      </c>
      <c r="G66" s="3">
        <v>0.5</v>
      </c>
      <c r="H66" s="3">
        <v>0.515</v>
      </c>
      <c r="I66" s="3">
        <v>0.515</v>
      </c>
      <c r="J66" s="3">
        <v>0.515</v>
      </c>
      <c r="K66" s="3">
        <v>0.515</v>
      </c>
      <c r="L66" s="3">
        <v>0.498</v>
      </c>
      <c r="M66" s="3">
        <v>0.498</v>
      </c>
      <c r="N66" s="3">
        <v>0.498</v>
      </c>
      <c r="O66" s="3">
        <v>0.577</v>
      </c>
      <c r="P66" s="3">
        <v>0.618</v>
      </c>
      <c r="Q66" s="3">
        <v>0.618</v>
      </c>
      <c r="R66" s="3">
        <v>0.618</v>
      </c>
      <c r="S66" s="3">
        <v>0.509</v>
      </c>
      <c r="T66" s="3">
        <v>0.525</v>
      </c>
      <c r="U66" s="3">
        <v>0.534</v>
      </c>
      <c r="V66" s="3">
        <v>0.513</v>
      </c>
      <c r="W66" s="3">
        <v>0.501</v>
      </c>
      <c r="X66" s="3">
        <v>0.487</v>
      </c>
      <c r="Y66" s="3">
        <v>0.487</v>
      </c>
      <c r="Z66" s="3">
        <v>0.487</v>
      </c>
      <c r="AA66" s="3">
        <v>0.478</v>
      </c>
      <c r="AB66" s="3">
        <v>0.478</v>
      </c>
      <c r="AC66" s="3">
        <v>0.478</v>
      </c>
      <c r="AD66" s="3">
        <v>0.478</v>
      </c>
      <c r="AE66" s="3">
        <v>0.478</v>
      </c>
      <c r="AF66" s="3">
        <v>0.474</v>
      </c>
      <c r="AG66" s="3">
        <v>0.474</v>
      </c>
      <c r="AH66" s="3">
        <v>0.478</v>
      </c>
      <c r="AI66" s="3">
        <v>0.494</v>
      </c>
      <c r="AJ66" s="3">
        <v>0.494</v>
      </c>
      <c r="AK66" s="3">
        <v>0.656</v>
      </c>
      <c r="AL66" s="3">
        <v>0.674</v>
      </c>
      <c r="AM66" s="3">
        <v>0.673</v>
      </c>
      <c r="AN66" s="3">
        <v>0.679</v>
      </c>
      <c r="AO66" s="3">
        <v>0.69</v>
      </c>
      <c r="AP66" s="3">
        <v>0.646</v>
      </c>
      <c r="AQ66" s="3">
        <v>0.645</v>
      </c>
      <c r="AR66" s="3">
        <v>0.625</v>
      </c>
      <c r="AS66" s="3">
        <v>0.586</v>
      </c>
      <c r="AT66" s="3">
        <v>0.586</v>
      </c>
      <c r="AU66" s="3">
        <v>81.776</v>
      </c>
    </row>
    <row r="67" ht="14.25" customHeight="1">
      <c r="A67" s="2" t="s">
        <v>60</v>
      </c>
      <c r="B67" s="3">
        <v>0.045</v>
      </c>
      <c r="C67" s="3">
        <v>0.045</v>
      </c>
      <c r="D67" s="3">
        <v>0.045</v>
      </c>
      <c r="E67" s="3">
        <v>0.045</v>
      </c>
      <c r="F67" s="3">
        <v>0.045</v>
      </c>
      <c r="G67" s="3">
        <v>0.045</v>
      </c>
      <c r="H67" s="3">
        <v>0.05</v>
      </c>
      <c r="I67" s="3">
        <v>0.126</v>
      </c>
      <c r="J67" s="3">
        <v>0.12</v>
      </c>
      <c r="K67" s="3">
        <v>0.12</v>
      </c>
      <c r="L67" s="3">
        <v>0.127</v>
      </c>
      <c r="M67" s="3">
        <v>0.153</v>
      </c>
      <c r="N67" s="3">
        <v>0.089</v>
      </c>
      <c r="O67" s="3">
        <v>0.089</v>
      </c>
      <c r="P67" s="3">
        <v>0.101</v>
      </c>
      <c r="Q67" s="3">
        <v>0.291</v>
      </c>
      <c r="R67" s="3">
        <v>0.292</v>
      </c>
      <c r="S67" s="3">
        <v>0.324</v>
      </c>
      <c r="T67" s="3">
        <v>0.327</v>
      </c>
      <c r="U67" s="3">
        <v>0.327</v>
      </c>
      <c r="V67" s="3">
        <v>0.302</v>
      </c>
      <c r="W67" s="3">
        <v>0.277</v>
      </c>
      <c r="X67" s="3">
        <v>0.279</v>
      </c>
      <c r="Y67" s="3">
        <v>0.266</v>
      </c>
      <c r="Z67" s="3">
        <v>0.182</v>
      </c>
      <c r="AA67" s="3">
        <v>0.148</v>
      </c>
      <c r="AB67" s="3">
        <v>0.198</v>
      </c>
      <c r="AC67" s="3">
        <v>0.217</v>
      </c>
      <c r="AD67" s="3">
        <v>0.219</v>
      </c>
      <c r="AE67" s="3">
        <v>0.214</v>
      </c>
      <c r="AF67" s="3">
        <v>0.175</v>
      </c>
      <c r="AG67" s="3">
        <v>0.175</v>
      </c>
      <c r="AH67" s="3">
        <v>0.174</v>
      </c>
      <c r="AI67" s="3">
        <v>0.174</v>
      </c>
      <c r="AJ67" s="3">
        <v>0.169</v>
      </c>
      <c r="AK67" s="3">
        <v>0.166</v>
      </c>
      <c r="AL67" s="3">
        <v>0.173</v>
      </c>
      <c r="AM67" s="3">
        <v>0.166</v>
      </c>
      <c r="AN67" s="3">
        <v>0.145</v>
      </c>
      <c r="AO67" s="3">
        <v>0.13</v>
      </c>
      <c r="AP67" s="3">
        <v>0.147</v>
      </c>
      <c r="AQ67" s="3">
        <v>0.134</v>
      </c>
      <c r="AR67" s="3">
        <v>0.131</v>
      </c>
      <c r="AS67" s="3">
        <v>0.125</v>
      </c>
      <c r="AT67" s="3">
        <v>0.155</v>
      </c>
      <c r="AU67" s="3">
        <v>24.489</v>
      </c>
    </row>
    <row r="68" ht="14.25" customHeight="1">
      <c r="A68" s="2" t="s">
        <v>61</v>
      </c>
      <c r="B68" s="3">
        <v>0.161</v>
      </c>
      <c r="C68" s="3">
        <v>0.199</v>
      </c>
      <c r="D68" s="3">
        <v>0.236</v>
      </c>
      <c r="E68" s="3">
        <v>0.248</v>
      </c>
      <c r="F68" s="3">
        <v>0.248</v>
      </c>
      <c r="G68" s="3">
        <v>0.248</v>
      </c>
      <c r="H68" s="3">
        <v>0.254</v>
      </c>
      <c r="I68" s="3">
        <v>0.254</v>
      </c>
      <c r="J68" s="3">
        <v>0.262</v>
      </c>
      <c r="K68" s="3">
        <v>0.256</v>
      </c>
      <c r="L68" s="3">
        <v>0.283</v>
      </c>
      <c r="M68" s="3">
        <v>0.288</v>
      </c>
      <c r="N68" s="3">
        <v>0.286</v>
      </c>
      <c r="O68" s="3">
        <v>0.282</v>
      </c>
      <c r="P68" s="3">
        <v>0.286</v>
      </c>
      <c r="Q68" s="3">
        <v>0.286</v>
      </c>
      <c r="R68" s="3">
        <v>0.295</v>
      </c>
      <c r="S68" s="3">
        <v>0.295</v>
      </c>
      <c r="T68" s="3">
        <v>0.303</v>
      </c>
      <c r="U68" s="3">
        <v>0.315</v>
      </c>
      <c r="V68" s="3">
        <v>0.329</v>
      </c>
      <c r="W68" s="3">
        <v>0.329</v>
      </c>
      <c r="X68" s="3">
        <v>0.325</v>
      </c>
      <c r="Y68" s="3">
        <v>0.325</v>
      </c>
      <c r="Z68" s="3">
        <v>0.325</v>
      </c>
      <c r="AA68" s="3">
        <v>0.325</v>
      </c>
      <c r="AB68" s="3">
        <v>0.341</v>
      </c>
      <c r="AC68" s="3">
        <v>0.341</v>
      </c>
      <c r="AD68" s="3">
        <v>0.341</v>
      </c>
      <c r="AE68" s="3">
        <v>0.289</v>
      </c>
      <c r="AF68" s="3">
        <v>0.278</v>
      </c>
      <c r="AG68" s="3">
        <v>0.291</v>
      </c>
      <c r="AH68" s="3">
        <v>0.269</v>
      </c>
      <c r="AI68" s="3">
        <v>0.304</v>
      </c>
      <c r="AJ68" s="3">
        <v>0.312</v>
      </c>
      <c r="AK68" s="3">
        <v>0.261</v>
      </c>
      <c r="AL68" s="3">
        <v>0.286</v>
      </c>
      <c r="AM68" s="3">
        <v>0.276</v>
      </c>
      <c r="AN68" s="3">
        <v>0.296</v>
      </c>
      <c r="AO68" s="3">
        <v>0.281</v>
      </c>
      <c r="AP68" s="3">
        <v>0.295</v>
      </c>
      <c r="AQ68" s="3">
        <v>0.339</v>
      </c>
      <c r="AR68" s="3">
        <v>0.481</v>
      </c>
      <c r="AS68" s="3">
        <v>0.497</v>
      </c>
      <c r="AT68" s="3">
        <v>0.517</v>
      </c>
      <c r="AU68" s="3">
        <v>30.21</v>
      </c>
    </row>
    <row r="69" ht="14.25" customHeight="1">
      <c r="A69" s="2" t="s">
        <v>62</v>
      </c>
      <c r="B69" s="3">
        <v>0.953</v>
      </c>
      <c r="C69" s="3">
        <v>0.953</v>
      </c>
      <c r="D69" s="3">
        <v>0.953</v>
      </c>
      <c r="E69" s="3">
        <v>0.953</v>
      </c>
      <c r="F69" s="3">
        <v>0.959</v>
      </c>
      <c r="G69" s="3">
        <v>0.959</v>
      </c>
      <c r="H69" s="3">
        <v>0.959</v>
      </c>
      <c r="I69" s="3">
        <v>0.959</v>
      </c>
      <c r="J69" s="3">
        <v>0.959</v>
      </c>
      <c r="K69" s="3">
        <v>0.959</v>
      </c>
      <c r="L69" s="3">
        <v>0.959</v>
      </c>
      <c r="M69" s="3">
        <v>0.959</v>
      </c>
      <c r="N69" s="3">
        <v>0.959</v>
      </c>
      <c r="O69" s="3">
        <v>0.959</v>
      </c>
      <c r="P69" s="3">
        <v>0.959</v>
      </c>
      <c r="Q69" s="3">
        <v>0.959</v>
      </c>
      <c r="R69" s="3">
        <v>0.959</v>
      </c>
      <c r="S69" s="3">
        <v>0.955</v>
      </c>
      <c r="T69" s="3">
        <v>0.955</v>
      </c>
      <c r="U69" s="3">
        <v>0.955</v>
      </c>
      <c r="V69" s="3">
        <v>0.955</v>
      </c>
      <c r="W69" s="3">
        <v>0.955</v>
      </c>
      <c r="X69" s="3">
        <v>0.955</v>
      </c>
      <c r="Y69" s="3">
        <v>0.951</v>
      </c>
      <c r="Z69" s="3">
        <v>0.951</v>
      </c>
      <c r="AA69" s="3">
        <v>0.951</v>
      </c>
      <c r="AB69" s="3">
        <v>0.951</v>
      </c>
      <c r="AC69" s="3">
        <v>0.951</v>
      </c>
      <c r="AD69" s="3">
        <v>0.951</v>
      </c>
      <c r="AE69" s="3">
        <v>0.951</v>
      </c>
      <c r="AF69" s="3">
        <v>0.948</v>
      </c>
      <c r="AG69" s="3">
        <v>0.942</v>
      </c>
      <c r="AH69" s="3">
        <v>0.925</v>
      </c>
      <c r="AI69" s="3">
        <v>0.925</v>
      </c>
      <c r="AJ69" s="3">
        <v>0.915</v>
      </c>
      <c r="AK69" s="3">
        <v>0.912</v>
      </c>
      <c r="AL69" s="3">
        <v>0.909</v>
      </c>
      <c r="AM69" s="3">
        <v>0.914</v>
      </c>
      <c r="AN69" s="3">
        <v>0.9</v>
      </c>
      <c r="AO69" s="3">
        <v>0.878</v>
      </c>
      <c r="AP69" s="3">
        <v>0.824</v>
      </c>
      <c r="AQ69" s="3">
        <v>0.769</v>
      </c>
      <c r="AR69" s="3">
        <v>0.741</v>
      </c>
      <c r="AS69" s="3">
        <v>0.715</v>
      </c>
      <c r="AT69" s="3">
        <v>0.731</v>
      </c>
      <c r="AU69" s="3">
        <v>107.55</v>
      </c>
    </row>
    <row r="70" ht="14.25" customHeight="1">
      <c r="A70" s="2" t="s">
        <v>63</v>
      </c>
      <c r="B70" s="3">
        <v>0.554</v>
      </c>
      <c r="C70" s="3">
        <v>0.554</v>
      </c>
      <c r="D70" s="3">
        <v>0.554</v>
      </c>
      <c r="E70" s="3">
        <v>0.552</v>
      </c>
      <c r="F70" s="3">
        <v>0.552</v>
      </c>
      <c r="G70" s="3">
        <v>0.552</v>
      </c>
      <c r="H70" s="3">
        <v>0.552</v>
      </c>
      <c r="I70" s="3">
        <v>0.554</v>
      </c>
      <c r="J70" s="3">
        <v>0.553</v>
      </c>
      <c r="K70" s="3">
        <v>0.585</v>
      </c>
      <c r="L70" s="3">
        <v>0.884</v>
      </c>
      <c r="M70" s="3">
        <v>0.9</v>
      </c>
      <c r="N70" s="3">
        <v>0.888</v>
      </c>
      <c r="O70" s="3">
        <v>0.894</v>
      </c>
      <c r="P70" s="3">
        <v>0.898</v>
      </c>
      <c r="Q70" s="3">
        <v>0.898</v>
      </c>
      <c r="R70" s="3">
        <v>0.898</v>
      </c>
      <c r="S70" s="3">
        <v>0.897</v>
      </c>
      <c r="T70" s="3">
        <v>0.897</v>
      </c>
      <c r="U70" s="3">
        <v>0.884</v>
      </c>
      <c r="V70" s="3">
        <v>0.883</v>
      </c>
      <c r="W70" s="3">
        <v>0.886</v>
      </c>
      <c r="X70" s="3">
        <v>0.886</v>
      </c>
      <c r="Y70" s="3">
        <v>0.885</v>
      </c>
      <c r="Z70" s="3">
        <v>0.885</v>
      </c>
      <c r="AA70" s="3">
        <v>0.874</v>
      </c>
      <c r="AB70" s="3">
        <v>0.86</v>
      </c>
      <c r="AC70" s="3">
        <v>0.875</v>
      </c>
      <c r="AD70" s="3">
        <v>0.875</v>
      </c>
      <c r="AE70" s="3">
        <v>0.88</v>
      </c>
      <c r="AF70" s="3">
        <v>0.789</v>
      </c>
      <c r="AG70" s="3">
        <v>0.763</v>
      </c>
      <c r="AH70" s="3">
        <v>0.745</v>
      </c>
      <c r="AI70" s="3">
        <v>0.703</v>
      </c>
      <c r="AJ70" s="3">
        <v>0.696</v>
      </c>
      <c r="AK70" s="3">
        <v>0.696</v>
      </c>
      <c r="AL70" s="3">
        <v>0.693</v>
      </c>
      <c r="AM70" s="3">
        <v>0.698</v>
      </c>
      <c r="AN70" s="3">
        <v>0.678</v>
      </c>
      <c r="AO70" s="3">
        <v>0.67</v>
      </c>
      <c r="AP70" s="3">
        <v>0.64</v>
      </c>
      <c r="AQ70" s="3">
        <v>0.628</v>
      </c>
      <c r="AR70" s="3">
        <v>0.581</v>
      </c>
      <c r="AS70" s="3">
        <v>0.576</v>
      </c>
      <c r="AT70" s="3">
        <v>0.577</v>
      </c>
      <c r="AU70" s="3">
        <v>152.523</v>
      </c>
    </row>
    <row r="71" ht="14.25" customHeight="1">
      <c r="A71" s="2" t="s">
        <v>64</v>
      </c>
      <c r="B71" s="3">
        <v>0.965</v>
      </c>
      <c r="C71" s="3">
        <v>0.965</v>
      </c>
      <c r="D71" s="3">
        <v>0.965</v>
      </c>
      <c r="E71" s="3">
        <v>0.965</v>
      </c>
      <c r="F71" s="3">
        <v>0.965</v>
      </c>
      <c r="G71" s="3">
        <v>0.965</v>
      </c>
      <c r="H71" s="3">
        <v>0.965</v>
      </c>
      <c r="I71" s="3">
        <v>0.965</v>
      </c>
      <c r="J71" s="3">
        <v>0.965</v>
      </c>
      <c r="K71" s="3">
        <v>0.965</v>
      </c>
      <c r="L71" s="3">
        <v>0.974</v>
      </c>
      <c r="M71" s="3">
        <v>0.974</v>
      </c>
      <c r="N71" s="3">
        <v>0.974</v>
      </c>
      <c r="O71" s="3">
        <v>0.974</v>
      </c>
      <c r="P71" s="3">
        <v>0.976</v>
      </c>
      <c r="Q71" s="3">
        <v>0.98</v>
      </c>
      <c r="R71" s="3">
        <v>0.98</v>
      </c>
      <c r="S71" s="3">
        <v>0.98</v>
      </c>
      <c r="T71" s="3">
        <v>0.98</v>
      </c>
      <c r="U71" s="3">
        <v>0.98</v>
      </c>
      <c r="V71" s="3">
        <v>0.98</v>
      </c>
      <c r="W71" s="3">
        <v>0.98</v>
      </c>
      <c r="X71" s="3">
        <v>0.98</v>
      </c>
      <c r="Y71" s="3">
        <v>0.98</v>
      </c>
      <c r="Z71" s="3">
        <v>0.98</v>
      </c>
      <c r="AA71" s="3">
        <v>0.98</v>
      </c>
      <c r="AB71" s="3">
        <v>0.98</v>
      </c>
      <c r="AC71" s="3">
        <v>0.98</v>
      </c>
      <c r="AD71" s="3">
        <v>0.98</v>
      </c>
      <c r="AE71" s="3">
        <v>0.981</v>
      </c>
      <c r="AF71" s="3">
        <v>0.981</v>
      </c>
      <c r="AG71" s="3">
        <v>0.98</v>
      </c>
      <c r="AH71" s="3">
        <v>0.981</v>
      </c>
      <c r="AI71" s="3">
        <v>0.983</v>
      </c>
      <c r="AJ71" s="3">
        <v>0.983</v>
      </c>
      <c r="AK71" s="3">
        <v>0.983</v>
      </c>
      <c r="AL71" s="3">
        <v>0.983</v>
      </c>
      <c r="AM71" s="3">
        <v>0.983</v>
      </c>
      <c r="AN71" s="3">
        <v>0.983</v>
      </c>
      <c r="AO71" s="3">
        <v>0.983</v>
      </c>
      <c r="AP71" s="3">
        <v>0.983</v>
      </c>
      <c r="AQ71" s="3">
        <v>0.977</v>
      </c>
      <c r="AR71" s="3">
        <v>0.975</v>
      </c>
      <c r="AS71" s="3">
        <v>0.975</v>
      </c>
      <c r="AT71" s="3">
        <v>0.976</v>
      </c>
      <c r="AU71" s="3">
        <v>120.178</v>
      </c>
    </row>
    <row r="72" ht="14.25" customHeight="1">
      <c r="A72" s="2" t="s">
        <v>65</v>
      </c>
      <c r="B72" s="3">
        <v>0.642</v>
      </c>
      <c r="C72" s="3">
        <v>0.642</v>
      </c>
      <c r="D72" s="3">
        <v>0.642</v>
      </c>
      <c r="E72" s="3">
        <v>0.642</v>
      </c>
      <c r="F72" s="3">
        <v>0.642</v>
      </c>
      <c r="G72" s="3">
        <v>0.642</v>
      </c>
      <c r="H72" s="3">
        <v>0.642</v>
      </c>
      <c r="I72" s="3">
        <v>0.622</v>
      </c>
      <c r="J72" s="3">
        <v>0.622</v>
      </c>
      <c r="K72" s="3">
        <v>0.622</v>
      </c>
      <c r="L72" s="3">
        <v>0.622</v>
      </c>
      <c r="M72" s="3">
        <v>0.625</v>
      </c>
      <c r="N72" s="3">
        <v>0.581</v>
      </c>
      <c r="O72" s="3">
        <v>0.578</v>
      </c>
      <c r="P72" s="3">
        <v>0.578</v>
      </c>
      <c r="Q72" s="3">
        <v>0.578</v>
      </c>
      <c r="R72" s="3">
        <v>0.583</v>
      </c>
      <c r="S72" s="3">
        <v>0.583</v>
      </c>
      <c r="T72" s="3">
        <v>0.583</v>
      </c>
      <c r="U72" s="3">
        <v>0.589</v>
      </c>
      <c r="V72" s="3">
        <v>0.589</v>
      </c>
      <c r="W72" s="3">
        <v>0.589</v>
      </c>
      <c r="X72" s="3">
        <v>0.589</v>
      </c>
      <c r="Y72" s="3">
        <v>0.589</v>
      </c>
      <c r="Z72" s="3">
        <v>0.589</v>
      </c>
      <c r="AA72" s="3">
        <v>0.589</v>
      </c>
      <c r="AB72" s="3">
        <v>0.589</v>
      </c>
      <c r="AC72" s="3">
        <v>0.589</v>
      </c>
      <c r="AD72" s="3">
        <v>0.589</v>
      </c>
      <c r="AE72" s="3">
        <v>0.589</v>
      </c>
      <c r="AF72" s="3">
        <v>0.598</v>
      </c>
      <c r="AG72" s="3">
        <v>0.6</v>
      </c>
      <c r="AH72" s="3">
        <v>0.602</v>
      </c>
      <c r="AI72" s="3">
        <v>0.606</v>
      </c>
      <c r="AJ72" s="3">
        <v>0.593</v>
      </c>
      <c r="AK72" s="3">
        <v>0.545</v>
      </c>
      <c r="AL72" s="3">
        <v>0.535</v>
      </c>
      <c r="AM72" s="3">
        <v>0.508</v>
      </c>
      <c r="AN72" s="3">
        <v>0.497</v>
      </c>
      <c r="AO72" s="3">
        <v>0.503</v>
      </c>
      <c r="AP72" s="3">
        <v>0.458</v>
      </c>
      <c r="AQ72" s="3">
        <v>0.439</v>
      </c>
      <c r="AR72" s="3">
        <v>0.425</v>
      </c>
      <c r="AS72" s="3">
        <v>0.413</v>
      </c>
      <c r="AT72" s="3">
        <v>0.401</v>
      </c>
      <c r="AU72" s="3">
        <v>150.138</v>
      </c>
    </row>
    <row r="73" ht="14.25" customHeight="1">
      <c r="A73" s="2" t="s">
        <v>66</v>
      </c>
      <c r="B73" s="3">
        <v>0.06</v>
      </c>
      <c r="C73" s="3">
        <v>0.06</v>
      </c>
      <c r="D73" s="3">
        <v>0.052</v>
      </c>
      <c r="E73" s="3">
        <v>0.052</v>
      </c>
      <c r="F73" s="3">
        <v>0.052</v>
      </c>
      <c r="G73" s="3">
        <v>0.052</v>
      </c>
      <c r="H73" s="3">
        <v>0.052</v>
      </c>
      <c r="I73" s="3">
        <v>0.052</v>
      </c>
      <c r="J73" s="3">
        <v>0.052</v>
      </c>
      <c r="K73" s="3">
        <v>0.052</v>
      </c>
      <c r="L73" s="3">
        <v>0.052</v>
      </c>
      <c r="M73" s="3">
        <v>0.052</v>
      </c>
      <c r="N73" s="3">
        <v>0.051</v>
      </c>
      <c r="O73" s="3">
        <v>0.051</v>
      </c>
      <c r="P73" s="3">
        <v>0.051</v>
      </c>
      <c r="Q73" s="3">
        <v>0.051</v>
      </c>
      <c r="R73" s="3">
        <v>0.051</v>
      </c>
      <c r="S73" s="3">
        <v>0.051</v>
      </c>
      <c r="T73" s="3">
        <v>0.128</v>
      </c>
      <c r="U73" s="3">
        <v>0.518</v>
      </c>
      <c r="V73" s="3">
        <v>0.527</v>
      </c>
      <c r="W73" s="3">
        <v>0.527</v>
      </c>
      <c r="X73" s="3">
        <v>0.529</v>
      </c>
      <c r="Y73" s="3">
        <v>0.537</v>
      </c>
      <c r="Z73" s="3">
        <v>0.536</v>
      </c>
      <c r="AA73" s="3">
        <v>0.545</v>
      </c>
      <c r="AB73" s="3">
        <v>0.545</v>
      </c>
      <c r="AC73" s="3">
        <v>0.546</v>
      </c>
      <c r="AD73" s="3">
        <v>0.546</v>
      </c>
      <c r="AE73" s="3">
        <v>0.552</v>
      </c>
      <c r="AF73" s="3">
        <v>0.586</v>
      </c>
      <c r="AG73" s="3">
        <v>0.574</v>
      </c>
      <c r="AH73" s="3">
        <v>0.57</v>
      </c>
      <c r="AI73" s="3">
        <v>0.547</v>
      </c>
      <c r="AJ73" s="3">
        <v>0.54</v>
      </c>
      <c r="AK73" s="3">
        <v>0.595</v>
      </c>
      <c r="AL73" s="3">
        <v>0.587</v>
      </c>
      <c r="AM73" s="3">
        <v>0.578</v>
      </c>
      <c r="AN73" s="3">
        <v>0.559</v>
      </c>
      <c r="AO73" s="3">
        <v>0.54</v>
      </c>
      <c r="AP73" s="3">
        <v>0.466</v>
      </c>
      <c r="AQ73" s="3">
        <v>0.469</v>
      </c>
      <c r="AR73" s="3">
        <v>0.443</v>
      </c>
      <c r="AS73" s="3">
        <v>0.377</v>
      </c>
      <c r="AT73" s="3">
        <v>0.399</v>
      </c>
      <c r="AU73" s="3">
        <v>36.809</v>
      </c>
    </row>
    <row r="74" ht="14.25" customHeight="1">
      <c r="A74" s="2" t="s">
        <v>67</v>
      </c>
      <c r="B74" s="3">
        <v>0.247</v>
      </c>
      <c r="C74" s="3">
        <v>0.222</v>
      </c>
      <c r="D74" s="3">
        <v>0.222</v>
      </c>
      <c r="E74" s="3">
        <v>0.193</v>
      </c>
      <c r="F74" s="3">
        <v>0.225</v>
      </c>
      <c r="G74" s="3">
        <v>0.232</v>
      </c>
      <c r="H74" s="3">
        <v>0.232</v>
      </c>
      <c r="I74" s="3">
        <v>0.228</v>
      </c>
      <c r="J74" s="3">
        <v>0.228</v>
      </c>
      <c r="K74" s="3">
        <v>0.24</v>
      </c>
      <c r="L74" s="3">
        <v>0.275</v>
      </c>
      <c r="M74" s="3">
        <v>0.275</v>
      </c>
      <c r="N74" s="3">
        <v>0.275</v>
      </c>
      <c r="O74" s="3">
        <v>0.275</v>
      </c>
      <c r="P74" s="3">
        <v>0.288</v>
      </c>
      <c r="Q74" s="3">
        <v>0.288</v>
      </c>
      <c r="R74" s="3">
        <v>0.287</v>
      </c>
      <c r="S74" s="3">
        <v>0.347</v>
      </c>
      <c r="T74" s="3">
        <v>0.372</v>
      </c>
      <c r="U74" s="3">
        <v>0.378</v>
      </c>
      <c r="V74" s="3">
        <v>0.35</v>
      </c>
      <c r="W74" s="3">
        <v>0.35</v>
      </c>
      <c r="X74" s="3">
        <v>0.35</v>
      </c>
      <c r="Y74" s="3">
        <v>0.35</v>
      </c>
      <c r="Z74" s="3">
        <v>0.334</v>
      </c>
      <c r="AA74" s="3">
        <v>0.264</v>
      </c>
      <c r="AB74" s="3">
        <v>0.26</v>
      </c>
      <c r="AC74" s="3">
        <v>0.26</v>
      </c>
      <c r="AD74" s="3">
        <v>0.26</v>
      </c>
      <c r="AE74" s="3">
        <v>0.241</v>
      </c>
      <c r="AF74" s="3">
        <v>0.231</v>
      </c>
      <c r="AG74" s="3">
        <v>0.234</v>
      </c>
      <c r="AH74" s="3">
        <v>0.234</v>
      </c>
      <c r="AI74" s="3">
        <v>0.252</v>
      </c>
      <c r="AJ74" s="3">
        <v>0.251</v>
      </c>
      <c r="AK74" s="3">
        <v>0.264</v>
      </c>
      <c r="AL74" s="3">
        <v>0.273</v>
      </c>
      <c r="AM74" s="3">
        <v>0.249</v>
      </c>
      <c r="AN74" s="3">
        <v>0.244</v>
      </c>
      <c r="AO74" s="3">
        <v>0.241</v>
      </c>
      <c r="AP74" s="3">
        <v>0.233</v>
      </c>
      <c r="AQ74" s="3">
        <v>0.215</v>
      </c>
      <c r="AR74" s="3">
        <v>0.198</v>
      </c>
      <c r="AS74" s="3">
        <v>0.183</v>
      </c>
      <c r="AT74" s="3">
        <v>0.214</v>
      </c>
      <c r="AU74" s="3">
        <v>41.1060000000001</v>
      </c>
    </row>
    <row r="75" ht="14.25" customHeight="1">
      <c r="A75" s="2" t="s">
        <v>68</v>
      </c>
      <c r="B75" s="3">
        <v>0.197</v>
      </c>
      <c r="C75" s="3">
        <v>0.197</v>
      </c>
      <c r="D75" s="3">
        <v>0.197</v>
      </c>
      <c r="E75" s="3">
        <v>0.197</v>
      </c>
      <c r="F75" s="3">
        <v>0.197</v>
      </c>
      <c r="G75" s="3">
        <v>0.197</v>
      </c>
      <c r="H75" s="3">
        <v>0.197</v>
      </c>
      <c r="I75" s="3">
        <v>0.197</v>
      </c>
      <c r="J75" s="3">
        <v>0.197</v>
      </c>
      <c r="K75" s="3">
        <v>0.197</v>
      </c>
      <c r="L75" s="3">
        <v>0.178</v>
      </c>
      <c r="M75" s="3">
        <v>0.142</v>
      </c>
      <c r="N75" s="3">
        <v>0.142</v>
      </c>
      <c r="O75" s="3">
        <v>0.142</v>
      </c>
      <c r="P75" s="3">
        <v>0.142</v>
      </c>
      <c r="Q75" s="3">
        <v>0.142</v>
      </c>
      <c r="R75" s="3">
        <v>0.142</v>
      </c>
      <c r="S75" s="3">
        <v>0.142</v>
      </c>
      <c r="T75" s="3">
        <v>0.142</v>
      </c>
      <c r="U75" s="3">
        <v>0.142</v>
      </c>
      <c r="V75" s="3">
        <v>0.144</v>
      </c>
      <c r="W75" s="3">
        <v>0.144</v>
      </c>
      <c r="X75" s="3">
        <v>0.142</v>
      </c>
      <c r="Y75" s="3">
        <v>0.227</v>
      </c>
      <c r="Z75" s="3">
        <v>0.299</v>
      </c>
      <c r="AA75" s="3">
        <v>0.26</v>
      </c>
      <c r="AB75" s="3">
        <v>0.261</v>
      </c>
      <c r="AC75" s="3">
        <v>0.261</v>
      </c>
      <c r="AD75" s="3">
        <v>0.266</v>
      </c>
      <c r="AE75" s="3">
        <v>0.266</v>
      </c>
      <c r="AF75" s="3">
        <v>0.26</v>
      </c>
      <c r="AG75" s="3">
        <v>0.253</v>
      </c>
      <c r="AH75" s="3">
        <v>0.253</v>
      </c>
      <c r="AI75" s="3">
        <v>0.206</v>
      </c>
      <c r="AJ75" s="3">
        <v>0.208</v>
      </c>
      <c r="AK75" s="3">
        <v>0.217</v>
      </c>
      <c r="AL75" s="3">
        <v>0.236</v>
      </c>
      <c r="AM75" s="3">
        <v>0.233</v>
      </c>
      <c r="AN75" s="3">
        <v>0.252</v>
      </c>
      <c r="AO75" s="3">
        <v>0.225</v>
      </c>
      <c r="AP75" s="3">
        <v>0.211</v>
      </c>
      <c r="AQ75" s="3">
        <v>0.25</v>
      </c>
      <c r="AR75" s="3">
        <v>0.244</v>
      </c>
      <c r="AS75" s="3">
        <v>0.285</v>
      </c>
      <c r="AT75" s="3">
        <v>0.282</v>
      </c>
      <c r="AU75" s="3">
        <v>33.743</v>
      </c>
    </row>
    <row r="76" ht="14.25" customHeight="1">
      <c r="A76" s="2" t="s">
        <v>69</v>
      </c>
      <c r="B76" s="3">
        <v>0.952</v>
      </c>
      <c r="C76" s="3">
        <v>0.954</v>
      </c>
      <c r="D76" s="3">
        <v>0.949</v>
      </c>
      <c r="E76" s="3">
        <v>0.952</v>
      </c>
      <c r="F76" s="3">
        <v>0.952</v>
      </c>
      <c r="G76" s="3">
        <v>0.952</v>
      </c>
      <c r="H76" s="3">
        <v>0.952</v>
      </c>
      <c r="I76" s="3">
        <v>0.952</v>
      </c>
      <c r="J76" s="3">
        <v>0.952</v>
      </c>
      <c r="K76" s="3">
        <v>0.952</v>
      </c>
      <c r="L76" s="3">
        <v>0.95</v>
      </c>
      <c r="M76" s="3">
        <v>0.953</v>
      </c>
      <c r="N76" s="3">
        <v>0.956</v>
      </c>
      <c r="O76" s="3">
        <v>0.956</v>
      </c>
      <c r="P76" s="3">
        <v>0.956</v>
      </c>
      <c r="Q76" s="3">
        <v>0.956</v>
      </c>
      <c r="R76" s="3">
        <v>0.962</v>
      </c>
      <c r="S76" s="3">
        <v>0.962</v>
      </c>
      <c r="T76" s="3">
        <v>0.965</v>
      </c>
      <c r="U76" s="3">
        <v>0.968</v>
      </c>
      <c r="V76" s="3">
        <v>0.969</v>
      </c>
      <c r="W76" s="3">
        <v>0.969</v>
      </c>
      <c r="X76" s="3">
        <v>0.969</v>
      </c>
      <c r="Y76" s="3">
        <v>0.969</v>
      </c>
      <c r="Z76" s="3">
        <v>0.969</v>
      </c>
      <c r="AA76" s="3">
        <v>0.969</v>
      </c>
      <c r="AB76" s="3">
        <v>0.969</v>
      </c>
      <c r="AC76" s="3">
        <v>0.969</v>
      </c>
      <c r="AD76" s="3">
        <v>0.968</v>
      </c>
      <c r="AE76" s="3">
        <v>0.972</v>
      </c>
      <c r="AF76" s="3">
        <v>0.973</v>
      </c>
      <c r="AG76" s="3">
        <v>0.977</v>
      </c>
      <c r="AH76" s="3">
        <v>0.977</v>
      </c>
      <c r="AI76" s="3">
        <v>0.978</v>
      </c>
      <c r="AJ76" s="3">
        <v>0.978</v>
      </c>
      <c r="AK76" s="3">
        <v>0.978</v>
      </c>
      <c r="AL76" s="3">
        <v>0.978</v>
      </c>
      <c r="AM76" s="3">
        <v>0.982</v>
      </c>
      <c r="AN76" s="3">
        <v>0.983</v>
      </c>
      <c r="AO76" s="3">
        <v>0.983</v>
      </c>
      <c r="AP76" s="3">
        <v>0.982</v>
      </c>
      <c r="AQ76" s="3">
        <v>0.982</v>
      </c>
      <c r="AR76" s="3">
        <v>0.982</v>
      </c>
      <c r="AS76" s="3">
        <v>0.983</v>
      </c>
      <c r="AT76" s="3">
        <v>0.983</v>
      </c>
      <c r="AU76" s="3">
        <v>101.753</v>
      </c>
    </row>
    <row r="77" ht="14.25" customHeight="1">
      <c r="A77" s="2" t="s">
        <v>458</v>
      </c>
      <c r="B77" s="3">
        <v>0.935</v>
      </c>
      <c r="C77" s="3">
        <v>0.935</v>
      </c>
      <c r="D77" s="3">
        <v>0.935</v>
      </c>
      <c r="E77" s="3">
        <v>0.935</v>
      </c>
      <c r="F77" s="3">
        <v>0.935</v>
      </c>
      <c r="G77" s="3">
        <v>0.944</v>
      </c>
      <c r="H77" s="3">
        <v>0.944</v>
      </c>
      <c r="I77" s="3">
        <v>0.944</v>
      </c>
      <c r="J77" s="3">
        <v>0.944</v>
      </c>
      <c r="K77" s="3">
        <v>0.944</v>
      </c>
      <c r="L77" s="3">
        <v>0.944</v>
      </c>
      <c r="M77" s="3">
        <v>0.944</v>
      </c>
      <c r="N77" s="3">
        <v>0.944</v>
      </c>
      <c r="O77" s="3">
        <v>0.944</v>
      </c>
      <c r="P77" s="3">
        <v>0.944</v>
      </c>
      <c r="Q77" s="3">
        <v>0.944</v>
      </c>
      <c r="R77" s="3">
        <v>0.944</v>
      </c>
      <c r="S77" s="3">
        <v>0.944</v>
      </c>
      <c r="T77" s="3">
        <v>0.944</v>
      </c>
      <c r="U77" s="3">
        <v>0.944</v>
      </c>
      <c r="V77" s="3">
        <v>0.942</v>
      </c>
      <c r="W77" s="3">
        <v>0.942</v>
      </c>
      <c r="X77" s="3">
        <v>0.942</v>
      </c>
      <c r="Y77" s="3">
        <v>0.942</v>
      </c>
      <c r="Z77" s="3">
        <v>0.942</v>
      </c>
      <c r="AA77" s="3">
        <v>0.942</v>
      </c>
      <c r="AB77" s="3">
        <v>0.942</v>
      </c>
      <c r="AC77" s="3">
        <v>0.942</v>
      </c>
      <c r="AD77" s="3">
        <v>0.942</v>
      </c>
      <c r="AE77" s="3">
        <v>0.938</v>
      </c>
      <c r="AF77" s="3">
        <v>0.935</v>
      </c>
      <c r="AG77" s="3">
        <v>0.935</v>
      </c>
      <c r="AH77" s="3">
        <v>0.935</v>
      </c>
      <c r="AI77" s="3">
        <v>0.93</v>
      </c>
      <c r="AJ77" s="3">
        <v>0.93</v>
      </c>
      <c r="AK77" s="3">
        <v>0.929</v>
      </c>
      <c r="AL77" s="3">
        <v>0.925</v>
      </c>
      <c r="AM77" s="3">
        <v>0.92</v>
      </c>
      <c r="AN77" s="3">
        <v>0.92</v>
      </c>
      <c r="AO77" s="3">
        <v>0.918</v>
      </c>
      <c r="AP77" s="3">
        <v>0.923</v>
      </c>
      <c r="AQ77" s="3">
        <v>0.936</v>
      </c>
      <c r="AR77" s="3">
        <v>0.946</v>
      </c>
      <c r="AS77" s="3">
        <v>0.912</v>
      </c>
      <c r="AT77" s="3">
        <v>0.897</v>
      </c>
      <c r="AU77" s="3">
        <v>70.7230000000001</v>
      </c>
    </row>
    <row r="78" ht="14.25" customHeight="1">
      <c r="A78" s="2" t="s">
        <v>70</v>
      </c>
      <c r="B78" s="3">
        <v>0.849</v>
      </c>
      <c r="C78" s="3">
        <v>0.855</v>
      </c>
      <c r="D78" s="3">
        <v>0.855</v>
      </c>
      <c r="E78" s="3">
        <v>0.855</v>
      </c>
      <c r="F78" s="3">
        <v>0.855</v>
      </c>
      <c r="G78" s="3">
        <v>0.855</v>
      </c>
      <c r="H78" s="3">
        <v>0.855</v>
      </c>
      <c r="I78" s="3">
        <v>0.863</v>
      </c>
      <c r="J78" s="3">
        <v>0.863</v>
      </c>
      <c r="K78" s="3">
        <v>0.855</v>
      </c>
      <c r="L78" s="3">
        <v>0.86</v>
      </c>
      <c r="M78" s="3">
        <v>0.865</v>
      </c>
      <c r="N78" s="3">
        <v>0.874</v>
      </c>
      <c r="O78" s="3">
        <v>0.88</v>
      </c>
      <c r="P78" s="3">
        <v>0.861</v>
      </c>
      <c r="Q78" s="3">
        <v>0.867</v>
      </c>
      <c r="R78" s="3">
        <v>0.891</v>
      </c>
      <c r="S78" s="3">
        <v>0.891</v>
      </c>
      <c r="T78" s="3">
        <v>0.891</v>
      </c>
      <c r="U78" s="3">
        <v>0.891</v>
      </c>
      <c r="V78" s="3">
        <v>0.885</v>
      </c>
      <c r="W78" s="3">
        <v>0.865</v>
      </c>
      <c r="X78" s="3">
        <v>0.872</v>
      </c>
      <c r="Y78" s="3">
        <v>0.871</v>
      </c>
      <c r="Z78" s="3">
        <v>0.871</v>
      </c>
      <c r="AA78" s="3">
        <v>0.871</v>
      </c>
      <c r="AB78" s="3">
        <v>0.899</v>
      </c>
      <c r="AC78" s="3">
        <v>0.9</v>
      </c>
      <c r="AD78" s="3">
        <v>0.868</v>
      </c>
      <c r="AE78" s="3">
        <v>0.867</v>
      </c>
      <c r="AF78" s="3">
        <v>0.884</v>
      </c>
      <c r="AG78" s="3">
        <v>0.902</v>
      </c>
      <c r="AH78" s="3">
        <v>0.901</v>
      </c>
      <c r="AI78" s="3">
        <v>0.893</v>
      </c>
      <c r="AJ78" s="3">
        <v>0.893</v>
      </c>
      <c r="AK78" s="3">
        <v>0.893</v>
      </c>
      <c r="AL78" s="3">
        <v>0.893</v>
      </c>
      <c r="AM78" s="3">
        <v>0.907</v>
      </c>
      <c r="AN78" s="3">
        <v>0.9</v>
      </c>
      <c r="AO78" s="3">
        <v>0.9</v>
      </c>
      <c r="AP78" s="3">
        <v>0.895</v>
      </c>
      <c r="AQ78" s="3">
        <v>0.902</v>
      </c>
      <c r="AR78" s="3">
        <v>0.902</v>
      </c>
      <c r="AS78" s="3">
        <v>0.883</v>
      </c>
      <c r="AT78" s="3">
        <v>0.863</v>
      </c>
      <c r="AU78" s="3">
        <v>118.066</v>
      </c>
    </row>
    <row r="79" ht="14.25" customHeight="1">
      <c r="A79" s="2" t="s">
        <v>71</v>
      </c>
      <c r="B79" s="3">
        <v>0.812</v>
      </c>
      <c r="C79" s="3">
        <v>0.812</v>
      </c>
      <c r="D79" s="3">
        <v>0.812</v>
      </c>
      <c r="E79" s="3">
        <v>0.812</v>
      </c>
      <c r="F79" s="3">
        <v>0.812</v>
      </c>
      <c r="G79" s="3">
        <v>0.812</v>
      </c>
      <c r="H79" s="3">
        <v>0.812</v>
      </c>
      <c r="I79" s="3">
        <v>0.812</v>
      </c>
      <c r="J79" s="3">
        <v>0.812</v>
      </c>
      <c r="K79" s="3">
        <v>0.812</v>
      </c>
      <c r="L79" s="3">
        <v>0.848</v>
      </c>
      <c r="M79" s="3">
        <v>0.848</v>
      </c>
      <c r="N79" s="3">
        <v>0.848</v>
      </c>
      <c r="O79" s="3">
        <v>0.848</v>
      </c>
      <c r="P79" s="3">
        <v>0.848</v>
      </c>
      <c r="Q79" s="3">
        <v>0.848</v>
      </c>
      <c r="R79" s="3">
        <v>0.848</v>
      </c>
      <c r="S79" s="3">
        <v>0.848</v>
      </c>
      <c r="T79" s="3">
        <v>0.848</v>
      </c>
      <c r="U79" s="3">
        <v>0.848</v>
      </c>
      <c r="V79" s="3">
        <v>0.862</v>
      </c>
      <c r="W79" s="3">
        <v>0.862</v>
      </c>
      <c r="X79" s="3">
        <v>0.862</v>
      </c>
      <c r="Y79" s="3">
        <v>0.862</v>
      </c>
      <c r="Z79" s="3">
        <v>0.862</v>
      </c>
      <c r="AA79" s="3">
        <v>0.862</v>
      </c>
      <c r="AB79" s="3">
        <v>0.862</v>
      </c>
      <c r="AC79" s="3">
        <v>0.862</v>
      </c>
      <c r="AD79" s="3">
        <v>0.862</v>
      </c>
      <c r="AE79" s="3">
        <v>0.862</v>
      </c>
      <c r="AF79" s="3">
        <v>0.862</v>
      </c>
      <c r="AG79" s="3">
        <v>0.862</v>
      </c>
      <c r="AH79" s="3">
        <v>0.859</v>
      </c>
      <c r="AI79" s="3">
        <v>0.867</v>
      </c>
      <c r="AJ79" s="3">
        <v>0.867</v>
      </c>
      <c r="AK79" s="3">
        <v>0.867</v>
      </c>
      <c r="AL79" s="3">
        <v>0.87</v>
      </c>
      <c r="AM79" s="3">
        <v>0.88</v>
      </c>
      <c r="AN79" s="3">
        <v>0.872</v>
      </c>
      <c r="AO79" s="3">
        <v>0.893</v>
      </c>
      <c r="AP79" s="3">
        <v>0.882</v>
      </c>
      <c r="AQ79" s="3">
        <v>0.88</v>
      </c>
      <c r="AR79" s="3">
        <v>0.884</v>
      </c>
      <c r="AS79" s="3">
        <v>0.86</v>
      </c>
      <c r="AT79" s="3">
        <v>0.874</v>
      </c>
      <c r="AU79" s="3">
        <v>101.301</v>
      </c>
    </row>
    <row r="80" ht="14.25" customHeight="1">
      <c r="A80" s="2" t="s">
        <v>72</v>
      </c>
      <c r="B80" s="3">
        <v>0.95</v>
      </c>
      <c r="C80" s="3">
        <v>0.95</v>
      </c>
      <c r="D80" s="3">
        <v>0.955</v>
      </c>
      <c r="E80" s="3">
        <v>0.955</v>
      </c>
      <c r="F80" s="3">
        <v>0.955</v>
      </c>
      <c r="G80" s="3">
        <v>0.955</v>
      </c>
      <c r="H80" s="3">
        <v>0.955</v>
      </c>
      <c r="I80" s="3">
        <v>0.955</v>
      </c>
      <c r="J80" s="3">
        <v>0.955</v>
      </c>
      <c r="K80" s="3">
        <v>0.955</v>
      </c>
      <c r="L80" s="3">
        <v>0.955</v>
      </c>
      <c r="M80" s="3">
        <v>0.955</v>
      </c>
      <c r="N80" s="3">
        <v>0.955</v>
      </c>
      <c r="O80" s="3">
        <v>0.955</v>
      </c>
      <c r="P80" s="3">
        <v>0.954</v>
      </c>
      <c r="Q80" s="3">
        <v>0.954</v>
      </c>
      <c r="R80" s="3">
        <v>0.954</v>
      </c>
      <c r="S80" s="3">
        <v>0.954</v>
      </c>
      <c r="T80" s="3">
        <v>0.957</v>
      </c>
      <c r="U80" s="3">
        <v>0.957</v>
      </c>
      <c r="V80" s="3">
        <v>0.957</v>
      </c>
      <c r="W80" s="3">
        <v>0.957</v>
      </c>
      <c r="X80" s="3">
        <v>0.957</v>
      </c>
      <c r="Y80" s="3">
        <v>0.957</v>
      </c>
      <c r="Z80" s="3">
        <v>0.957</v>
      </c>
      <c r="AA80" s="3">
        <v>0.957</v>
      </c>
      <c r="AB80" s="3">
        <v>0.957</v>
      </c>
      <c r="AC80" s="3">
        <v>0.957</v>
      </c>
      <c r="AD80" s="3">
        <v>0.957</v>
      </c>
      <c r="AE80" s="3">
        <v>0.957</v>
      </c>
      <c r="AF80" s="3">
        <v>0.957</v>
      </c>
      <c r="AG80" s="3">
        <v>0.957</v>
      </c>
      <c r="AH80" s="3">
        <v>0.957</v>
      </c>
      <c r="AI80" s="3">
        <v>0.955</v>
      </c>
      <c r="AJ80" s="3">
        <v>0.951</v>
      </c>
      <c r="AK80" s="3">
        <v>0.952</v>
      </c>
      <c r="AL80" s="3">
        <v>0.948</v>
      </c>
      <c r="AM80" s="3">
        <v>0.948</v>
      </c>
      <c r="AN80" s="3">
        <v>0.948</v>
      </c>
      <c r="AO80" s="3">
        <v>0.948</v>
      </c>
      <c r="AP80" s="3">
        <v>0.949</v>
      </c>
      <c r="AQ80" s="3">
        <v>0.95</v>
      </c>
      <c r="AR80" s="3">
        <v>0.95</v>
      </c>
      <c r="AS80" s="3">
        <v>0.951</v>
      </c>
      <c r="AT80" s="3">
        <v>0.949</v>
      </c>
      <c r="AU80" s="3">
        <v>165.676</v>
      </c>
    </row>
    <row r="81" ht="14.25" customHeight="1">
      <c r="A81" s="2" t="s">
        <v>73</v>
      </c>
      <c r="B81" s="3">
        <v>0.606</v>
      </c>
      <c r="C81" s="3">
        <v>0.606</v>
      </c>
      <c r="D81" s="3">
        <v>0.606</v>
      </c>
      <c r="E81" s="3">
        <v>0.606</v>
      </c>
      <c r="F81" s="3">
        <v>0.606</v>
      </c>
      <c r="G81" s="3">
        <v>0.606</v>
      </c>
      <c r="H81" s="3">
        <v>0.606</v>
      </c>
      <c r="I81" s="3">
        <v>0.606</v>
      </c>
      <c r="J81" s="3">
        <v>0.606</v>
      </c>
      <c r="K81" s="3">
        <v>0.606</v>
      </c>
      <c r="L81" s="3">
        <v>0.614</v>
      </c>
      <c r="M81" s="3">
        <v>0.614</v>
      </c>
      <c r="N81" s="3">
        <v>0.614</v>
      </c>
      <c r="O81" s="3">
        <v>0.614</v>
      </c>
      <c r="P81" s="3">
        <v>0.614</v>
      </c>
      <c r="Q81" s="3">
        <v>0.614</v>
      </c>
      <c r="R81" s="3">
        <v>0.614</v>
      </c>
      <c r="S81" s="3">
        <v>0.614</v>
      </c>
      <c r="T81" s="3">
        <v>0.614</v>
      </c>
      <c r="U81" s="3">
        <v>0.618</v>
      </c>
      <c r="V81" s="3">
        <v>0.612</v>
      </c>
      <c r="W81" s="3">
        <v>0.586</v>
      </c>
      <c r="X81" s="3">
        <v>0.586</v>
      </c>
      <c r="Y81" s="3">
        <v>0.586</v>
      </c>
      <c r="Z81" s="3">
        <v>0.586</v>
      </c>
      <c r="AA81" s="3">
        <v>0.574</v>
      </c>
      <c r="AB81" s="3">
        <v>0.574</v>
      </c>
      <c r="AC81" s="3">
        <v>0.574</v>
      </c>
      <c r="AD81" s="3">
        <v>0.574</v>
      </c>
      <c r="AE81" s="3">
        <v>0.574</v>
      </c>
      <c r="AF81" s="3">
        <v>0.593</v>
      </c>
      <c r="AG81" s="3">
        <v>0.59</v>
      </c>
      <c r="AH81" s="3">
        <v>0.593</v>
      </c>
      <c r="AI81" s="3">
        <v>0.583</v>
      </c>
      <c r="AJ81" s="3">
        <v>0.593</v>
      </c>
      <c r="AK81" s="3">
        <v>0.593</v>
      </c>
      <c r="AL81" s="3">
        <v>0.612</v>
      </c>
      <c r="AM81" s="3">
        <v>0.633</v>
      </c>
      <c r="AN81" s="3">
        <v>0.661</v>
      </c>
      <c r="AO81" s="3">
        <v>0.651</v>
      </c>
      <c r="AP81" s="3">
        <v>0.659</v>
      </c>
      <c r="AQ81" s="3">
        <v>0.707</v>
      </c>
      <c r="AR81" s="3">
        <v>0.698</v>
      </c>
      <c r="AS81" s="3">
        <v>0.685</v>
      </c>
      <c r="AT81" s="3">
        <v>0.76</v>
      </c>
      <c r="AU81" s="3">
        <v>62.375</v>
      </c>
    </row>
    <row r="82" ht="14.25" customHeight="1">
      <c r="A82" s="2" t="s">
        <v>459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>
        <v>0.253</v>
      </c>
      <c r="M82" s="3">
        <v>0.249</v>
      </c>
      <c r="N82" s="3">
        <v>0.246</v>
      </c>
      <c r="O82" s="3">
        <v>0.246</v>
      </c>
      <c r="P82" s="3">
        <v>0.246</v>
      </c>
      <c r="Q82" s="3">
        <v>0.231</v>
      </c>
      <c r="R82" s="3">
        <v>0.185</v>
      </c>
      <c r="S82" s="3">
        <v>0.182</v>
      </c>
      <c r="T82" s="3">
        <v>0.182</v>
      </c>
      <c r="U82" s="3">
        <v>0.177</v>
      </c>
      <c r="V82" s="3">
        <v>0.189</v>
      </c>
      <c r="W82" s="3">
        <v>0.189</v>
      </c>
      <c r="X82" s="3">
        <v>0.185</v>
      </c>
      <c r="Y82" s="3">
        <v>0.173</v>
      </c>
      <c r="Z82" s="3">
        <v>0.186</v>
      </c>
      <c r="AA82" s="3">
        <v>0.178</v>
      </c>
      <c r="AB82" s="3">
        <v>0.177</v>
      </c>
      <c r="AC82" s="3">
        <v>0.171</v>
      </c>
      <c r="AD82" s="3">
        <v>0.173</v>
      </c>
      <c r="AE82" s="3">
        <v>0.173</v>
      </c>
      <c r="AF82" s="3">
        <v>0.173</v>
      </c>
      <c r="AG82" s="3">
        <v>0.175</v>
      </c>
      <c r="AH82" s="3">
        <v>0.171</v>
      </c>
      <c r="AI82" s="3">
        <v>0.173</v>
      </c>
      <c r="AJ82" s="3">
        <v>0.173</v>
      </c>
      <c r="AK82" s="3">
        <v>0.177</v>
      </c>
      <c r="AL82" s="3">
        <v>0.175</v>
      </c>
      <c r="AM82" s="3">
        <v>0.179</v>
      </c>
      <c r="AN82" s="3">
        <v>0.177</v>
      </c>
      <c r="AO82" s="3">
        <v>0.193</v>
      </c>
      <c r="AP82" s="3">
        <v>0.21</v>
      </c>
      <c r="AQ82" s="3">
        <v>0.208</v>
      </c>
      <c r="AR82" s="3">
        <v>0.262</v>
      </c>
      <c r="AS82" s="3">
        <v>0.257</v>
      </c>
      <c r="AT82" s="3">
        <v>0.239</v>
      </c>
      <c r="AU82" s="3">
        <v>6.933</v>
      </c>
    </row>
    <row r="83" ht="14.25" customHeight="1">
      <c r="A83" s="2" t="s">
        <v>74</v>
      </c>
      <c r="B83" s="3">
        <v>0.142</v>
      </c>
      <c r="C83" s="3">
        <v>0.142</v>
      </c>
      <c r="D83" s="3">
        <v>0.142</v>
      </c>
      <c r="E83" s="3">
        <v>0.129</v>
      </c>
      <c r="F83" s="3">
        <v>0.122</v>
      </c>
      <c r="G83" s="3">
        <v>0.122</v>
      </c>
      <c r="H83" s="3">
        <v>0.122</v>
      </c>
      <c r="I83" s="3">
        <v>0.122</v>
      </c>
      <c r="J83" s="3">
        <v>0.122</v>
      </c>
      <c r="K83" s="3">
        <v>0.122</v>
      </c>
      <c r="L83" s="3">
        <v>0.206</v>
      </c>
      <c r="M83" s="3">
        <v>0.211</v>
      </c>
      <c r="N83" s="3">
        <v>0.211</v>
      </c>
      <c r="O83" s="3">
        <v>0.229</v>
      </c>
      <c r="P83" s="3">
        <v>0.229</v>
      </c>
      <c r="Q83" s="3">
        <v>0.229</v>
      </c>
      <c r="R83" s="3">
        <v>0.229</v>
      </c>
      <c r="S83" s="3">
        <v>0.229</v>
      </c>
      <c r="T83" s="3">
        <v>0.24</v>
      </c>
      <c r="U83" s="3">
        <v>0.24</v>
      </c>
      <c r="V83" s="3">
        <v>0.283</v>
      </c>
      <c r="W83" s="3">
        <v>0.283</v>
      </c>
      <c r="X83" s="3">
        <v>0.338</v>
      </c>
      <c r="Y83" s="3">
        <v>0.39</v>
      </c>
      <c r="Z83" s="3">
        <v>0.382</v>
      </c>
      <c r="AA83" s="3">
        <v>0.416</v>
      </c>
      <c r="AB83" s="3">
        <v>0.416</v>
      </c>
      <c r="AC83" s="3">
        <v>0.415</v>
      </c>
      <c r="AD83" s="3">
        <v>0.428</v>
      </c>
      <c r="AE83" s="3">
        <v>0.432</v>
      </c>
      <c r="AF83" s="3">
        <v>0.589</v>
      </c>
      <c r="AG83" s="3">
        <v>0.593</v>
      </c>
      <c r="AH83" s="3">
        <v>0.596</v>
      </c>
      <c r="AI83" s="3">
        <v>0.603</v>
      </c>
      <c r="AJ83" s="3">
        <v>0.606</v>
      </c>
      <c r="AK83" s="3">
        <v>0.606</v>
      </c>
      <c r="AL83" s="3">
        <v>0.6</v>
      </c>
      <c r="AM83" s="3">
        <v>0.611</v>
      </c>
      <c r="AN83" s="3">
        <v>0.613</v>
      </c>
      <c r="AO83" s="3">
        <v>0.633</v>
      </c>
      <c r="AP83" s="3">
        <v>0.628</v>
      </c>
      <c r="AQ83" s="3">
        <v>0.714</v>
      </c>
      <c r="AR83" s="3">
        <v>0.698</v>
      </c>
      <c r="AS83" s="3">
        <v>0.675</v>
      </c>
      <c r="AT83" s="3">
        <v>0.647</v>
      </c>
      <c r="AU83" s="3">
        <v>41.229</v>
      </c>
    </row>
    <row r="84" ht="14.25" customHeight="1">
      <c r="A84" s="2" t="s">
        <v>460</v>
      </c>
      <c r="B84" s="3">
        <v>0.046</v>
      </c>
      <c r="C84" s="3">
        <v>0.046</v>
      </c>
      <c r="D84" s="3">
        <v>0.046</v>
      </c>
      <c r="E84" s="3">
        <v>0.046</v>
      </c>
      <c r="F84" s="3">
        <v>0.046</v>
      </c>
      <c r="G84" s="3">
        <v>0.046</v>
      </c>
      <c r="H84" s="3">
        <v>0.046</v>
      </c>
      <c r="I84" s="3">
        <v>0.045</v>
      </c>
      <c r="J84" s="3">
        <v>0.045</v>
      </c>
      <c r="K84" s="3">
        <v>0.045</v>
      </c>
      <c r="L84" s="3">
        <v>0.043</v>
      </c>
      <c r="M84" s="3">
        <v>0.043</v>
      </c>
      <c r="N84" s="3">
        <v>0.043</v>
      </c>
      <c r="O84" s="3">
        <v>0.043</v>
      </c>
      <c r="P84" s="3">
        <v>0.035</v>
      </c>
      <c r="Q84" s="3">
        <v>0.025</v>
      </c>
      <c r="R84" s="3">
        <v>0.025</v>
      </c>
      <c r="S84" s="3">
        <v>0.025</v>
      </c>
      <c r="T84" s="3">
        <v>0.025</v>
      </c>
      <c r="U84" s="3">
        <v>0.025</v>
      </c>
      <c r="V84" s="3">
        <v>0.026</v>
      </c>
      <c r="W84" s="3">
        <v>0.026</v>
      </c>
      <c r="X84" s="3">
        <v>0.026</v>
      </c>
      <c r="Y84" s="3">
        <v>0.026</v>
      </c>
      <c r="Z84" s="3">
        <v>0.026</v>
      </c>
      <c r="AA84" s="3">
        <v>0.026</v>
      </c>
      <c r="AB84" s="3">
        <v>0.026</v>
      </c>
      <c r="AC84" s="3">
        <v>0.026</v>
      </c>
      <c r="AD84" s="3">
        <v>0.026</v>
      </c>
      <c r="AE84" s="3">
        <v>0.026</v>
      </c>
      <c r="AF84" s="3">
        <v>0.026</v>
      </c>
      <c r="AG84" s="3">
        <v>0.026</v>
      </c>
      <c r="AH84" s="3">
        <v>0.028</v>
      </c>
      <c r="AI84" s="3">
        <v>0.028</v>
      </c>
      <c r="AJ84" s="3">
        <v>0.028</v>
      </c>
      <c r="AK84" s="3">
        <v>0.028</v>
      </c>
      <c r="AL84" s="3">
        <v>0.027</v>
      </c>
      <c r="AM84" s="3">
        <v>0.027</v>
      </c>
      <c r="AN84" s="3">
        <v>0.028</v>
      </c>
      <c r="AO84" s="3">
        <v>0.031</v>
      </c>
      <c r="AP84" s="3">
        <v>0.03</v>
      </c>
      <c r="AQ84" s="3">
        <v>0.03</v>
      </c>
      <c r="AR84" s="3">
        <v>0.029</v>
      </c>
      <c r="AS84" s="3">
        <v>0.029</v>
      </c>
      <c r="AT84" s="3">
        <v>0.029</v>
      </c>
      <c r="AU84" s="3">
        <v>3.605</v>
      </c>
    </row>
    <row r="85" ht="14.25" customHeight="1">
      <c r="A85" s="2" t="s">
        <v>461</v>
      </c>
      <c r="B85" s="3">
        <v>0.378</v>
      </c>
      <c r="C85" s="3">
        <v>0.359</v>
      </c>
      <c r="D85" s="3">
        <v>0.381</v>
      </c>
      <c r="E85" s="3">
        <v>0.38</v>
      </c>
      <c r="F85" s="3">
        <v>0.38</v>
      </c>
      <c r="G85" s="3">
        <v>0.386</v>
      </c>
      <c r="H85" s="3">
        <v>0.386</v>
      </c>
      <c r="I85" s="3">
        <v>0.597</v>
      </c>
      <c r="J85" s="3">
        <v>0.799</v>
      </c>
      <c r="K85" s="3">
        <v>0.805</v>
      </c>
      <c r="L85" s="3">
        <v>0.806</v>
      </c>
      <c r="M85" s="3">
        <v>0.806</v>
      </c>
      <c r="N85" s="3">
        <v>0.82</v>
      </c>
      <c r="O85" s="3">
        <v>0.895</v>
      </c>
      <c r="P85" s="3">
        <v>0.895</v>
      </c>
      <c r="Q85" s="3">
        <v>0.895</v>
      </c>
      <c r="R85" s="3">
        <v>0.895</v>
      </c>
      <c r="S85" s="3">
        <v>0.903</v>
      </c>
      <c r="T85" s="3">
        <v>0.919</v>
      </c>
      <c r="U85" s="3">
        <v>0.919</v>
      </c>
      <c r="V85" s="3">
        <v>0.929</v>
      </c>
      <c r="W85" s="3">
        <v>0.929</v>
      </c>
      <c r="X85" s="3">
        <v>0.936</v>
      </c>
      <c r="Y85" s="3">
        <v>0.948</v>
      </c>
      <c r="Z85" s="3">
        <v>0.951</v>
      </c>
      <c r="AA85" s="3">
        <v>0.951</v>
      </c>
      <c r="AB85" s="3">
        <v>0.951</v>
      </c>
      <c r="AC85" s="3">
        <v>0.95</v>
      </c>
      <c r="AD85" s="3">
        <v>0.907</v>
      </c>
      <c r="AE85" s="3">
        <v>0.907</v>
      </c>
      <c r="AF85" s="3">
        <v>0.906</v>
      </c>
      <c r="AG85" s="3">
        <v>0.906</v>
      </c>
      <c r="AH85" s="3">
        <v>0.898</v>
      </c>
      <c r="AI85" s="3">
        <v>0.866</v>
      </c>
      <c r="AJ85" s="3">
        <v>0.866</v>
      </c>
      <c r="AK85" s="3">
        <v>0.843</v>
      </c>
      <c r="AL85" s="3">
        <v>0.843</v>
      </c>
      <c r="AM85" s="3">
        <v>0.953</v>
      </c>
      <c r="AN85" s="3">
        <v>0.95</v>
      </c>
      <c r="AO85" s="3">
        <v>0.951</v>
      </c>
      <c r="AP85" s="3">
        <v>0.952</v>
      </c>
      <c r="AQ85" s="3">
        <v>0.936</v>
      </c>
      <c r="AR85" s="3">
        <v>0.937</v>
      </c>
      <c r="AS85" s="3">
        <v>0.893</v>
      </c>
      <c r="AT85" s="3">
        <v>0.876</v>
      </c>
      <c r="AU85" s="3">
        <v>77.3510000000001</v>
      </c>
    </row>
    <row r="86" ht="14.25" customHeight="1">
      <c r="A86" s="2" t="s">
        <v>462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>
        <v>0.441</v>
      </c>
      <c r="V86" s="3">
        <v>0.556</v>
      </c>
      <c r="W86" s="3">
        <v>0.596</v>
      </c>
      <c r="X86" s="3">
        <v>0.631</v>
      </c>
      <c r="Y86" s="3">
        <v>0.646</v>
      </c>
      <c r="Z86" s="3">
        <v>0.638</v>
      </c>
      <c r="AA86" s="3">
        <v>0.592</v>
      </c>
      <c r="AB86" s="3">
        <v>0.592</v>
      </c>
      <c r="AC86" s="3">
        <v>0.592</v>
      </c>
      <c r="AD86" s="3">
        <v>0.559</v>
      </c>
      <c r="AE86" s="3">
        <v>0.585</v>
      </c>
      <c r="AF86" s="3">
        <v>0.597</v>
      </c>
      <c r="AG86" s="3">
        <v>0.599</v>
      </c>
      <c r="AH86" s="3">
        <v>0.6</v>
      </c>
      <c r="AI86" s="3">
        <v>0.533</v>
      </c>
      <c r="AJ86" s="3">
        <v>0.553</v>
      </c>
      <c r="AK86" s="3">
        <v>0.572</v>
      </c>
      <c r="AL86" s="3">
        <v>0.6</v>
      </c>
      <c r="AM86" s="3">
        <v>0.65</v>
      </c>
      <c r="AN86" s="3">
        <v>0.654</v>
      </c>
      <c r="AO86" s="3">
        <v>0.695</v>
      </c>
      <c r="AP86" s="3">
        <v>0.701</v>
      </c>
      <c r="AQ86" s="3">
        <v>0.729</v>
      </c>
      <c r="AR86" s="3">
        <v>0.749</v>
      </c>
      <c r="AS86" s="3">
        <v>0.723</v>
      </c>
      <c r="AT86" s="3">
        <v>0.686</v>
      </c>
      <c r="AU86" s="3">
        <v>16.069</v>
      </c>
    </row>
    <row r="87" ht="14.25" customHeight="1">
      <c r="A87" s="2" t="s">
        <v>75</v>
      </c>
      <c r="B87" s="3">
        <v>0.637</v>
      </c>
      <c r="C87" s="3">
        <v>0.66</v>
      </c>
      <c r="D87" s="3">
        <v>0.66</v>
      </c>
      <c r="E87" s="3">
        <v>0.66</v>
      </c>
      <c r="F87" s="3">
        <v>0.66</v>
      </c>
      <c r="G87" s="3">
        <v>0.66</v>
      </c>
      <c r="H87" s="3">
        <v>0.65</v>
      </c>
      <c r="I87" s="3">
        <v>0.637</v>
      </c>
      <c r="J87" s="3">
        <v>0.622</v>
      </c>
      <c r="K87" s="3">
        <v>0.622</v>
      </c>
      <c r="L87" s="3">
        <v>0.586</v>
      </c>
      <c r="M87" s="3">
        <v>0.584</v>
      </c>
      <c r="N87" s="3">
        <v>0.643</v>
      </c>
      <c r="O87" s="3">
        <v>0.636</v>
      </c>
      <c r="P87" s="3">
        <v>0.636</v>
      </c>
      <c r="Q87" s="3">
        <v>0.636</v>
      </c>
      <c r="R87" s="3">
        <v>0.636</v>
      </c>
      <c r="S87" s="3">
        <v>0.636</v>
      </c>
      <c r="T87" s="3">
        <v>0.636</v>
      </c>
      <c r="U87" s="3">
        <v>0.636</v>
      </c>
      <c r="V87" s="3">
        <v>0.636</v>
      </c>
      <c r="W87" s="3">
        <v>0.636</v>
      </c>
      <c r="X87" s="3">
        <v>0.628</v>
      </c>
      <c r="Y87" s="3">
        <v>0.628</v>
      </c>
      <c r="Z87" s="3">
        <v>0.616</v>
      </c>
      <c r="AA87" s="3">
        <v>0.611</v>
      </c>
      <c r="AB87" s="3">
        <v>0.617</v>
      </c>
      <c r="AC87" s="3">
        <v>0.617</v>
      </c>
      <c r="AD87" s="3">
        <v>0.617</v>
      </c>
      <c r="AE87" s="3">
        <v>0.617</v>
      </c>
      <c r="AF87" s="3">
        <v>0.615</v>
      </c>
      <c r="AG87" s="3">
        <v>0.608</v>
      </c>
      <c r="AH87" s="3">
        <v>0.608</v>
      </c>
      <c r="AI87" s="3">
        <v>0.608</v>
      </c>
      <c r="AJ87" s="3">
        <v>0.608</v>
      </c>
      <c r="AK87" s="3">
        <v>0.608</v>
      </c>
      <c r="AL87" s="3">
        <v>0.608</v>
      </c>
      <c r="AM87" s="3">
        <v>0.614</v>
      </c>
      <c r="AN87" s="3">
        <v>0.614</v>
      </c>
      <c r="AO87" s="3">
        <v>0.655</v>
      </c>
      <c r="AP87" s="3">
        <v>0.651</v>
      </c>
      <c r="AQ87" s="3">
        <v>0.652</v>
      </c>
      <c r="AR87" s="3">
        <v>0.721</v>
      </c>
      <c r="AS87" s="3">
        <v>0.749</v>
      </c>
      <c r="AT87" s="3">
        <v>0.712</v>
      </c>
      <c r="AU87" s="3">
        <v>144.818</v>
      </c>
    </row>
    <row r="88" ht="14.25" customHeight="1">
      <c r="A88" s="2" t="s">
        <v>463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>
        <v>0.47</v>
      </c>
      <c r="M88" s="3">
        <v>0.393</v>
      </c>
      <c r="N88" s="3">
        <v>0.336</v>
      </c>
      <c r="O88" s="3">
        <v>0.325</v>
      </c>
      <c r="P88" s="3">
        <v>0.238</v>
      </c>
      <c r="Q88" s="3">
        <v>0.203</v>
      </c>
      <c r="R88" s="3">
        <v>0.181</v>
      </c>
      <c r="S88" s="3">
        <v>0.177</v>
      </c>
      <c r="T88" s="3">
        <v>0.177</v>
      </c>
      <c r="U88" s="3">
        <v>0.177</v>
      </c>
      <c r="V88" s="3">
        <v>0.164</v>
      </c>
      <c r="W88" s="3">
        <v>0.169</v>
      </c>
      <c r="X88" s="3">
        <v>0.15</v>
      </c>
      <c r="Y88" s="3">
        <v>0.15</v>
      </c>
      <c r="Z88" s="3">
        <v>0.15</v>
      </c>
      <c r="AA88" s="3">
        <v>0.149</v>
      </c>
      <c r="AB88" s="3">
        <v>0.149</v>
      </c>
      <c r="AC88" s="3">
        <v>0.142</v>
      </c>
      <c r="AD88" s="3">
        <v>0.139</v>
      </c>
      <c r="AE88" s="3">
        <v>0.142</v>
      </c>
      <c r="AF88" s="3">
        <v>0.293</v>
      </c>
      <c r="AG88" s="3">
        <v>0.371</v>
      </c>
      <c r="AH88" s="3">
        <v>0.364</v>
      </c>
      <c r="AI88" s="3">
        <v>0.397</v>
      </c>
      <c r="AJ88" s="3">
        <v>0.397</v>
      </c>
      <c r="AK88" s="3">
        <v>0.353</v>
      </c>
      <c r="AL88" s="3">
        <v>0.367</v>
      </c>
      <c r="AM88" s="3">
        <v>0.375</v>
      </c>
      <c r="AN88" s="3">
        <v>0.386</v>
      </c>
      <c r="AO88" s="3">
        <v>0.399</v>
      </c>
      <c r="AP88" s="3">
        <v>0.375</v>
      </c>
      <c r="AQ88" s="3">
        <v>0.346</v>
      </c>
      <c r="AR88" s="3">
        <v>0.36</v>
      </c>
      <c r="AS88" s="3">
        <v>0.343</v>
      </c>
      <c r="AT88" s="3">
        <v>0.347</v>
      </c>
      <c r="AU88" s="3">
        <v>9.654</v>
      </c>
    </row>
    <row r="89" ht="14.25" customHeight="1">
      <c r="A89" s="2" t="s">
        <v>464</v>
      </c>
      <c r="B89" s="3">
        <v>0.274</v>
      </c>
      <c r="C89" s="3">
        <v>0.274</v>
      </c>
      <c r="D89" s="3">
        <v>0.274</v>
      </c>
      <c r="E89" s="3">
        <v>0.274</v>
      </c>
      <c r="F89" s="3">
        <v>0.274</v>
      </c>
      <c r="G89" s="3">
        <v>0.274</v>
      </c>
      <c r="H89" s="3">
        <v>0.274</v>
      </c>
      <c r="I89" s="3">
        <v>0.261</v>
      </c>
      <c r="J89" s="3">
        <v>0.261</v>
      </c>
      <c r="K89" s="3">
        <v>0.261</v>
      </c>
      <c r="L89" s="3">
        <v>0.262</v>
      </c>
      <c r="M89" s="3">
        <v>0.266</v>
      </c>
      <c r="N89" s="3">
        <v>0.265</v>
      </c>
      <c r="O89" s="3">
        <v>0.262</v>
      </c>
      <c r="P89" s="3">
        <v>0.262</v>
      </c>
      <c r="Q89" s="3">
        <v>0.262</v>
      </c>
      <c r="R89" s="3">
        <v>0.262</v>
      </c>
      <c r="S89" s="3">
        <v>0.262</v>
      </c>
      <c r="T89" s="3">
        <v>0.262</v>
      </c>
      <c r="U89" s="3">
        <v>0.262</v>
      </c>
      <c r="V89" s="3">
        <v>0.262</v>
      </c>
      <c r="W89" s="3">
        <v>0.262</v>
      </c>
      <c r="X89" s="3">
        <v>0.255</v>
      </c>
      <c r="Y89" s="3">
        <v>0.255</v>
      </c>
      <c r="Z89" s="3">
        <v>0.255</v>
      </c>
      <c r="AA89" s="3">
        <v>0.255</v>
      </c>
      <c r="AB89" s="3">
        <v>0.255</v>
      </c>
      <c r="AC89" s="3">
        <v>0.255</v>
      </c>
      <c r="AD89" s="3">
        <v>0.255</v>
      </c>
      <c r="AE89" s="3">
        <v>0.255</v>
      </c>
      <c r="AF89" s="3">
        <v>0.249</v>
      </c>
      <c r="AG89" s="3">
        <v>0.249</v>
      </c>
      <c r="AH89" s="3">
        <v>0.249</v>
      </c>
      <c r="AI89" s="3">
        <v>0.252</v>
      </c>
      <c r="AJ89" s="3">
        <v>0.252</v>
      </c>
      <c r="AK89" s="3">
        <v>0.252</v>
      </c>
      <c r="AL89" s="3">
        <v>0.252</v>
      </c>
      <c r="AM89" s="3">
        <v>0.27</v>
      </c>
      <c r="AN89" s="3">
        <v>0.27</v>
      </c>
      <c r="AO89" s="3">
        <v>0.274</v>
      </c>
      <c r="AP89" s="3">
        <v>0.301</v>
      </c>
      <c r="AQ89" s="3">
        <v>0.285</v>
      </c>
      <c r="AR89" s="3">
        <v>0.267</v>
      </c>
      <c r="AS89" s="3">
        <v>0.259</v>
      </c>
      <c r="AT89" s="3">
        <v>0.278</v>
      </c>
      <c r="AU89" s="3">
        <v>28.547</v>
      </c>
    </row>
    <row r="90" ht="14.25" customHeight="1">
      <c r="A90" s="2" t="s">
        <v>465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>
        <v>0.799</v>
      </c>
      <c r="M90" s="3">
        <v>0.836</v>
      </c>
      <c r="N90" s="3">
        <v>0.839</v>
      </c>
      <c r="O90" s="3">
        <v>0.85</v>
      </c>
      <c r="P90" s="3">
        <v>0.846</v>
      </c>
      <c r="Q90" s="3">
        <v>0.852</v>
      </c>
      <c r="R90" s="3">
        <v>0.875</v>
      </c>
      <c r="S90" s="3">
        <v>0.879</v>
      </c>
      <c r="T90" s="3">
        <v>0.882</v>
      </c>
      <c r="U90" s="3">
        <v>0.887</v>
      </c>
      <c r="V90" s="3">
        <v>0.89</v>
      </c>
      <c r="W90" s="3">
        <v>0.89</v>
      </c>
      <c r="X90" s="3">
        <v>0.897</v>
      </c>
      <c r="Y90" s="3">
        <v>0.901</v>
      </c>
      <c r="Z90" s="3">
        <v>0.907</v>
      </c>
      <c r="AA90" s="3">
        <v>0.916</v>
      </c>
      <c r="AB90" s="3">
        <v>0.91</v>
      </c>
      <c r="AC90" s="3">
        <v>0.917</v>
      </c>
      <c r="AD90" s="3">
        <v>0.924</v>
      </c>
      <c r="AE90" s="3">
        <v>0.932</v>
      </c>
      <c r="AF90" s="3">
        <v>0.947</v>
      </c>
      <c r="AG90" s="3">
        <v>0.949</v>
      </c>
      <c r="AH90" s="3">
        <v>0.952</v>
      </c>
      <c r="AI90" s="3">
        <v>0.955</v>
      </c>
      <c r="AJ90" s="3">
        <v>0.955</v>
      </c>
      <c r="AK90" s="3">
        <v>0.958</v>
      </c>
      <c r="AL90" s="3">
        <v>0.941</v>
      </c>
      <c r="AM90" s="3">
        <v>0.945</v>
      </c>
      <c r="AN90" s="3">
        <v>0.949</v>
      </c>
      <c r="AO90" s="3">
        <v>0.956</v>
      </c>
      <c r="AP90" s="3">
        <v>0.956</v>
      </c>
      <c r="AQ90" s="3">
        <v>0.969</v>
      </c>
      <c r="AR90" s="3">
        <v>0.969</v>
      </c>
      <c r="AS90" s="3">
        <v>0.967</v>
      </c>
      <c r="AT90" s="3">
        <v>0.972</v>
      </c>
      <c r="AU90" s="3">
        <v>48.865</v>
      </c>
    </row>
    <row r="91" ht="14.25" customHeight="1">
      <c r="A91" s="2" t="s">
        <v>466</v>
      </c>
      <c r="B91" s="3">
        <v>0.34</v>
      </c>
      <c r="C91" s="3">
        <v>0.34</v>
      </c>
      <c r="D91" s="3">
        <v>0.28</v>
      </c>
      <c r="E91" s="3">
        <v>0.186</v>
      </c>
      <c r="F91" s="3">
        <v>0.186</v>
      </c>
      <c r="G91" s="3">
        <v>0.186</v>
      </c>
      <c r="H91" s="3">
        <v>0.186</v>
      </c>
      <c r="I91" s="3">
        <v>0.186</v>
      </c>
      <c r="J91" s="3">
        <v>0.186</v>
      </c>
      <c r="K91" s="3">
        <v>0.186</v>
      </c>
      <c r="L91" s="3">
        <v>0.209</v>
      </c>
      <c r="M91" s="3">
        <v>0.209</v>
      </c>
      <c r="N91" s="3">
        <v>0.209</v>
      </c>
      <c r="O91" s="3">
        <v>0.226</v>
      </c>
      <c r="P91" s="3">
        <v>0.226</v>
      </c>
      <c r="Q91" s="3">
        <v>0.226</v>
      </c>
      <c r="R91" s="3">
        <v>0.226</v>
      </c>
      <c r="S91" s="3">
        <v>0.226</v>
      </c>
      <c r="T91" s="3">
        <v>0.226</v>
      </c>
      <c r="U91" s="3">
        <v>0.226</v>
      </c>
      <c r="V91" s="3">
        <v>0.225</v>
      </c>
      <c r="W91" s="3">
        <v>0.225</v>
      </c>
      <c r="X91" s="3">
        <v>0.225</v>
      </c>
      <c r="Y91" s="3">
        <v>0.225</v>
      </c>
      <c r="Z91" s="3">
        <v>0.225</v>
      </c>
      <c r="AA91" s="3">
        <v>0.261</v>
      </c>
      <c r="AB91" s="3">
        <v>0.267</v>
      </c>
      <c r="AC91" s="3">
        <v>0.277</v>
      </c>
      <c r="AD91" s="3">
        <v>0.277</v>
      </c>
      <c r="AE91" s="3">
        <v>0.283</v>
      </c>
      <c r="AF91" s="3">
        <v>0.282</v>
      </c>
      <c r="AG91" s="3">
        <v>0.282</v>
      </c>
      <c r="AH91" s="3">
        <v>0.291</v>
      </c>
      <c r="AI91" s="3">
        <v>0.328</v>
      </c>
      <c r="AJ91" s="3">
        <v>0.328</v>
      </c>
      <c r="AK91" s="3">
        <v>0.32</v>
      </c>
      <c r="AL91" s="3">
        <v>0.32</v>
      </c>
      <c r="AM91" s="3">
        <v>0.33</v>
      </c>
      <c r="AN91" s="3">
        <v>0.326</v>
      </c>
      <c r="AO91" s="3">
        <v>0.308</v>
      </c>
      <c r="AP91" s="3">
        <v>0.294</v>
      </c>
      <c r="AQ91" s="3">
        <v>0.291</v>
      </c>
      <c r="AR91" s="3">
        <v>0.304</v>
      </c>
      <c r="AS91" s="3">
        <v>0.303</v>
      </c>
      <c r="AT91" s="3">
        <v>0.227</v>
      </c>
      <c r="AU91" s="3">
        <v>30.745</v>
      </c>
    </row>
    <row r="92" ht="14.25" customHeight="1">
      <c r="A92" s="2" t="s">
        <v>76</v>
      </c>
      <c r="B92" s="3">
        <v>0.418</v>
      </c>
      <c r="C92" s="3">
        <v>0.418</v>
      </c>
      <c r="D92" s="3">
        <v>0.406</v>
      </c>
      <c r="E92" s="3">
        <v>0.422</v>
      </c>
      <c r="F92" s="3">
        <v>0.422</v>
      </c>
      <c r="G92" s="3">
        <v>0.422</v>
      </c>
      <c r="H92" s="3">
        <v>0.395</v>
      </c>
      <c r="I92" s="3">
        <v>0.467</v>
      </c>
      <c r="J92" s="3">
        <v>0.467</v>
      </c>
      <c r="K92" s="3">
        <v>0.467</v>
      </c>
      <c r="L92" s="3">
        <v>0.461</v>
      </c>
      <c r="M92" s="3">
        <v>0.459</v>
      </c>
      <c r="N92" s="3">
        <v>0.459</v>
      </c>
      <c r="O92" s="3">
        <v>0.68</v>
      </c>
      <c r="P92" s="3">
        <v>0.661</v>
      </c>
      <c r="Q92" s="3">
        <v>0.677</v>
      </c>
      <c r="R92" s="3">
        <v>0.687</v>
      </c>
      <c r="S92" s="3">
        <v>0.687</v>
      </c>
      <c r="T92" s="3">
        <v>0.592</v>
      </c>
      <c r="U92" s="3">
        <v>0.592</v>
      </c>
      <c r="V92" s="3">
        <v>0.587</v>
      </c>
      <c r="W92" s="3">
        <v>0.587</v>
      </c>
      <c r="X92" s="3">
        <v>0.587</v>
      </c>
      <c r="Y92" s="3">
        <v>0.593</v>
      </c>
      <c r="Z92" s="3">
        <v>0.593</v>
      </c>
      <c r="AA92" s="3">
        <v>0.601</v>
      </c>
      <c r="AB92" s="3">
        <v>0.601</v>
      </c>
      <c r="AC92" s="3">
        <v>0.601</v>
      </c>
      <c r="AD92" s="3">
        <v>0.606</v>
      </c>
      <c r="AE92" s="3">
        <v>0.606</v>
      </c>
      <c r="AF92" s="3">
        <v>0.603</v>
      </c>
      <c r="AG92" s="3">
        <v>0.609</v>
      </c>
      <c r="AH92" s="3">
        <v>0.595</v>
      </c>
      <c r="AI92" s="3">
        <v>0.677</v>
      </c>
      <c r="AJ92" s="3">
        <v>0.678</v>
      </c>
      <c r="AK92" s="3">
        <v>0.607</v>
      </c>
      <c r="AL92" s="3">
        <v>0.615</v>
      </c>
      <c r="AM92" s="3">
        <v>0.649</v>
      </c>
      <c r="AN92" s="3">
        <v>0.586</v>
      </c>
      <c r="AO92" s="3">
        <v>0.653</v>
      </c>
      <c r="AP92" s="3">
        <v>0.661</v>
      </c>
      <c r="AQ92" s="3">
        <v>0.697</v>
      </c>
      <c r="AR92" s="3">
        <v>0.704</v>
      </c>
      <c r="AS92" s="3">
        <v>0.685</v>
      </c>
      <c r="AT92" s="3">
        <v>0.682</v>
      </c>
      <c r="AU92" s="3">
        <v>78.451</v>
      </c>
    </row>
    <row r="93" ht="14.25" customHeight="1">
      <c r="A93" s="2" t="s">
        <v>77</v>
      </c>
      <c r="B93" s="3">
        <v>0.106</v>
      </c>
      <c r="C93" s="3">
        <v>0.108</v>
      </c>
      <c r="D93" s="3">
        <v>0.108</v>
      </c>
      <c r="E93" s="3">
        <v>0.108</v>
      </c>
      <c r="F93" s="3">
        <v>0.108</v>
      </c>
      <c r="G93" s="3">
        <v>0.117</v>
      </c>
      <c r="H93" s="3">
        <v>0.119</v>
      </c>
      <c r="I93" s="3">
        <v>0.119</v>
      </c>
      <c r="J93" s="3">
        <v>0.119</v>
      </c>
      <c r="K93" s="3">
        <v>0.104</v>
      </c>
      <c r="L93" s="3">
        <v>0.072</v>
      </c>
      <c r="M93" s="3">
        <v>0.163</v>
      </c>
      <c r="N93" s="3">
        <v>0.163</v>
      </c>
      <c r="O93" s="3">
        <v>0.163</v>
      </c>
      <c r="P93" s="3">
        <v>0.148</v>
      </c>
      <c r="Q93" s="3">
        <v>0.135</v>
      </c>
      <c r="R93" s="3">
        <v>0.081</v>
      </c>
      <c r="S93" s="3">
        <v>0.066</v>
      </c>
      <c r="T93" s="3">
        <v>0.066</v>
      </c>
      <c r="U93" s="3">
        <v>0.066</v>
      </c>
      <c r="V93" s="3">
        <v>0.076</v>
      </c>
      <c r="W93" s="3">
        <v>0.076</v>
      </c>
      <c r="X93" s="3">
        <v>0.076</v>
      </c>
      <c r="Y93" s="3">
        <v>0.076</v>
      </c>
      <c r="Z93" s="3">
        <v>0.295</v>
      </c>
      <c r="AA93" s="3">
        <v>0.375</v>
      </c>
      <c r="AB93" s="3">
        <v>0.418</v>
      </c>
      <c r="AC93" s="3">
        <v>0.418</v>
      </c>
      <c r="AD93" s="3">
        <v>0.418</v>
      </c>
      <c r="AE93" s="3">
        <v>0.418</v>
      </c>
      <c r="AF93" s="3">
        <v>0.4</v>
      </c>
      <c r="AG93" s="3">
        <v>0.4</v>
      </c>
      <c r="AH93" s="3">
        <v>0.379</v>
      </c>
      <c r="AI93" s="3">
        <v>0.371</v>
      </c>
      <c r="AJ93" s="3">
        <v>0.371</v>
      </c>
      <c r="AK93" s="3">
        <v>0.371</v>
      </c>
      <c r="AL93" s="3">
        <v>0.371</v>
      </c>
      <c r="AM93" s="3">
        <v>0.417</v>
      </c>
      <c r="AN93" s="3">
        <v>0.347</v>
      </c>
      <c r="AO93" s="3">
        <v>0.303</v>
      </c>
      <c r="AP93" s="3">
        <v>0.322</v>
      </c>
      <c r="AQ93" s="3">
        <v>0.324</v>
      </c>
      <c r="AR93" s="3">
        <v>0.324</v>
      </c>
      <c r="AS93" s="3">
        <v>0.342</v>
      </c>
      <c r="AT93" s="3">
        <v>0.342</v>
      </c>
      <c r="AU93" s="3">
        <v>71.2370000000002</v>
      </c>
    </row>
    <row r="94" ht="14.25" customHeight="1">
      <c r="A94" s="2" t="s">
        <v>78</v>
      </c>
      <c r="B94" s="3">
        <v>0.096</v>
      </c>
      <c r="C94" s="3">
        <v>0.093</v>
      </c>
      <c r="D94" s="3">
        <v>0.093</v>
      </c>
      <c r="E94" s="3">
        <v>0.093</v>
      </c>
      <c r="F94" s="3">
        <v>0.093</v>
      </c>
      <c r="G94" s="3">
        <v>0.093</v>
      </c>
      <c r="H94" s="3">
        <v>0.095</v>
      </c>
      <c r="I94" s="3">
        <v>0.095</v>
      </c>
      <c r="J94" s="3">
        <v>0.095</v>
      </c>
      <c r="K94" s="3">
        <v>0.096</v>
      </c>
      <c r="L94" s="3">
        <v>0.096</v>
      </c>
      <c r="M94" s="3">
        <v>0.096</v>
      </c>
      <c r="N94" s="3">
        <v>0.096</v>
      </c>
      <c r="O94" s="3">
        <v>0.096</v>
      </c>
      <c r="P94" s="3">
        <v>0.096</v>
      </c>
      <c r="Q94" s="3">
        <v>0.096</v>
      </c>
      <c r="R94" s="3">
        <v>0.096</v>
      </c>
      <c r="S94" s="3">
        <v>0.096</v>
      </c>
      <c r="T94" s="3">
        <v>0.096</v>
      </c>
      <c r="U94" s="3">
        <v>0.096</v>
      </c>
      <c r="V94" s="3">
        <v>0.096</v>
      </c>
      <c r="W94" s="3">
        <v>0.096</v>
      </c>
      <c r="X94" s="3">
        <v>0.096</v>
      </c>
      <c r="Y94" s="3">
        <v>0.084</v>
      </c>
      <c r="Z94" s="3">
        <v>0.084</v>
      </c>
      <c r="AA94" s="3">
        <v>0.084</v>
      </c>
      <c r="AB94" s="3">
        <v>0.084</v>
      </c>
      <c r="AC94" s="3">
        <v>0.084</v>
      </c>
      <c r="AD94" s="3">
        <v>0.084</v>
      </c>
      <c r="AE94" s="3">
        <v>0.084</v>
      </c>
      <c r="AF94" s="3">
        <v>0.088</v>
      </c>
      <c r="AG94" s="3">
        <v>0.15</v>
      </c>
      <c r="AH94" s="3">
        <v>0.261</v>
      </c>
      <c r="AI94" s="3">
        <v>0.254</v>
      </c>
      <c r="AJ94" s="3">
        <v>0.225</v>
      </c>
      <c r="AK94" s="3">
        <v>0.222</v>
      </c>
      <c r="AL94" s="3">
        <v>0.205</v>
      </c>
      <c r="AM94" s="3">
        <v>0.195</v>
      </c>
      <c r="AN94" s="3">
        <v>0.139</v>
      </c>
      <c r="AO94" s="3">
        <v>0.128</v>
      </c>
      <c r="AP94" s="3">
        <v>0.13</v>
      </c>
      <c r="AQ94" s="3">
        <v>0.12</v>
      </c>
      <c r="AR94" s="3">
        <v>0.153</v>
      </c>
      <c r="AS94" s="3">
        <v>0.13</v>
      </c>
      <c r="AT94" s="3">
        <v>0.132</v>
      </c>
      <c r="AU94" s="3">
        <v>17.437</v>
      </c>
    </row>
    <row r="95" ht="14.25" customHeight="1">
      <c r="A95" s="2" t="s">
        <v>467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>
        <v>0.912</v>
      </c>
      <c r="M95" s="3">
        <v>0.908</v>
      </c>
      <c r="N95" s="3">
        <v>0.916</v>
      </c>
      <c r="O95" s="3">
        <v>0.93</v>
      </c>
      <c r="P95" s="3">
        <v>0.929</v>
      </c>
      <c r="Q95" s="3">
        <v>0.929</v>
      </c>
      <c r="R95" s="3">
        <v>0.929</v>
      </c>
      <c r="S95" s="3">
        <v>0.929</v>
      </c>
      <c r="T95" s="3">
        <v>0.929</v>
      </c>
      <c r="U95" s="3">
        <v>0.929</v>
      </c>
      <c r="V95" s="3">
        <v>0.938</v>
      </c>
      <c r="W95" s="3">
        <v>0.948</v>
      </c>
      <c r="X95" s="3">
        <v>0.948</v>
      </c>
      <c r="Y95" s="3">
        <v>0.928</v>
      </c>
      <c r="Z95" s="3">
        <v>0.943</v>
      </c>
      <c r="AA95" s="3">
        <v>0.944</v>
      </c>
      <c r="AB95" s="3">
        <v>0.945</v>
      </c>
      <c r="AC95" s="3">
        <v>0.948</v>
      </c>
      <c r="AD95" s="3">
        <v>0.952</v>
      </c>
      <c r="AE95" s="3">
        <v>0.953</v>
      </c>
      <c r="AF95" s="3">
        <v>0.956</v>
      </c>
      <c r="AG95" s="3">
        <v>0.956</v>
      </c>
      <c r="AH95" s="3">
        <v>0.954</v>
      </c>
      <c r="AI95" s="3">
        <v>0.96</v>
      </c>
      <c r="AJ95" s="3">
        <v>0.962</v>
      </c>
      <c r="AK95" s="3">
        <v>0.964</v>
      </c>
      <c r="AL95" s="3">
        <v>0.958</v>
      </c>
      <c r="AM95" s="3">
        <v>0.952</v>
      </c>
      <c r="AN95" s="3">
        <v>0.95</v>
      </c>
      <c r="AO95" s="3">
        <v>0.953</v>
      </c>
      <c r="AP95" s="3">
        <v>0.954</v>
      </c>
      <c r="AQ95" s="3">
        <v>0.955</v>
      </c>
      <c r="AR95" s="3">
        <v>0.951</v>
      </c>
      <c r="AS95" s="3">
        <v>0.943</v>
      </c>
      <c r="AT95" s="3">
        <v>0.926</v>
      </c>
      <c r="AU95" s="3">
        <v>49.169</v>
      </c>
    </row>
    <row r="96" ht="14.25" customHeight="1">
      <c r="A96" s="2" t="s">
        <v>79</v>
      </c>
      <c r="B96" s="3">
        <v>0.973</v>
      </c>
      <c r="C96" s="3">
        <v>0.973</v>
      </c>
      <c r="D96" s="3">
        <v>0.973</v>
      </c>
      <c r="E96" s="3">
        <v>0.973</v>
      </c>
      <c r="F96" s="3">
        <v>0.973</v>
      </c>
      <c r="G96" s="3">
        <v>0.973</v>
      </c>
      <c r="H96" s="3">
        <v>0.973</v>
      </c>
      <c r="I96" s="3">
        <v>0.973</v>
      </c>
      <c r="J96" s="3">
        <v>0.973</v>
      </c>
      <c r="K96" s="3">
        <v>0.973</v>
      </c>
      <c r="L96" s="3">
        <v>0.976</v>
      </c>
      <c r="M96" s="3">
        <v>0.976</v>
      </c>
      <c r="N96" s="3">
        <v>0.976</v>
      </c>
      <c r="O96" s="3">
        <v>0.976</v>
      </c>
      <c r="P96" s="3">
        <v>0.976</v>
      </c>
      <c r="Q96" s="3">
        <v>0.976</v>
      </c>
      <c r="R96" s="3">
        <v>0.976</v>
      </c>
      <c r="S96" s="3">
        <v>0.976</v>
      </c>
      <c r="T96" s="3">
        <v>0.976</v>
      </c>
      <c r="U96" s="3">
        <v>0.976</v>
      </c>
      <c r="V96" s="3">
        <v>0.976</v>
      </c>
      <c r="W96" s="3">
        <v>0.976</v>
      </c>
      <c r="X96" s="3">
        <v>0.976</v>
      </c>
      <c r="Y96" s="3">
        <v>0.976</v>
      </c>
      <c r="Z96" s="3">
        <v>0.976</v>
      </c>
      <c r="AA96" s="3">
        <v>0.976</v>
      </c>
      <c r="AB96" s="3">
        <v>0.976</v>
      </c>
      <c r="AC96" s="3">
        <v>0.976</v>
      </c>
      <c r="AD96" s="3">
        <v>0.976</v>
      </c>
      <c r="AE96" s="3">
        <v>0.976</v>
      </c>
      <c r="AF96" s="3">
        <v>0.977</v>
      </c>
      <c r="AG96" s="3">
        <v>0.977</v>
      </c>
      <c r="AH96" s="3">
        <v>0.977</v>
      </c>
      <c r="AI96" s="3">
        <v>0.977</v>
      </c>
      <c r="AJ96" s="3">
        <v>0.977</v>
      </c>
      <c r="AK96" s="3">
        <v>0.977</v>
      </c>
      <c r="AL96" s="3">
        <v>0.977</v>
      </c>
      <c r="AM96" s="3">
        <v>0.977</v>
      </c>
      <c r="AN96" s="3">
        <v>0.977</v>
      </c>
      <c r="AO96" s="3">
        <v>0.977</v>
      </c>
      <c r="AP96" s="3">
        <v>0.975</v>
      </c>
      <c r="AQ96" s="3">
        <v>0.975</v>
      </c>
      <c r="AR96" s="3">
        <v>0.975</v>
      </c>
      <c r="AS96" s="3">
        <v>0.979</v>
      </c>
      <c r="AT96" s="3">
        <v>0.98</v>
      </c>
      <c r="AU96" s="3">
        <v>123.655</v>
      </c>
    </row>
    <row r="97" ht="14.25" customHeight="1">
      <c r="A97" s="2" t="s">
        <v>468</v>
      </c>
      <c r="B97" s="3">
        <v>0.231</v>
      </c>
      <c r="C97" s="3">
        <v>0.231</v>
      </c>
      <c r="D97" s="3">
        <v>0.231</v>
      </c>
      <c r="E97" s="3">
        <v>0.231</v>
      </c>
      <c r="F97" s="3">
        <v>0.231</v>
      </c>
      <c r="G97" s="3">
        <v>0.231</v>
      </c>
      <c r="H97" s="3">
        <v>0.231</v>
      </c>
      <c r="I97" s="3">
        <v>0.233</v>
      </c>
      <c r="J97" s="3">
        <v>0.233</v>
      </c>
      <c r="K97" s="3">
        <v>0.233</v>
      </c>
      <c r="L97" s="3">
        <v>0.248</v>
      </c>
      <c r="M97" s="3">
        <v>0.263</v>
      </c>
      <c r="N97" s="3">
        <v>0.387</v>
      </c>
      <c r="O97" s="3">
        <v>0.387</v>
      </c>
      <c r="P97" s="3">
        <v>0.387</v>
      </c>
      <c r="Q97" s="3">
        <v>0.361</v>
      </c>
      <c r="R97" s="3">
        <v>0.361</v>
      </c>
      <c r="S97" s="3">
        <v>0.298</v>
      </c>
      <c r="T97" s="3">
        <v>0.272</v>
      </c>
      <c r="U97" s="3">
        <v>0.272</v>
      </c>
      <c r="V97" s="3">
        <v>0.278</v>
      </c>
      <c r="W97" s="3">
        <v>0.275</v>
      </c>
      <c r="X97" s="3">
        <v>0.381</v>
      </c>
      <c r="Y97" s="3">
        <v>0.367</v>
      </c>
      <c r="Z97" s="3">
        <v>0.374</v>
      </c>
      <c r="AA97" s="3">
        <v>0.374</v>
      </c>
      <c r="AB97" s="3">
        <v>0.374</v>
      </c>
      <c r="AC97" s="3">
        <v>0.387</v>
      </c>
      <c r="AD97" s="3">
        <v>0.377</v>
      </c>
      <c r="AE97" s="3">
        <v>0.106</v>
      </c>
      <c r="AF97" s="3">
        <v>0.086</v>
      </c>
      <c r="AG97" s="3">
        <v>0.087</v>
      </c>
      <c r="AH97" s="3">
        <v>0.087</v>
      </c>
      <c r="AI97" s="3">
        <v>0.126</v>
      </c>
      <c r="AJ97" s="3">
        <v>0.222</v>
      </c>
      <c r="AK97" s="3">
        <v>0.264</v>
      </c>
      <c r="AL97" s="3">
        <v>0.264</v>
      </c>
      <c r="AM97" s="3">
        <v>0.267</v>
      </c>
      <c r="AN97" s="3">
        <v>0.337</v>
      </c>
      <c r="AO97" s="3">
        <v>0.262</v>
      </c>
      <c r="AP97" s="3">
        <v>0.25</v>
      </c>
      <c r="AQ97" s="3">
        <v>0.253</v>
      </c>
      <c r="AR97" s="3">
        <v>0.253</v>
      </c>
      <c r="AS97" s="3">
        <v>0.254</v>
      </c>
      <c r="AT97" s="3">
        <v>0.255</v>
      </c>
      <c r="AU97" s="3">
        <v>55.8010000000001</v>
      </c>
    </row>
    <row r="98" ht="14.25" customHeight="1">
      <c r="A98" s="2" t="s">
        <v>80</v>
      </c>
      <c r="B98" s="3">
        <v>0.609</v>
      </c>
      <c r="C98" s="3">
        <v>0.609</v>
      </c>
      <c r="D98" s="3">
        <v>0.609</v>
      </c>
      <c r="E98" s="3">
        <v>0.609</v>
      </c>
      <c r="F98" s="3">
        <v>0.609</v>
      </c>
      <c r="G98" s="3">
        <v>0.609</v>
      </c>
      <c r="H98" s="3">
        <v>0.609</v>
      </c>
      <c r="I98" s="3">
        <v>0.609</v>
      </c>
      <c r="J98" s="3">
        <v>0.609</v>
      </c>
      <c r="K98" s="3">
        <v>0.609</v>
      </c>
      <c r="L98" s="3">
        <v>0.609</v>
      </c>
      <c r="M98" s="3">
        <v>0.594</v>
      </c>
      <c r="N98" s="3">
        <v>0.595</v>
      </c>
      <c r="O98" s="3">
        <v>0.624</v>
      </c>
      <c r="P98" s="3">
        <v>0.431</v>
      </c>
      <c r="Q98" s="3">
        <v>0.535</v>
      </c>
      <c r="R98" s="3">
        <v>0.535</v>
      </c>
      <c r="S98" s="3">
        <v>0.527</v>
      </c>
      <c r="T98" s="3">
        <v>0.527</v>
      </c>
      <c r="U98" s="3">
        <v>0.527</v>
      </c>
      <c r="V98" s="3">
        <v>0.538</v>
      </c>
      <c r="W98" s="3">
        <v>0.543</v>
      </c>
      <c r="X98" s="3">
        <v>0.54</v>
      </c>
      <c r="Y98" s="3">
        <v>0.54</v>
      </c>
      <c r="Z98" s="3">
        <v>0.54</v>
      </c>
      <c r="AA98" s="3">
        <v>0.545</v>
      </c>
      <c r="AB98" s="3">
        <v>0.556</v>
      </c>
      <c r="AC98" s="3">
        <v>0.545</v>
      </c>
      <c r="AD98" s="3">
        <v>0.557</v>
      </c>
      <c r="AE98" s="3">
        <v>0.547</v>
      </c>
      <c r="AF98" s="3">
        <v>0.513</v>
      </c>
      <c r="AG98" s="3">
        <v>0.513</v>
      </c>
      <c r="AH98" s="3">
        <v>0.506</v>
      </c>
      <c r="AI98" s="3">
        <v>0.515</v>
      </c>
      <c r="AJ98" s="3">
        <v>0.528</v>
      </c>
      <c r="AK98" s="3">
        <v>0.564</v>
      </c>
      <c r="AL98" s="3">
        <v>0.542</v>
      </c>
      <c r="AM98" s="3">
        <v>0.581</v>
      </c>
      <c r="AN98" s="3">
        <v>0.568</v>
      </c>
      <c r="AO98" s="3">
        <v>0.524</v>
      </c>
      <c r="AP98" s="3">
        <v>0.642</v>
      </c>
      <c r="AQ98" s="3">
        <v>0.668</v>
      </c>
      <c r="AR98" s="3">
        <v>0.623</v>
      </c>
      <c r="AS98" s="3">
        <v>0.629</v>
      </c>
      <c r="AT98" s="3">
        <v>0.583</v>
      </c>
      <c r="AU98" s="3">
        <v>57.346</v>
      </c>
    </row>
    <row r="99" ht="14.25" customHeight="1">
      <c r="A99" s="2" t="s">
        <v>81</v>
      </c>
      <c r="B99" s="3">
        <v>0.639</v>
      </c>
      <c r="C99" s="3">
        <v>0.596</v>
      </c>
      <c r="D99" s="3">
        <v>0.499</v>
      </c>
      <c r="E99" s="3">
        <v>0.497</v>
      </c>
      <c r="F99" s="3">
        <v>0.492</v>
      </c>
      <c r="G99" s="3">
        <v>0.475</v>
      </c>
      <c r="H99" s="3">
        <v>0.472</v>
      </c>
      <c r="I99" s="3">
        <v>0.461</v>
      </c>
      <c r="J99" s="3">
        <v>0.409</v>
      </c>
      <c r="K99" s="3">
        <v>0.427</v>
      </c>
      <c r="L99" s="3">
        <v>0.423</v>
      </c>
      <c r="M99" s="3">
        <v>0.413</v>
      </c>
      <c r="N99" s="3">
        <v>0.413</v>
      </c>
      <c r="O99" s="3">
        <v>0.413</v>
      </c>
      <c r="P99" s="3">
        <v>0.413</v>
      </c>
      <c r="Q99" s="3">
        <v>0.407</v>
      </c>
      <c r="R99" s="3">
        <v>0.407</v>
      </c>
      <c r="S99" s="3">
        <v>0.407</v>
      </c>
      <c r="T99" s="3">
        <v>0.407</v>
      </c>
      <c r="U99" s="3">
        <v>0.407</v>
      </c>
      <c r="V99" s="3">
        <v>0.401</v>
      </c>
      <c r="W99" s="3">
        <v>0.401</v>
      </c>
      <c r="X99" s="3">
        <v>0.388</v>
      </c>
      <c r="Y99" s="3">
        <v>0.392</v>
      </c>
      <c r="Z99" s="3">
        <v>0.417</v>
      </c>
      <c r="AA99" s="3">
        <v>0.433</v>
      </c>
      <c r="AB99" s="3">
        <v>0.433</v>
      </c>
      <c r="AC99" s="3">
        <v>0.433</v>
      </c>
      <c r="AD99" s="3">
        <v>0.433</v>
      </c>
      <c r="AE99" s="3">
        <v>0.434</v>
      </c>
      <c r="AF99" s="3">
        <v>0.434</v>
      </c>
      <c r="AG99" s="3">
        <v>0.438</v>
      </c>
      <c r="AH99" s="3">
        <v>0.438</v>
      </c>
      <c r="AI99" s="3">
        <v>0.444</v>
      </c>
      <c r="AJ99" s="3">
        <v>0.444</v>
      </c>
      <c r="AK99" s="3">
        <v>0.435</v>
      </c>
      <c r="AL99" s="3">
        <v>0.435</v>
      </c>
      <c r="AM99" s="3">
        <v>0.49</v>
      </c>
      <c r="AN99" s="3">
        <v>0.722</v>
      </c>
      <c r="AO99" s="3">
        <v>0.711</v>
      </c>
      <c r="AP99" s="3">
        <v>0.637</v>
      </c>
      <c r="AQ99" s="3">
        <v>0.611</v>
      </c>
      <c r="AR99" s="3">
        <v>0.662</v>
      </c>
      <c r="AS99" s="3">
        <v>0.684</v>
      </c>
      <c r="AT99" s="3">
        <v>0.684</v>
      </c>
      <c r="AU99" s="3">
        <v>73.733</v>
      </c>
    </row>
    <row r="100" ht="14.25" customHeight="1">
      <c r="A100" s="2" t="s">
        <v>469</v>
      </c>
      <c r="B100" s="3">
        <v>0.106</v>
      </c>
      <c r="C100" s="3">
        <v>0.106</v>
      </c>
      <c r="D100" s="3">
        <v>0.106</v>
      </c>
      <c r="E100" s="3">
        <v>0.106</v>
      </c>
      <c r="F100" s="3">
        <v>0.106</v>
      </c>
      <c r="G100" s="3">
        <v>0.106</v>
      </c>
      <c r="H100" s="3">
        <v>0.106</v>
      </c>
      <c r="I100" s="3">
        <v>0.106</v>
      </c>
      <c r="J100" s="3">
        <v>0.106</v>
      </c>
      <c r="K100" s="3">
        <v>0.106</v>
      </c>
      <c r="L100" s="3">
        <v>0.102</v>
      </c>
      <c r="M100" s="3">
        <v>0.102</v>
      </c>
      <c r="N100" s="3">
        <v>0.102</v>
      </c>
      <c r="O100" s="3">
        <v>0.102</v>
      </c>
      <c r="P100" s="3">
        <v>0.102</v>
      </c>
      <c r="Q100" s="3">
        <v>0.102</v>
      </c>
      <c r="R100" s="3">
        <v>0.102</v>
      </c>
      <c r="S100" s="3">
        <v>0.102</v>
      </c>
      <c r="T100" s="3">
        <v>0.099</v>
      </c>
      <c r="U100" s="3">
        <v>0.099</v>
      </c>
      <c r="V100" s="3">
        <v>0.095</v>
      </c>
      <c r="W100" s="3">
        <v>0.095</v>
      </c>
      <c r="X100" s="3">
        <v>0.095</v>
      </c>
      <c r="Y100" s="3">
        <v>0.102</v>
      </c>
      <c r="Z100" s="3">
        <v>0.1</v>
      </c>
      <c r="AA100" s="3">
        <v>0.148</v>
      </c>
      <c r="AB100" s="3">
        <v>0.171</v>
      </c>
      <c r="AC100" s="3">
        <v>0.171</v>
      </c>
      <c r="AD100" s="3">
        <v>0.302</v>
      </c>
      <c r="AE100" s="3">
        <v>0.483</v>
      </c>
      <c r="AF100" s="3">
        <v>0.483</v>
      </c>
      <c r="AG100" s="3">
        <v>0.483</v>
      </c>
      <c r="AH100" s="3">
        <v>0.368</v>
      </c>
      <c r="AI100" s="3">
        <v>0.271</v>
      </c>
      <c r="AJ100" s="3">
        <v>0.272</v>
      </c>
      <c r="AK100" s="3">
        <v>0.222</v>
      </c>
      <c r="AL100" s="3">
        <v>0.256</v>
      </c>
      <c r="AM100" s="3">
        <v>0.252</v>
      </c>
      <c r="AN100" s="3">
        <v>0.248</v>
      </c>
      <c r="AO100" s="3">
        <v>0.612</v>
      </c>
      <c r="AP100" s="3">
        <v>0.663</v>
      </c>
      <c r="AQ100" s="3">
        <v>0.681</v>
      </c>
      <c r="AR100" s="3">
        <v>0.699</v>
      </c>
      <c r="AS100" s="3">
        <v>0.723</v>
      </c>
      <c r="AT100" s="3">
        <v>0.704</v>
      </c>
      <c r="AU100" s="3">
        <v>20.881</v>
      </c>
    </row>
    <row r="101" ht="14.25" customHeight="1">
      <c r="A101" s="2" t="s">
        <v>82</v>
      </c>
      <c r="B101" s="3">
        <v>0.287</v>
      </c>
      <c r="C101" s="3">
        <v>0.287</v>
      </c>
      <c r="D101" s="3">
        <v>0.287</v>
      </c>
      <c r="E101" s="3">
        <v>0.287</v>
      </c>
      <c r="F101" s="3">
        <v>0.287</v>
      </c>
      <c r="G101" s="3">
        <v>0.287</v>
      </c>
      <c r="H101" s="3">
        <v>0.287</v>
      </c>
      <c r="I101" s="3">
        <v>0.287</v>
      </c>
      <c r="J101" s="3">
        <v>0.287</v>
      </c>
      <c r="K101" s="3">
        <v>0.287</v>
      </c>
      <c r="L101" s="3">
        <v>0.308</v>
      </c>
      <c r="M101" s="3">
        <v>0.436</v>
      </c>
      <c r="N101" s="3">
        <v>0.485</v>
      </c>
      <c r="O101" s="3">
        <v>0.45</v>
      </c>
      <c r="P101" s="3">
        <v>0.45</v>
      </c>
      <c r="Q101" s="3">
        <v>0.44</v>
      </c>
      <c r="R101" s="3">
        <v>0.44</v>
      </c>
      <c r="S101" s="3">
        <v>0.386</v>
      </c>
      <c r="T101" s="3">
        <v>0.386</v>
      </c>
      <c r="U101" s="3">
        <v>0.386</v>
      </c>
      <c r="V101" s="3">
        <v>0.386</v>
      </c>
      <c r="W101" s="3">
        <v>0.386</v>
      </c>
      <c r="X101" s="3">
        <v>0.402</v>
      </c>
      <c r="Y101" s="3">
        <v>0.384</v>
      </c>
      <c r="Z101" s="3">
        <v>0.384</v>
      </c>
      <c r="AA101" s="3">
        <v>0.384</v>
      </c>
      <c r="AB101" s="3">
        <v>0.384</v>
      </c>
      <c r="AC101" s="3">
        <v>0.387</v>
      </c>
      <c r="AD101" s="3">
        <v>0.396</v>
      </c>
      <c r="AE101" s="3">
        <v>0.396</v>
      </c>
      <c r="AF101" s="3">
        <v>0.375</v>
      </c>
      <c r="AG101" s="3">
        <v>0.382</v>
      </c>
      <c r="AH101" s="3">
        <v>0.38</v>
      </c>
      <c r="AI101" s="3">
        <v>0.387</v>
      </c>
      <c r="AJ101" s="3">
        <v>0.387</v>
      </c>
      <c r="AK101" s="3">
        <v>0.387</v>
      </c>
      <c r="AL101" s="3">
        <v>0.387</v>
      </c>
      <c r="AM101" s="3">
        <v>0.361</v>
      </c>
      <c r="AN101" s="3">
        <v>0.356</v>
      </c>
      <c r="AO101" s="3">
        <v>0.386</v>
      </c>
      <c r="AP101" s="3">
        <v>0.395</v>
      </c>
      <c r="AQ101" s="3">
        <v>0.291</v>
      </c>
      <c r="AR101" s="3">
        <v>0.29</v>
      </c>
      <c r="AS101" s="3">
        <v>0.303</v>
      </c>
      <c r="AT101" s="3">
        <v>0.348</v>
      </c>
      <c r="AU101" s="3">
        <v>56.259</v>
      </c>
    </row>
    <row r="102" ht="14.25" customHeight="1">
      <c r="A102" s="2" t="s">
        <v>83</v>
      </c>
      <c r="B102" s="3">
        <v>0.73</v>
      </c>
      <c r="C102" s="3">
        <v>0.73</v>
      </c>
      <c r="D102" s="3">
        <v>0.73</v>
      </c>
      <c r="E102" s="3">
        <v>0.73</v>
      </c>
      <c r="F102" s="3">
        <v>0.73</v>
      </c>
      <c r="G102" s="3">
        <v>0.73</v>
      </c>
      <c r="H102" s="3">
        <v>0.752</v>
      </c>
      <c r="I102" s="3">
        <v>0.752</v>
      </c>
      <c r="J102" s="3">
        <v>0.861</v>
      </c>
      <c r="K102" s="3">
        <v>0.861</v>
      </c>
      <c r="L102" s="3">
        <v>0.861</v>
      </c>
      <c r="M102" s="3">
        <v>0.861</v>
      </c>
      <c r="N102" s="3">
        <v>0.861</v>
      </c>
      <c r="O102" s="3">
        <v>0.861</v>
      </c>
      <c r="P102" s="3">
        <v>0.861</v>
      </c>
      <c r="Q102" s="3">
        <v>0.861</v>
      </c>
      <c r="R102" s="3">
        <v>0.861</v>
      </c>
      <c r="S102" s="3">
        <v>0.861</v>
      </c>
      <c r="T102" s="3">
        <v>0.861</v>
      </c>
      <c r="U102" s="3">
        <v>0.861</v>
      </c>
      <c r="V102" s="3">
        <v>0.861</v>
      </c>
      <c r="W102" s="3">
        <v>0.861</v>
      </c>
      <c r="X102" s="3">
        <v>0.861</v>
      </c>
      <c r="Y102" s="3">
        <v>0.861</v>
      </c>
      <c r="Z102" s="3">
        <v>0.861</v>
      </c>
      <c r="AA102" s="3">
        <v>0.861</v>
      </c>
      <c r="AB102" s="3">
        <v>0.861</v>
      </c>
      <c r="AC102" s="3">
        <v>0.861</v>
      </c>
      <c r="AD102" s="3">
        <v>0.861</v>
      </c>
      <c r="AE102" s="3">
        <v>0.861</v>
      </c>
      <c r="AF102" s="3">
        <v>0.861</v>
      </c>
      <c r="AG102" s="3">
        <v>0.861</v>
      </c>
      <c r="AH102" s="3">
        <v>0.861</v>
      </c>
      <c r="AI102" s="3">
        <v>0.82</v>
      </c>
      <c r="AJ102" s="3">
        <v>0.818</v>
      </c>
      <c r="AK102" s="3">
        <v>0.813</v>
      </c>
      <c r="AL102" s="3">
        <v>0.795</v>
      </c>
      <c r="AM102" s="3">
        <v>0.795</v>
      </c>
      <c r="AN102" s="3">
        <v>0.795</v>
      </c>
      <c r="AO102" s="3">
        <v>0.779</v>
      </c>
      <c r="AP102" s="3">
        <v>0.831</v>
      </c>
      <c r="AQ102" s="3">
        <v>0.838</v>
      </c>
      <c r="AR102" s="3">
        <v>0.838</v>
      </c>
      <c r="AS102" s="3">
        <v>0.841</v>
      </c>
      <c r="AT102" s="3">
        <v>0.841</v>
      </c>
      <c r="AU102" s="3">
        <v>97.018</v>
      </c>
    </row>
    <row r="103" ht="14.25" customHeight="1">
      <c r="A103" s="2" t="s">
        <v>470</v>
      </c>
      <c r="B103" s="3">
        <v>0.188</v>
      </c>
      <c r="C103" s="3">
        <v>0.194</v>
      </c>
      <c r="D103" s="3">
        <v>0.194</v>
      </c>
      <c r="E103" s="3">
        <v>0.194</v>
      </c>
      <c r="F103" s="3">
        <v>0.194</v>
      </c>
      <c r="G103" s="3">
        <v>0.12</v>
      </c>
      <c r="H103" s="3">
        <v>0.12</v>
      </c>
      <c r="I103" s="3">
        <v>0.12</v>
      </c>
      <c r="J103" s="3">
        <v>0.12</v>
      </c>
      <c r="K103" s="3">
        <v>0.12</v>
      </c>
      <c r="L103" s="3">
        <v>0.12</v>
      </c>
      <c r="M103" s="3">
        <v>0.12</v>
      </c>
      <c r="N103" s="3">
        <v>0.143</v>
      </c>
      <c r="O103" s="3">
        <v>0.144</v>
      </c>
      <c r="P103" s="3">
        <v>0.144</v>
      </c>
      <c r="Q103" s="3">
        <v>0.144</v>
      </c>
      <c r="R103" s="3">
        <v>0.174</v>
      </c>
      <c r="S103" s="3">
        <v>0.174</v>
      </c>
      <c r="T103" s="3">
        <v>0.174</v>
      </c>
      <c r="U103" s="3">
        <v>0.174</v>
      </c>
      <c r="V103" s="3">
        <v>0.183</v>
      </c>
      <c r="W103" s="3">
        <v>0.183</v>
      </c>
      <c r="X103" s="3">
        <v>0.191</v>
      </c>
      <c r="Y103" s="3">
        <v>0.184</v>
      </c>
      <c r="Z103" s="3">
        <v>0.184</v>
      </c>
      <c r="AA103" s="3">
        <v>0.202</v>
      </c>
      <c r="AB103" s="3">
        <v>0.326</v>
      </c>
      <c r="AC103" s="3">
        <v>0.339</v>
      </c>
      <c r="AD103" s="3">
        <v>0.32</v>
      </c>
      <c r="AE103" s="3">
        <v>0.309</v>
      </c>
      <c r="AF103" s="3">
        <v>0.309</v>
      </c>
      <c r="AG103" s="3">
        <v>0.309</v>
      </c>
      <c r="AH103" s="3">
        <v>0.309</v>
      </c>
      <c r="AI103" s="3">
        <v>0.201</v>
      </c>
      <c r="AJ103" s="3">
        <v>0.201</v>
      </c>
      <c r="AK103" s="3">
        <v>0.2</v>
      </c>
      <c r="AL103" s="3">
        <v>0.2</v>
      </c>
      <c r="AM103" s="3">
        <v>0.216</v>
      </c>
      <c r="AN103" s="3">
        <v>0.255</v>
      </c>
      <c r="AO103" s="3">
        <v>0.289</v>
      </c>
      <c r="AP103" s="3">
        <v>0.237</v>
      </c>
      <c r="AQ103" s="3">
        <v>0.223</v>
      </c>
      <c r="AR103" s="3">
        <v>0.213</v>
      </c>
      <c r="AS103" s="3">
        <v>0.244</v>
      </c>
      <c r="AT103" s="3">
        <v>0.155</v>
      </c>
      <c r="AU103" s="3">
        <v>42.836</v>
      </c>
    </row>
    <row r="104" ht="14.25" customHeight="1">
      <c r="A104" s="2" t="s">
        <v>84</v>
      </c>
      <c r="B104" s="3">
        <v>0.762</v>
      </c>
      <c r="C104" s="3">
        <v>0.762</v>
      </c>
      <c r="D104" s="3">
        <v>0.762</v>
      </c>
      <c r="E104" s="3">
        <v>0.762</v>
      </c>
      <c r="F104" s="3">
        <v>0.762</v>
      </c>
      <c r="G104" s="3">
        <v>0.767</v>
      </c>
      <c r="H104" s="3">
        <v>0.767</v>
      </c>
      <c r="I104" s="3">
        <v>0.767</v>
      </c>
      <c r="J104" s="3">
        <v>0.767</v>
      </c>
      <c r="K104" s="3">
        <v>0.767</v>
      </c>
      <c r="L104" s="3">
        <v>0.779</v>
      </c>
      <c r="M104" s="3">
        <v>0.779</v>
      </c>
      <c r="N104" s="3">
        <v>0.779</v>
      </c>
      <c r="O104" s="3">
        <v>0.779</v>
      </c>
      <c r="P104" s="3">
        <v>0.779</v>
      </c>
      <c r="Q104" s="3">
        <v>0.779</v>
      </c>
      <c r="R104" s="3">
        <v>0.779</v>
      </c>
      <c r="S104" s="3">
        <v>0.779</v>
      </c>
      <c r="T104" s="3">
        <v>0.779</v>
      </c>
      <c r="U104" s="3">
        <v>0.784</v>
      </c>
      <c r="V104" s="3">
        <v>0.804</v>
      </c>
      <c r="W104" s="3">
        <v>0.804</v>
      </c>
      <c r="X104" s="3">
        <v>0.804</v>
      </c>
      <c r="Y104" s="3">
        <v>0.804</v>
      </c>
      <c r="Z104" s="3">
        <v>0.804</v>
      </c>
      <c r="AA104" s="3">
        <v>0.804</v>
      </c>
      <c r="AB104" s="3">
        <v>0.804</v>
      </c>
      <c r="AC104" s="3">
        <v>0.804</v>
      </c>
      <c r="AD104" s="3">
        <v>0.804</v>
      </c>
      <c r="AE104" s="3">
        <v>0.804</v>
      </c>
      <c r="AF104" s="3">
        <v>0.828</v>
      </c>
      <c r="AG104" s="3">
        <v>0.827</v>
      </c>
      <c r="AH104" s="3">
        <v>0.827</v>
      </c>
      <c r="AI104" s="3">
        <v>0.795</v>
      </c>
      <c r="AJ104" s="3">
        <v>0.746</v>
      </c>
      <c r="AK104" s="3">
        <v>0.738</v>
      </c>
      <c r="AL104" s="3">
        <v>0.738</v>
      </c>
      <c r="AM104" s="3">
        <v>0.729</v>
      </c>
      <c r="AN104" s="3">
        <v>0.721</v>
      </c>
      <c r="AO104" s="3">
        <v>0.721</v>
      </c>
      <c r="AP104" s="3">
        <v>0.64</v>
      </c>
      <c r="AQ104" s="3">
        <v>0.623</v>
      </c>
      <c r="AR104" s="3">
        <v>0.582</v>
      </c>
      <c r="AS104" s="3">
        <v>0.602</v>
      </c>
      <c r="AT104" s="3">
        <v>0.659</v>
      </c>
      <c r="AU104" s="3">
        <v>95.83</v>
      </c>
    </row>
    <row r="105" ht="14.25" customHeight="1">
      <c r="A105" s="2" t="s">
        <v>85</v>
      </c>
      <c r="B105" s="3">
        <v>0.244</v>
      </c>
      <c r="C105" s="3">
        <v>0.25</v>
      </c>
      <c r="D105" s="3">
        <v>0.283</v>
      </c>
      <c r="E105" s="3">
        <v>0.291</v>
      </c>
      <c r="F105" s="3">
        <v>0.291</v>
      </c>
      <c r="G105" s="3">
        <v>0.291</v>
      </c>
      <c r="H105" s="3">
        <v>0.291</v>
      </c>
      <c r="I105" s="3">
        <v>0.291</v>
      </c>
      <c r="J105" s="3">
        <v>0.297</v>
      </c>
      <c r="K105" s="3">
        <v>0.309</v>
      </c>
      <c r="L105" s="3">
        <v>0.336</v>
      </c>
      <c r="M105" s="3">
        <v>0.336</v>
      </c>
      <c r="N105" s="3">
        <v>0.336</v>
      </c>
      <c r="O105" s="3">
        <v>0.336</v>
      </c>
      <c r="P105" s="3">
        <v>0.446</v>
      </c>
      <c r="Q105" s="3">
        <v>0.485</v>
      </c>
      <c r="R105" s="3">
        <v>0.485</v>
      </c>
      <c r="S105" s="3">
        <v>0.503</v>
      </c>
      <c r="T105" s="3">
        <v>0.503</v>
      </c>
      <c r="U105" s="3">
        <v>0.503</v>
      </c>
      <c r="V105" s="3">
        <v>0.61</v>
      </c>
      <c r="W105" s="3">
        <v>0.62</v>
      </c>
      <c r="X105" s="3">
        <v>0.62</v>
      </c>
      <c r="Y105" s="3">
        <v>0.59</v>
      </c>
      <c r="Z105" s="3">
        <v>0.59</v>
      </c>
      <c r="AA105" s="3">
        <v>0.59</v>
      </c>
      <c r="AB105" s="3">
        <v>0.596</v>
      </c>
      <c r="AC105" s="3">
        <v>0.585</v>
      </c>
      <c r="AD105" s="3">
        <v>0.586</v>
      </c>
      <c r="AE105" s="3">
        <v>0.586</v>
      </c>
      <c r="AF105" s="3">
        <v>0.586</v>
      </c>
      <c r="AG105" s="3">
        <v>0.586</v>
      </c>
      <c r="AH105" s="3">
        <v>0.558</v>
      </c>
      <c r="AI105" s="3">
        <v>0.477</v>
      </c>
      <c r="AJ105" s="3">
        <v>0.477</v>
      </c>
      <c r="AK105" s="3">
        <v>0.489</v>
      </c>
      <c r="AL105" s="3">
        <v>0.489</v>
      </c>
      <c r="AM105" s="3">
        <v>0.483</v>
      </c>
      <c r="AN105" s="3">
        <v>0.484</v>
      </c>
      <c r="AO105" s="3">
        <v>0.516</v>
      </c>
      <c r="AP105" s="3">
        <v>0.497</v>
      </c>
      <c r="AQ105" s="3">
        <v>0.478</v>
      </c>
      <c r="AR105" s="3">
        <v>0.435</v>
      </c>
      <c r="AS105" s="3">
        <v>0.432</v>
      </c>
      <c r="AT105" s="3">
        <v>0.388</v>
      </c>
      <c r="AU105" s="3">
        <v>65.1679999999999</v>
      </c>
    </row>
    <row r="106" ht="14.25" customHeight="1">
      <c r="A106" s="2" t="s">
        <v>471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>
        <v>0.508</v>
      </c>
      <c r="M106" s="3">
        <v>0.512</v>
      </c>
      <c r="N106" s="3">
        <v>0.492</v>
      </c>
      <c r="O106" s="3">
        <v>0.492</v>
      </c>
      <c r="P106" s="3">
        <v>0.456</v>
      </c>
      <c r="Q106" s="3">
        <v>0.452</v>
      </c>
      <c r="R106" s="3">
        <v>0.452</v>
      </c>
      <c r="S106" s="3">
        <v>0.452</v>
      </c>
      <c r="T106" s="3">
        <v>0.469</v>
      </c>
      <c r="U106" s="3">
        <v>0.51</v>
      </c>
      <c r="V106" s="3">
        <v>0.506</v>
      </c>
      <c r="W106" s="3">
        <v>0.457</v>
      </c>
      <c r="X106" s="3">
        <v>0.435</v>
      </c>
      <c r="Y106" s="3">
        <v>0.435</v>
      </c>
      <c r="Z106" s="3">
        <v>0.435</v>
      </c>
      <c r="AA106" s="3">
        <v>0.438</v>
      </c>
      <c r="AB106" s="3">
        <v>0.444</v>
      </c>
      <c r="AC106" s="3">
        <v>0.441</v>
      </c>
      <c r="AD106" s="3">
        <v>0.445</v>
      </c>
      <c r="AE106" s="3">
        <v>0.466</v>
      </c>
      <c r="AF106" s="3">
        <v>0.63</v>
      </c>
      <c r="AG106" s="3">
        <v>0.633</v>
      </c>
      <c r="AH106" s="3">
        <v>0.644</v>
      </c>
      <c r="AI106" s="3">
        <v>0.586</v>
      </c>
      <c r="AJ106" s="3">
        <v>0.586</v>
      </c>
      <c r="AK106" s="3">
        <v>0.523</v>
      </c>
      <c r="AL106" s="3">
        <v>0.451</v>
      </c>
      <c r="AM106" s="3">
        <v>0.502</v>
      </c>
      <c r="AN106" s="3">
        <v>0.473</v>
      </c>
      <c r="AO106" s="3">
        <v>0.518</v>
      </c>
      <c r="AP106" s="3">
        <v>0.633</v>
      </c>
      <c r="AQ106" s="3">
        <v>0.781</v>
      </c>
      <c r="AR106" s="3">
        <v>0.824</v>
      </c>
      <c r="AS106" s="3">
        <v>0.828</v>
      </c>
      <c r="AT106" s="3">
        <v>0.808</v>
      </c>
      <c r="AU106" s="3">
        <v>18.717</v>
      </c>
    </row>
    <row r="107" ht="14.25" customHeight="1">
      <c r="A107" s="2" t="s">
        <v>472</v>
      </c>
      <c r="B107" s="3">
        <v>0.481</v>
      </c>
      <c r="C107" s="3">
        <v>0.481</v>
      </c>
      <c r="D107" s="3">
        <v>0.481</v>
      </c>
      <c r="E107" s="3">
        <v>0.481</v>
      </c>
      <c r="F107" s="3">
        <v>0.481</v>
      </c>
      <c r="G107" s="3">
        <v>0.481</v>
      </c>
      <c r="H107" s="3">
        <v>0.481</v>
      </c>
      <c r="I107" s="3">
        <v>0.481</v>
      </c>
      <c r="J107" s="3">
        <v>0.481</v>
      </c>
      <c r="K107" s="3">
        <v>0.48</v>
      </c>
      <c r="L107" s="3">
        <v>0.624</v>
      </c>
      <c r="M107" s="3">
        <v>0.655</v>
      </c>
      <c r="N107" s="3">
        <v>0.728</v>
      </c>
      <c r="O107" s="3">
        <v>0.731</v>
      </c>
      <c r="P107" s="3">
        <v>0.746</v>
      </c>
      <c r="Q107" s="3">
        <v>0.746</v>
      </c>
      <c r="R107" s="3">
        <v>0.757</v>
      </c>
      <c r="S107" s="3">
        <v>0.757</v>
      </c>
      <c r="T107" s="3">
        <v>0.757</v>
      </c>
      <c r="U107" s="3">
        <v>0.757</v>
      </c>
      <c r="V107" s="3">
        <v>0.618</v>
      </c>
      <c r="W107" s="3">
        <v>0.618</v>
      </c>
      <c r="X107" s="3">
        <v>0.612</v>
      </c>
      <c r="Y107" s="3">
        <v>0.622</v>
      </c>
      <c r="Z107" s="3">
        <v>0.615</v>
      </c>
      <c r="AA107" s="3">
        <v>0.592</v>
      </c>
      <c r="AB107" s="3">
        <v>0.596</v>
      </c>
      <c r="AC107" s="3">
        <v>0.596</v>
      </c>
      <c r="AD107" s="3">
        <v>0.587</v>
      </c>
      <c r="AE107" s="3">
        <v>0.6</v>
      </c>
      <c r="AF107" s="3">
        <v>0.604</v>
      </c>
      <c r="AG107" s="3">
        <v>0.602</v>
      </c>
      <c r="AH107" s="3">
        <v>0.595</v>
      </c>
      <c r="AI107" s="3">
        <v>0.579</v>
      </c>
      <c r="AJ107" s="3">
        <v>0.572</v>
      </c>
      <c r="AK107" s="3">
        <v>0.584</v>
      </c>
      <c r="AL107" s="3">
        <v>0.583</v>
      </c>
      <c r="AM107" s="3">
        <v>0.596</v>
      </c>
      <c r="AN107" s="3">
        <v>0.584</v>
      </c>
      <c r="AO107" s="3">
        <v>0.579</v>
      </c>
      <c r="AP107" s="3">
        <v>0.577</v>
      </c>
      <c r="AQ107" s="3">
        <v>0.563</v>
      </c>
      <c r="AR107" s="3">
        <v>0.544</v>
      </c>
      <c r="AS107" s="3">
        <v>0.519</v>
      </c>
      <c r="AT107" s="3">
        <v>0.533</v>
      </c>
      <c r="AU107" s="3">
        <v>52.778</v>
      </c>
    </row>
    <row r="108" ht="14.25" customHeight="1">
      <c r="A108" s="2" t="s">
        <v>473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>
        <v>0.631</v>
      </c>
      <c r="U108" s="3">
        <v>0.631</v>
      </c>
      <c r="V108" s="3">
        <v>0.631</v>
      </c>
      <c r="W108" s="3">
        <v>0.625</v>
      </c>
      <c r="X108" s="3">
        <v>0.625</v>
      </c>
      <c r="Y108" s="3">
        <v>0.625</v>
      </c>
      <c r="Z108" s="3">
        <v>0.625</v>
      </c>
      <c r="AA108" s="3">
        <v>0.625</v>
      </c>
      <c r="AB108" s="3">
        <v>0.63</v>
      </c>
      <c r="AC108" s="3">
        <v>0.647</v>
      </c>
      <c r="AD108" s="3">
        <v>0.661</v>
      </c>
      <c r="AE108" s="3">
        <v>0.665</v>
      </c>
      <c r="AF108" s="3">
        <v>0.665</v>
      </c>
      <c r="AG108" s="3">
        <v>0.682</v>
      </c>
      <c r="AH108" s="3">
        <v>0.682</v>
      </c>
      <c r="AI108" s="3">
        <v>0.687</v>
      </c>
      <c r="AJ108" s="3">
        <v>0.687</v>
      </c>
      <c r="AK108" s="3">
        <v>0.687</v>
      </c>
      <c r="AL108" s="3">
        <v>0.687</v>
      </c>
      <c r="AM108" s="3">
        <v>0.686</v>
      </c>
      <c r="AN108" s="3">
        <v>0.671</v>
      </c>
      <c r="AO108" s="3">
        <v>0.682</v>
      </c>
      <c r="AP108" s="3">
        <v>0.727</v>
      </c>
      <c r="AQ108" s="3">
        <v>0.74</v>
      </c>
      <c r="AR108" s="3">
        <v>0.722</v>
      </c>
      <c r="AS108" s="3">
        <v>0.739</v>
      </c>
      <c r="AT108" s="3">
        <v>0.712</v>
      </c>
      <c r="AU108" s="3">
        <v>82.905</v>
      </c>
    </row>
    <row r="109" ht="14.25" customHeight="1">
      <c r="A109" s="2" t="s">
        <v>86</v>
      </c>
      <c r="B109" s="3">
        <v>0.319</v>
      </c>
      <c r="C109" s="3">
        <v>0.319</v>
      </c>
      <c r="D109" s="3">
        <v>0.319</v>
      </c>
      <c r="E109" s="3">
        <v>0.319</v>
      </c>
      <c r="F109" s="3">
        <v>0.319</v>
      </c>
      <c r="G109" s="3">
        <v>0.319</v>
      </c>
      <c r="H109" s="3">
        <v>0.319</v>
      </c>
      <c r="I109" s="3">
        <v>0.319</v>
      </c>
      <c r="J109" s="3">
        <v>0.319</v>
      </c>
      <c r="K109" s="3">
        <v>0.319</v>
      </c>
      <c r="L109" s="3">
        <v>0.332</v>
      </c>
      <c r="M109" s="3">
        <v>0.335</v>
      </c>
      <c r="N109" s="3">
        <v>0.341</v>
      </c>
      <c r="O109" s="3">
        <v>0.361</v>
      </c>
      <c r="P109" s="3">
        <v>0.363</v>
      </c>
      <c r="Q109" s="3">
        <v>0.363</v>
      </c>
      <c r="R109" s="3">
        <v>0.363</v>
      </c>
      <c r="S109" s="3">
        <v>0.375</v>
      </c>
      <c r="T109" s="3">
        <v>0.388</v>
      </c>
      <c r="U109" s="3">
        <v>0.388</v>
      </c>
      <c r="V109" s="3">
        <v>0.368</v>
      </c>
      <c r="W109" s="3">
        <v>0.368</v>
      </c>
      <c r="X109" s="3">
        <v>0.368</v>
      </c>
      <c r="Y109" s="3">
        <v>0.381</v>
      </c>
      <c r="Z109" s="3">
        <v>0.381</v>
      </c>
      <c r="AA109" s="3">
        <v>0.418</v>
      </c>
      <c r="AB109" s="3">
        <v>0.418</v>
      </c>
      <c r="AC109" s="3">
        <v>0.418</v>
      </c>
      <c r="AD109" s="3">
        <v>0.418</v>
      </c>
      <c r="AE109" s="3">
        <v>0.418</v>
      </c>
      <c r="AF109" s="3">
        <v>0.431</v>
      </c>
      <c r="AG109" s="3">
        <v>0.456</v>
      </c>
      <c r="AH109" s="3">
        <v>0.453</v>
      </c>
      <c r="AI109" s="3">
        <v>0.436</v>
      </c>
      <c r="AJ109" s="3">
        <v>0.443</v>
      </c>
      <c r="AK109" s="3">
        <v>0.438</v>
      </c>
      <c r="AL109" s="3">
        <v>0.435</v>
      </c>
      <c r="AM109" s="3">
        <v>0.478</v>
      </c>
      <c r="AN109" s="3">
        <v>0.481</v>
      </c>
      <c r="AO109" s="3">
        <v>0.481</v>
      </c>
      <c r="AP109" s="3">
        <v>0.476</v>
      </c>
      <c r="AQ109" s="3">
        <v>0.476</v>
      </c>
      <c r="AR109" s="3">
        <v>0.511</v>
      </c>
      <c r="AS109" s="3">
        <v>0.523</v>
      </c>
      <c r="AT109" s="3">
        <v>0.528</v>
      </c>
      <c r="AU109" s="3">
        <v>49.2480000000001</v>
      </c>
    </row>
    <row r="110" ht="14.25" customHeight="1">
      <c r="A110" s="2" t="s">
        <v>87</v>
      </c>
      <c r="B110" s="3">
        <v>0.514</v>
      </c>
      <c r="C110" s="3">
        <v>0.514</v>
      </c>
      <c r="D110" s="3">
        <v>0.514</v>
      </c>
      <c r="E110" s="3">
        <v>0.514</v>
      </c>
      <c r="F110" s="3">
        <v>0.514</v>
      </c>
      <c r="G110" s="3">
        <v>0.514</v>
      </c>
      <c r="H110" s="3">
        <v>0.514</v>
      </c>
      <c r="I110" s="3">
        <v>0.493</v>
      </c>
      <c r="J110" s="3">
        <v>0.493</v>
      </c>
      <c r="K110" s="3">
        <v>0.493</v>
      </c>
      <c r="L110" s="3">
        <v>0.492</v>
      </c>
      <c r="M110" s="3">
        <v>0.527</v>
      </c>
      <c r="N110" s="3">
        <v>0.534</v>
      </c>
      <c r="O110" s="3">
        <v>0.531</v>
      </c>
      <c r="P110" s="3">
        <v>0.487</v>
      </c>
      <c r="Q110" s="3">
        <v>0.484</v>
      </c>
      <c r="R110" s="3">
        <v>0.484</v>
      </c>
      <c r="S110" s="3">
        <v>0.466</v>
      </c>
      <c r="T110" s="3">
        <v>0.466</v>
      </c>
      <c r="U110" s="3">
        <v>0.466</v>
      </c>
      <c r="V110" s="3">
        <v>0.501</v>
      </c>
      <c r="W110" s="3">
        <v>0.501</v>
      </c>
      <c r="X110" s="3">
        <v>0.492</v>
      </c>
      <c r="Y110" s="3">
        <v>0.499</v>
      </c>
      <c r="Z110" s="3">
        <v>0.489</v>
      </c>
      <c r="AA110" s="3">
        <v>0.48</v>
      </c>
      <c r="AB110" s="3">
        <v>0.48</v>
      </c>
      <c r="AC110" s="3">
        <v>0.48</v>
      </c>
      <c r="AD110" s="3">
        <v>0.485</v>
      </c>
      <c r="AE110" s="3">
        <v>0.473</v>
      </c>
      <c r="AF110" s="3">
        <v>0.478</v>
      </c>
      <c r="AG110" s="3">
        <v>0.478</v>
      </c>
      <c r="AH110" s="3">
        <v>0.478</v>
      </c>
      <c r="AI110" s="3">
        <v>0.48</v>
      </c>
      <c r="AJ110" s="3">
        <v>0.48</v>
      </c>
      <c r="AK110" s="3">
        <v>0.475</v>
      </c>
      <c r="AL110" s="3">
        <v>0.475</v>
      </c>
      <c r="AM110" s="3">
        <v>0.457</v>
      </c>
      <c r="AN110" s="3">
        <v>0.431</v>
      </c>
      <c r="AO110" s="3">
        <v>0.397</v>
      </c>
      <c r="AP110" s="3">
        <v>0.415</v>
      </c>
      <c r="AQ110" s="3">
        <v>0.403</v>
      </c>
      <c r="AR110" s="3">
        <v>0.405</v>
      </c>
      <c r="AS110" s="3">
        <v>0.343</v>
      </c>
      <c r="AT110" s="3">
        <v>0.265</v>
      </c>
      <c r="AU110" s="3">
        <v>53.935</v>
      </c>
    </row>
    <row r="111" ht="14.25" customHeight="1">
      <c r="A111" s="2" t="s">
        <v>88</v>
      </c>
      <c r="B111" s="3">
        <v>0.074</v>
      </c>
      <c r="C111" s="3">
        <v>0.074</v>
      </c>
      <c r="D111" s="3">
        <v>0.074</v>
      </c>
      <c r="E111" s="3">
        <v>0.074</v>
      </c>
      <c r="F111" s="3">
        <v>0.074</v>
      </c>
      <c r="G111" s="3">
        <v>0.074</v>
      </c>
      <c r="H111" s="3">
        <v>0.074</v>
      </c>
      <c r="I111" s="3">
        <v>0.074</v>
      </c>
      <c r="J111" s="3">
        <v>0.054</v>
      </c>
      <c r="K111" s="3">
        <v>0.044</v>
      </c>
      <c r="L111" s="3">
        <v>0.045</v>
      </c>
      <c r="M111" s="3">
        <v>0.045</v>
      </c>
      <c r="N111" s="3">
        <v>0.045</v>
      </c>
      <c r="O111" s="3">
        <v>0.045</v>
      </c>
      <c r="P111" s="3">
        <v>0.045</v>
      </c>
      <c r="Q111" s="3">
        <v>0.045</v>
      </c>
      <c r="R111" s="3">
        <v>0.045</v>
      </c>
      <c r="S111" s="3">
        <v>0.045</v>
      </c>
      <c r="T111" s="3">
        <v>0.045</v>
      </c>
      <c r="U111" s="3">
        <v>0.045</v>
      </c>
      <c r="V111" s="3">
        <v>0.048</v>
      </c>
      <c r="W111" s="3">
        <v>0.048</v>
      </c>
      <c r="X111" s="3">
        <v>0.048</v>
      </c>
      <c r="Y111" s="3">
        <v>0.048</v>
      </c>
      <c r="Z111" s="3">
        <v>0.048</v>
      </c>
      <c r="AA111" s="3">
        <v>0.048</v>
      </c>
      <c r="AB111" s="3">
        <v>0.048</v>
      </c>
      <c r="AC111" s="3">
        <v>0.048</v>
      </c>
      <c r="AD111" s="3">
        <v>0.048</v>
      </c>
      <c r="AE111" s="3">
        <v>0.052</v>
      </c>
      <c r="AF111" s="3">
        <v>0.096</v>
      </c>
      <c r="AG111" s="3">
        <v>0.23</v>
      </c>
      <c r="AH111" s="3">
        <v>0.246</v>
      </c>
      <c r="AI111" s="3">
        <v>0.358</v>
      </c>
      <c r="AJ111" s="3">
        <v>0.366</v>
      </c>
      <c r="AK111" s="3">
        <v>0.415</v>
      </c>
      <c r="AL111" s="3">
        <v>0.528</v>
      </c>
      <c r="AM111" s="3">
        <v>0.543</v>
      </c>
      <c r="AN111" s="3">
        <v>0.575</v>
      </c>
      <c r="AO111" s="3">
        <v>0.574</v>
      </c>
      <c r="AP111" s="3">
        <v>0.587</v>
      </c>
      <c r="AQ111" s="3">
        <v>0.075</v>
      </c>
      <c r="AR111" s="3">
        <v>0.079</v>
      </c>
      <c r="AS111" s="3">
        <v>0.073</v>
      </c>
      <c r="AT111" s="3">
        <v>0.068</v>
      </c>
      <c r="AU111" s="3">
        <v>74.951</v>
      </c>
    </row>
    <row r="112" ht="14.25" customHeight="1">
      <c r="A112" s="2" t="s">
        <v>474</v>
      </c>
      <c r="B112" s="3">
        <v>0.351</v>
      </c>
      <c r="C112" s="3">
        <v>0.351</v>
      </c>
      <c r="D112" s="3">
        <v>0.351</v>
      </c>
      <c r="E112" s="3">
        <v>0.351</v>
      </c>
      <c r="F112" s="3">
        <v>0.351</v>
      </c>
      <c r="G112" s="3">
        <v>0.385</v>
      </c>
      <c r="H112" s="3">
        <v>0.394</v>
      </c>
      <c r="I112" s="3">
        <v>0.394</v>
      </c>
      <c r="J112" s="3">
        <v>0.397</v>
      </c>
      <c r="K112" s="3">
        <v>0.412</v>
      </c>
      <c r="L112" s="3">
        <v>0.83</v>
      </c>
      <c r="M112" s="3">
        <v>0.853</v>
      </c>
      <c r="N112" s="3">
        <v>0.853</v>
      </c>
      <c r="O112" s="3">
        <v>0.853</v>
      </c>
      <c r="P112" s="3">
        <v>0.853</v>
      </c>
      <c r="Q112" s="3">
        <v>0.853</v>
      </c>
      <c r="R112" s="3">
        <v>0.853</v>
      </c>
      <c r="S112" s="3">
        <v>0.853</v>
      </c>
      <c r="T112" s="3">
        <v>0.853</v>
      </c>
      <c r="U112" s="3">
        <v>0.853</v>
      </c>
      <c r="V112" s="3">
        <v>0.855</v>
      </c>
      <c r="W112" s="3">
        <v>0.855</v>
      </c>
      <c r="X112" s="3">
        <v>0.847</v>
      </c>
      <c r="Y112" s="3">
        <v>0.857</v>
      </c>
      <c r="Z112" s="3">
        <v>0.846</v>
      </c>
      <c r="AA112" s="3">
        <v>0.856</v>
      </c>
      <c r="AB112" s="3">
        <v>0.856</v>
      </c>
      <c r="AC112" s="3">
        <v>0.856</v>
      </c>
      <c r="AD112" s="3">
        <v>0.856</v>
      </c>
      <c r="AE112" s="3">
        <v>0.856</v>
      </c>
      <c r="AF112" s="3">
        <v>0.861</v>
      </c>
      <c r="AG112" s="3">
        <v>0.862</v>
      </c>
      <c r="AH112" s="3">
        <v>0.863</v>
      </c>
      <c r="AI112" s="3">
        <v>0.86</v>
      </c>
      <c r="AJ112" s="3">
        <v>0.86</v>
      </c>
      <c r="AK112" s="3">
        <v>0.859</v>
      </c>
      <c r="AL112" s="3">
        <v>0.859</v>
      </c>
      <c r="AM112" s="3">
        <v>0.857</v>
      </c>
      <c r="AN112" s="3">
        <v>0.862</v>
      </c>
      <c r="AO112" s="3">
        <v>0.789</v>
      </c>
      <c r="AP112" s="3">
        <v>0.787</v>
      </c>
      <c r="AQ112" s="3">
        <v>0.782</v>
      </c>
      <c r="AR112" s="3">
        <v>0.764</v>
      </c>
      <c r="AS112" s="3">
        <v>0.777</v>
      </c>
      <c r="AT112" s="3">
        <v>0.827</v>
      </c>
      <c r="AU112" s="3">
        <v>60.466</v>
      </c>
    </row>
    <row r="113" ht="14.25" customHeight="1">
      <c r="A113" s="2" t="s">
        <v>89</v>
      </c>
      <c r="B113" s="3">
        <v>0.229</v>
      </c>
      <c r="C113" s="3">
        <v>0.229</v>
      </c>
      <c r="D113" s="3">
        <v>0.229</v>
      </c>
      <c r="E113" s="3">
        <v>0.229</v>
      </c>
      <c r="F113" s="3">
        <v>0.229</v>
      </c>
      <c r="G113" s="3">
        <v>0.229</v>
      </c>
      <c r="H113" s="3">
        <v>0.229</v>
      </c>
      <c r="I113" s="3">
        <v>0.229</v>
      </c>
      <c r="J113" s="3">
        <v>0.229</v>
      </c>
      <c r="K113" s="3">
        <v>0.229</v>
      </c>
      <c r="L113" s="3">
        <v>0.375</v>
      </c>
      <c r="M113" s="3">
        <v>0.492</v>
      </c>
      <c r="N113" s="3">
        <v>0.496</v>
      </c>
      <c r="O113" s="3">
        <v>0.508</v>
      </c>
      <c r="P113" s="3">
        <v>0.508</v>
      </c>
      <c r="Q113" s="3">
        <v>0.502</v>
      </c>
      <c r="R113" s="3">
        <v>0.501</v>
      </c>
      <c r="S113" s="3">
        <v>0.503</v>
      </c>
      <c r="T113" s="3">
        <v>0.503</v>
      </c>
      <c r="U113" s="3">
        <v>0.529</v>
      </c>
      <c r="V113" s="3">
        <v>0.497</v>
      </c>
      <c r="W113" s="3">
        <v>0.463</v>
      </c>
      <c r="X113" s="3">
        <v>0.444</v>
      </c>
      <c r="Y113" s="3">
        <v>0.444</v>
      </c>
      <c r="Z113" s="3">
        <v>0.442</v>
      </c>
      <c r="AA113" s="3">
        <v>0.475</v>
      </c>
      <c r="AB113" s="3">
        <v>0.499</v>
      </c>
      <c r="AC113" s="3">
        <v>0.58</v>
      </c>
      <c r="AD113" s="3">
        <v>0.595</v>
      </c>
      <c r="AE113" s="3">
        <v>0.588</v>
      </c>
      <c r="AF113" s="3">
        <v>0.585</v>
      </c>
      <c r="AG113" s="3">
        <v>0.61</v>
      </c>
      <c r="AH113" s="3">
        <v>0.592</v>
      </c>
      <c r="AI113" s="3">
        <v>0.582</v>
      </c>
      <c r="AJ113" s="3">
        <v>0.588</v>
      </c>
      <c r="AK113" s="3">
        <v>0.618</v>
      </c>
      <c r="AL113" s="3">
        <v>0.617</v>
      </c>
      <c r="AM113" s="3">
        <v>0.626</v>
      </c>
      <c r="AN113" s="3">
        <v>0.636</v>
      </c>
      <c r="AO113" s="3">
        <v>0.577</v>
      </c>
      <c r="AP113" s="3">
        <v>0.57</v>
      </c>
      <c r="AQ113" s="3">
        <v>0.608</v>
      </c>
      <c r="AR113" s="3">
        <v>0.622</v>
      </c>
      <c r="AS113" s="3">
        <v>0.628</v>
      </c>
      <c r="AT113" s="3">
        <v>0.626</v>
      </c>
      <c r="AU113" s="3">
        <v>35.675</v>
      </c>
    </row>
    <row r="114" ht="14.25" customHeight="1">
      <c r="A114" s="2" t="s">
        <v>90</v>
      </c>
      <c r="B114" s="3">
        <v>0.984</v>
      </c>
      <c r="C114" s="3">
        <v>0.984</v>
      </c>
      <c r="D114" s="3">
        <v>0.984</v>
      </c>
      <c r="E114" s="3">
        <v>0.984</v>
      </c>
      <c r="F114" s="3">
        <v>0.984</v>
      </c>
      <c r="G114" s="3">
        <v>0.984</v>
      </c>
      <c r="H114" s="3">
        <v>0.984</v>
      </c>
      <c r="I114" s="3">
        <v>0.984</v>
      </c>
      <c r="J114" s="3">
        <v>0.984</v>
      </c>
      <c r="K114" s="3">
        <v>0.984</v>
      </c>
      <c r="L114" s="3">
        <v>0.984</v>
      </c>
      <c r="M114" s="3">
        <v>0.984</v>
      </c>
      <c r="N114" s="3">
        <v>0.984</v>
      </c>
      <c r="O114" s="3">
        <v>0.984</v>
      </c>
      <c r="P114" s="3">
        <v>0.984</v>
      </c>
      <c r="Q114" s="3">
        <v>0.984</v>
      </c>
      <c r="R114" s="3">
        <v>0.984</v>
      </c>
      <c r="S114" s="3">
        <v>0.984</v>
      </c>
      <c r="T114" s="3">
        <v>0.984</v>
      </c>
      <c r="U114" s="3">
        <v>0.984</v>
      </c>
      <c r="V114" s="3">
        <v>0.984</v>
      </c>
      <c r="W114" s="3">
        <v>0.984</v>
      </c>
      <c r="X114" s="3">
        <v>0.982</v>
      </c>
      <c r="Y114" s="3">
        <v>0.985</v>
      </c>
      <c r="Z114" s="3">
        <v>0.985</v>
      </c>
      <c r="AA114" s="3">
        <v>0.985</v>
      </c>
      <c r="AB114" s="3">
        <v>0.985</v>
      </c>
      <c r="AC114" s="3">
        <v>0.985</v>
      </c>
      <c r="AD114" s="3">
        <v>0.985</v>
      </c>
      <c r="AE114" s="3">
        <v>0.985</v>
      </c>
      <c r="AF114" s="3">
        <v>0.985</v>
      </c>
      <c r="AG114" s="3">
        <v>0.985</v>
      </c>
      <c r="AH114" s="3">
        <v>0.985</v>
      </c>
      <c r="AI114" s="3">
        <v>0.981</v>
      </c>
      <c r="AJ114" s="3">
        <v>0.981</v>
      </c>
      <c r="AK114" s="3">
        <v>0.982</v>
      </c>
      <c r="AL114" s="3">
        <v>0.982</v>
      </c>
      <c r="AM114" s="3">
        <v>0.985</v>
      </c>
      <c r="AN114" s="3">
        <v>0.982</v>
      </c>
      <c r="AO114" s="3">
        <v>0.987</v>
      </c>
      <c r="AP114" s="3">
        <v>0.984</v>
      </c>
      <c r="AQ114" s="3">
        <v>0.982</v>
      </c>
      <c r="AR114" s="3">
        <v>0.979</v>
      </c>
      <c r="AS114" s="3">
        <v>0.979</v>
      </c>
      <c r="AT114" s="3">
        <v>0.979</v>
      </c>
      <c r="AU114" s="3">
        <v>203.607</v>
      </c>
    </row>
    <row r="115" ht="14.25" customHeight="1">
      <c r="A115" s="2" t="s">
        <v>91</v>
      </c>
      <c r="B115" s="3">
        <v>0.987</v>
      </c>
      <c r="C115" s="3">
        <v>0.987</v>
      </c>
      <c r="D115" s="3">
        <v>0.987</v>
      </c>
      <c r="E115" s="3">
        <v>0.987</v>
      </c>
      <c r="F115" s="3">
        <v>0.987</v>
      </c>
      <c r="G115" s="3">
        <v>0.988</v>
      </c>
      <c r="H115" s="3">
        <v>0.992</v>
      </c>
      <c r="I115" s="3">
        <v>0.992</v>
      </c>
      <c r="J115" s="3">
        <v>0.992</v>
      </c>
      <c r="K115" s="3">
        <v>0.992</v>
      </c>
      <c r="L115" s="3">
        <v>0.992</v>
      </c>
      <c r="M115" s="3">
        <v>0.992</v>
      </c>
      <c r="N115" s="3">
        <v>0.992</v>
      </c>
      <c r="O115" s="3">
        <v>0.992</v>
      </c>
      <c r="P115" s="3">
        <v>0.992</v>
      </c>
      <c r="Q115" s="3">
        <v>0.992</v>
      </c>
      <c r="R115" s="3">
        <v>0.992</v>
      </c>
      <c r="S115" s="3">
        <v>0.992</v>
      </c>
      <c r="T115" s="3">
        <v>0.992</v>
      </c>
      <c r="U115" s="3">
        <v>0.992</v>
      </c>
      <c r="V115" s="3">
        <v>0.992</v>
      </c>
      <c r="W115" s="3">
        <v>0.992</v>
      </c>
      <c r="X115" s="3">
        <v>0.992</v>
      </c>
      <c r="Y115" s="3">
        <v>0.992</v>
      </c>
      <c r="Z115" s="3">
        <v>0.992</v>
      </c>
      <c r="AA115" s="3">
        <v>0.992</v>
      </c>
      <c r="AB115" s="3">
        <v>0.992</v>
      </c>
      <c r="AC115" s="3">
        <v>0.992</v>
      </c>
      <c r="AD115" s="3">
        <v>0.992</v>
      </c>
      <c r="AE115" s="3">
        <v>0.992</v>
      </c>
      <c r="AF115" s="3">
        <v>0.992</v>
      </c>
      <c r="AG115" s="3">
        <v>0.992</v>
      </c>
      <c r="AH115" s="3">
        <v>0.992</v>
      </c>
      <c r="AI115" s="3">
        <v>0.992</v>
      </c>
      <c r="AJ115" s="3">
        <v>0.992</v>
      </c>
      <c r="AK115" s="3">
        <v>0.992</v>
      </c>
      <c r="AL115" s="3">
        <v>0.992</v>
      </c>
      <c r="AM115" s="3">
        <v>0.992</v>
      </c>
      <c r="AN115" s="3">
        <v>0.992</v>
      </c>
      <c r="AO115" s="3">
        <v>0.992</v>
      </c>
      <c r="AP115" s="3">
        <v>0.992</v>
      </c>
      <c r="AQ115" s="3">
        <v>0.989</v>
      </c>
      <c r="AR115" s="3">
        <v>0.989</v>
      </c>
      <c r="AS115" s="3">
        <v>0.99</v>
      </c>
      <c r="AT115" s="3">
        <v>0.991</v>
      </c>
      <c r="AU115" s="3">
        <v>179.655</v>
      </c>
    </row>
    <row r="116" ht="14.25" customHeight="1">
      <c r="A116" s="2" t="s">
        <v>92</v>
      </c>
      <c r="B116" s="3">
        <v>0.359</v>
      </c>
      <c r="C116" s="3">
        <v>0.359</v>
      </c>
      <c r="D116" s="3">
        <v>0.321</v>
      </c>
      <c r="E116" s="3">
        <v>0.321</v>
      </c>
      <c r="F116" s="3">
        <v>0.422</v>
      </c>
      <c r="G116" s="3">
        <v>0.366</v>
      </c>
      <c r="H116" s="3">
        <v>0.366</v>
      </c>
      <c r="I116" s="3">
        <v>0.322</v>
      </c>
      <c r="J116" s="3">
        <v>0.31</v>
      </c>
      <c r="K116" s="3">
        <v>0.31</v>
      </c>
      <c r="L116" s="3">
        <v>0.484</v>
      </c>
      <c r="M116" s="3">
        <v>0.53</v>
      </c>
      <c r="N116" s="3">
        <v>0.543</v>
      </c>
      <c r="O116" s="3">
        <v>0.558</v>
      </c>
      <c r="P116" s="3">
        <v>0.558</v>
      </c>
      <c r="Q116" s="3">
        <v>0.559</v>
      </c>
      <c r="R116" s="3">
        <v>0.401</v>
      </c>
      <c r="S116" s="3">
        <v>0.272</v>
      </c>
      <c r="T116" s="3">
        <v>0.272</v>
      </c>
      <c r="U116" s="3">
        <v>0.253</v>
      </c>
      <c r="V116" s="3">
        <v>0.254</v>
      </c>
      <c r="W116" s="3">
        <v>0.303</v>
      </c>
      <c r="X116" s="3">
        <v>0.315</v>
      </c>
      <c r="Y116" s="3">
        <v>0.315</v>
      </c>
      <c r="Z116" s="3">
        <v>0.308</v>
      </c>
      <c r="AA116" s="3">
        <v>0.308</v>
      </c>
      <c r="AB116" s="3">
        <v>0.227</v>
      </c>
      <c r="AC116" s="3">
        <v>0.139</v>
      </c>
      <c r="AD116" s="3">
        <v>0.12</v>
      </c>
      <c r="AE116" s="3">
        <v>0.119</v>
      </c>
      <c r="AF116" s="3">
        <v>0.118</v>
      </c>
      <c r="AG116" s="3">
        <v>0.118</v>
      </c>
      <c r="AH116" s="3">
        <v>0.111</v>
      </c>
      <c r="AI116" s="3">
        <v>0.094</v>
      </c>
      <c r="AJ116" s="3">
        <v>0.092</v>
      </c>
      <c r="AK116" s="3">
        <v>0.092</v>
      </c>
      <c r="AL116" s="3">
        <v>0.095</v>
      </c>
      <c r="AM116" s="3">
        <v>0.082</v>
      </c>
      <c r="AN116" s="3">
        <v>0.037</v>
      </c>
      <c r="AO116" s="3">
        <v>0.032</v>
      </c>
      <c r="AP116" s="3">
        <v>0.018</v>
      </c>
      <c r="AQ116" s="3">
        <v>0.015</v>
      </c>
      <c r="AR116" s="3">
        <v>0.01</v>
      </c>
      <c r="AS116" s="3">
        <v>0.013</v>
      </c>
      <c r="AT116" s="3">
        <v>0.008</v>
      </c>
      <c r="AU116" s="3">
        <v>27.372</v>
      </c>
    </row>
    <row r="117" ht="14.25" customHeight="1">
      <c r="A117" s="2" t="s">
        <v>93</v>
      </c>
      <c r="B117" s="3">
        <v>0.65</v>
      </c>
      <c r="C117" s="3">
        <v>0.65</v>
      </c>
      <c r="D117" s="3">
        <v>0.65</v>
      </c>
      <c r="E117" s="3">
        <v>0.65</v>
      </c>
      <c r="F117" s="3">
        <v>0.65</v>
      </c>
      <c r="G117" s="3">
        <v>0.65</v>
      </c>
      <c r="H117" s="3">
        <v>0.65</v>
      </c>
      <c r="I117" s="3">
        <v>0.505</v>
      </c>
      <c r="J117" s="3">
        <v>0.472</v>
      </c>
      <c r="K117" s="3">
        <v>0.482</v>
      </c>
      <c r="L117" s="3">
        <v>0.545</v>
      </c>
      <c r="M117" s="3">
        <v>0.648</v>
      </c>
      <c r="N117" s="3">
        <v>0.626</v>
      </c>
      <c r="O117" s="3">
        <v>0.634</v>
      </c>
      <c r="P117" s="3">
        <v>0.634</v>
      </c>
      <c r="Q117" s="3">
        <v>0.634</v>
      </c>
      <c r="R117" s="3">
        <v>0.586</v>
      </c>
      <c r="S117" s="3">
        <v>0.532</v>
      </c>
      <c r="T117" s="3">
        <v>0.532</v>
      </c>
      <c r="U117" s="3">
        <v>0.572</v>
      </c>
      <c r="V117" s="3">
        <v>0.576</v>
      </c>
      <c r="W117" s="3">
        <v>0.576</v>
      </c>
      <c r="X117" s="3">
        <v>0.576</v>
      </c>
      <c r="Y117" s="3">
        <v>0.576</v>
      </c>
      <c r="Z117" s="3">
        <v>0.576</v>
      </c>
      <c r="AA117" s="3">
        <v>0.576</v>
      </c>
      <c r="AB117" s="3">
        <v>0.576</v>
      </c>
      <c r="AC117" s="3">
        <v>0.584</v>
      </c>
      <c r="AD117" s="3">
        <v>0.584</v>
      </c>
      <c r="AE117" s="3">
        <v>0.552</v>
      </c>
      <c r="AF117" s="3">
        <v>0.655</v>
      </c>
      <c r="AG117" s="3">
        <v>0.653</v>
      </c>
      <c r="AH117" s="3">
        <v>0.664</v>
      </c>
      <c r="AI117" s="3">
        <v>0.651</v>
      </c>
      <c r="AJ117" s="3">
        <v>0.654</v>
      </c>
      <c r="AK117" s="3">
        <v>0.65</v>
      </c>
      <c r="AL117" s="3">
        <v>0.65</v>
      </c>
      <c r="AM117" s="3">
        <v>0.619</v>
      </c>
      <c r="AN117" s="3">
        <v>0.602</v>
      </c>
      <c r="AO117" s="3">
        <v>0.58</v>
      </c>
      <c r="AP117" s="3">
        <v>0.562</v>
      </c>
      <c r="AQ117" s="3">
        <v>0.619</v>
      </c>
      <c r="AR117" s="3">
        <v>0.579</v>
      </c>
      <c r="AS117" s="3">
        <v>0.615</v>
      </c>
      <c r="AT117" s="3">
        <v>0.625</v>
      </c>
      <c r="AU117" s="3">
        <v>52.269</v>
      </c>
    </row>
    <row r="118" ht="14.25" customHeight="1">
      <c r="A118" s="2" t="s">
        <v>475</v>
      </c>
      <c r="B118" s="3">
        <v>0.192</v>
      </c>
      <c r="C118" s="3">
        <v>0.192</v>
      </c>
      <c r="D118" s="3">
        <v>0.192</v>
      </c>
      <c r="E118" s="3">
        <v>0.192</v>
      </c>
      <c r="F118" s="3">
        <v>0.178</v>
      </c>
      <c r="G118" s="3">
        <v>0.178</v>
      </c>
      <c r="H118" s="3">
        <v>0.161</v>
      </c>
      <c r="I118" s="3">
        <v>0.161</v>
      </c>
      <c r="J118" s="3">
        <v>0.161</v>
      </c>
      <c r="K118" s="3">
        <v>0.161</v>
      </c>
      <c r="L118" s="3">
        <v>0.161</v>
      </c>
      <c r="M118" s="3">
        <v>0.161</v>
      </c>
      <c r="N118" s="3">
        <v>0.161</v>
      </c>
      <c r="O118" s="3">
        <v>0.161</v>
      </c>
      <c r="P118" s="3">
        <v>0.155</v>
      </c>
      <c r="Q118" s="3">
        <v>0.157</v>
      </c>
      <c r="R118" s="3">
        <v>0.157</v>
      </c>
      <c r="S118" s="3">
        <v>0.157</v>
      </c>
      <c r="T118" s="3">
        <v>0.171</v>
      </c>
      <c r="U118" s="3">
        <v>0.231</v>
      </c>
      <c r="V118" s="3">
        <v>0.231</v>
      </c>
      <c r="W118" s="3">
        <v>0.231</v>
      </c>
      <c r="X118" s="3">
        <v>0.231</v>
      </c>
      <c r="Y118" s="3">
        <v>0.231</v>
      </c>
      <c r="Z118" s="3">
        <v>0.231</v>
      </c>
      <c r="AA118" s="3">
        <v>0.231</v>
      </c>
      <c r="AB118" s="3">
        <v>0.231</v>
      </c>
      <c r="AC118" s="3">
        <v>0.24</v>
      </c>
      <c r="AD118" s="3">
        <v>0.244</v>
      </c>
      <c r="AE118" s="3">
        <v>0.244</v>
      </c>
      <c r="AF118" s="3">
        <v>0.229</v>
      </c>
      <c r="AG118" s="3">
        <v>0.227</v>
      </c>
      <c r="AH118" s="3">
        <v>0.227</v>
      </c>
      <c r="AI118" s="3">
        <v>0.251</v>
      </c>
      <c r="AJ118" s="3">
        <v>0.255</v>
      </c>
      <c r="AK118" s="3">
        <v>0.275</v>
      </c>
      <c r="AL118" s="3">
        <v>0.282</v>
      </c>
      <c r="AM118" s="3">
        <v>0.294</v>
      </c>
      <c r="AN118" s="3">
        <v>0.264</v>
      </c>
      <c r="AO118" s="3">
        <v>0.268</v>
      </c>
      <c r="AP118" s="3">
        <v>0.249</v>
      </c>
      <c r="AQ118" s="3">
        <v>0.226</v>
      </c>
      <c r="AR118" s="3">
        <v>0.242</v>
      </c>
      <c r="AS118" s="3">
        <v>0.245</v>
      </c>
      <c r="AT118" s="3">
        <v>0.243</v>
      </c>
      <c r="AU118" s="3">
        <v>20.484</v>
      </c>
    </row>
    <row r="119" ht="14.25" customHeight="1">
      <c r="A119" s="2" t="s">
        <v>476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>
        <v>0.678</v>
      </c>
      <c r="N119" s="3">
        <v>0.678</v>
      </c>
      <c r="O119" s="3">
        <v>0.63</v>
      </c>
      <c r="P119" s="3">
        <v>0.63</v>
      </c>
      <c r="Q119" s="3">
        <v>0.63</v>
      </c>
      <c r="R119" s="3">
        <v>0.625</v>
      </c>
      <c r="S119" s="3">
        <v>0.617</v>
      </c>
      <c r="T119" s="3">
        <v>0.637</v>
      </c>
      <c r="U119" s="3">
        <v>0.615</v>
      </c>
      <c r="V119" s="3">
        <v>0.581</v>
      </c>
      <c r="W119" s="3">
        <v>0.566</v>
      </c>
      <c r="X119" s="3">
        <v>0.602</v>
      </c>
      <c r="Y119" s="3">
        <v>0.614</v>
      </c>
      <c r="Z119" s="3">
        <v>0.627</v>
      </c>
      <c r="AA119" s="3">
        <v>0.617</v>
      </c>
      <c r="AB119" s="3">
        <v>0.613</v>
      </c>
      <c r="AC119" s="3">
        <v>0.597</v>
      </c>
      <c r="AD119" s="3">
        <v>0.541</v>
      </c>
      <c r="AE119" s="3">
        <v>0.522</v>
      </c>
      <c r="AF119" s="3">
        <v>0.491</v>
      </c>
      <c r="AG119" s="3">
        <v>0.447</v>
      </c>
      <c r="AH119" s="3">
        <v>0.411</v>
      </c>
      <c r="AI119" s="3">
        <v>0.35</v>
      </c>
      <c r="AJ119" s="3">
        <v>0.326</v>
      </c>
      <c r="AK119" s="3">
        <v>0.317</v>
      </c>
      <c r="AL119" s="3">
        <v>0.327</v>
      </c>
      <c r="AM119" s="3">
        <v>0.509</v>
      </c>
      <c r="AN119" s="3">
        <v>0.448</v>
      </c>
      <c r="AO119" s="3">
        <v>0.442</v>
      </c>
      <c r="AP119" s="3">
        <v>0.433</v>
      </c>
      <c r="AQ119" s="3">
        <v>0.382</v>
      </c>
      <c r="AR119" s="3">
        <v>0.39</v>
      </c>
      <c r="AS119" s="3">
        <v>0.348</v>
      </c>
      <c r="AT119" s="3">
        <v>0.368</v>
      </c>
      <c r="AU119" s="3">
        <v>17.609</v>
      </c>
    </row>
    <row r="120" ht="14.25" customHeight="1">
      <c r="A120" s="2" t="s">
        <v>94</v>
      </c>
      <c r="B120" s="3">
        <v>0.994</v>
      </c>
      <c r="C120" s="3">
        <v>0.994</v>
      </c>
      <c r="D120" s="3">
        <v>0.994</v>
      </c>
      <c r="E120" s="3">
        <v>0.994</v>
      </c>
      <c r="F120" s="3">
        <v>0.994</v>
      </c>
      <c r="G120" s="3">
        <v>0.994</v>
      </c>
      <c r="H120" s="3">
        <v>0.994</v>
      </c>
      <c r="I120" s="3">
        <v>0.994</v>
      </c>
      <c r="J120" s="3">
        <v>0.994</v>
      </c>
      <c r="K120" s="3">
        <v>0.994</v>
      </c>
      <c r="L120" s="3">
        <v>0.994</v>
      </c>
      <c r="M120" s="3">
        <v>0.994</v>
      </c>
      <c r="N120" s="3">
        <v>0.994</v>
      </c>
      <c r="O120" s="3">
        <v>0.994</v>
      </c>
      <c r="P120" s="3">
        <v>0.994</v>
      </c>
      <c r="Q120" s="3">
        <v>0.994</v>
      </c>
      <c r="R120" s="3">
        <v>0.994</v>
      </c>
      <c r="S120" s="3">
        <v>0.994</v>
      </c>
      <c r="T120" s="3">
        <v>0.994</v>
      </c>
      <c r="U120" s="3">
        <v>0.994</v>
      </c>
      <c r="V120" s="3">
        <v>0.994</v>
      </c>
      <c r="W120" s="3">
        <v>0.994</v>
      </c>
      <c r="X120" s="3">
        <v>0.994</v>
      </c>
      <c r="Y120" s="3">
        <v>0.994</v>
      </c>
      <c r="Z120" s="3">
        <v>0.994</v>
      </c>
      <c r="AA120" s="3">
        <v>0.994</v>
      </c>
      <c r="AB120" s="3">
        <v>0.994</v>
      </c>
      <c r="AC120" s="3">
        <v>0.994</v>
      </c>
      <c r="AD120" s="3">
        <v>0.994</v>
      </c>
      <c r="AE120" s="3">
        <v>0.994</v>
      </c>
      <c r="AF120" s="3">
        <v>0.994</v>
      </c>
      <c r="AG120" s="3">
        <v>0.994</v>
      </c>
      <c r="AH120" s="3">
        <v>0.994</v>
      </c>
      <c r="AI120" s="3">
        <v>0.994</v>
      </c>
      <c r="AJ120" s="3">
        <v>0.995</v>
      </c>
      <c r="AK120" s="3">
        <v>0.995</v>
      </c>
      <c r="AL120" s="3">
        <v>0.995</v>
      </c>
      <c r="AM120" s="3">
        <v>0.993</v>
      </c>
      <c r="AN120" s="3">
        <v>0.992</v>
      </c>
      <c r="AO120" s="3">
        <v>0.992</v>
      </c>
      <c r="AP120" s="3">
        <v>0.985</v>
      </c>
      <c r="AQ120" s="3">
        <v>0.985</v>
      </c>
      <c r="AR120" s="3">
        <v>0.982</v>
      </c>
      <c r="AS120" s="3">
        <v>0.982</v>
      </c>
      <c r="AT120" s="3">
        <v>0.985</v>
      </c>
      <c r="AU120" s="3">
        <v>220.696</v>
      </c>
    </row>
    <row r="121" ht="14.25" customHeight="1">
      <c r="A121" s="2" t="s">
        <v>477</v>
      </c>
      <c r="B121" s="3">
        <v>0.515</v>
      </c>
      <c r="C121" s="3">
        <v>0.515</v>
      </c>
      <c r="D121" s="3">
        <v>0.515</v>
      </c>
      <c r="E121" s="3">
        <v>0.512</v>
      </c>
      <c r="F121" s="3">
        <v>0.512</v>
      </c>
      <c r="G121" s="3">
        <v>0.512</v>
      </c>
      <c r="H121" s="3">
        <v>0.523</v>
      </c>
      <c r="I121" s="3">
        <v>0.523</v>
      </c>
      <c r="J121" s="3">
        <v>0.523</v>
      </c>
      <c r="K121" s="3">
        <v>0.523</v>
      </c>
      <c r="L121" s="3">
        <v>0.523</v>
      </c>
      <c r="M121" s="3">
        <v>0.52</v>
      </c>
      <c r="N121" s="3">
        <v>0.52</v>
      </c>
      <c r="O121" s="3">
        <v>0.52</v>
      </c>
      <c r="P121" s="3">
        <v>0.52</v>
      </c>
      <c r="Q121" s="3">
        <v>0.525</v>
      </c>
      <c r="R121" s="3">
        <v>0.557</v>
      </c>
      <c r="S121" s="3">
        <v>0.558</v>
      </c>
      <c r="T121" s="3">
        <v>0.558</v>
      </c>
      <c r="U121" s="3">
        <v>0.57</v>
      </c>
      <c r="V121" s="3">
        <v>0.619</v>
      </c>
      <c r="W121" s="3">
        <v>0.63</v>
      </c>
      <c r="X121" s="3">
        <v>0.63</v>
      </c>
      <c r="Y121" s="3">
        <v>0.618</v>
      </c>
      <c r="Z121" s="3">
        <v>0.618</v>
      </c>
      <c r="AA121" s="3">
        <v>0.618</v>
      </c>
      <c r="AB121" s="3">
        <v>0.625</v>
      </c>
      <c r="AC121" s="3">
        <v>0.629</v>
      </c>
      <c r="AD121" s="3">
        <v>0.629</v>
      </c>
      <c r="AE121" s="3">
        <v>0.63</v>
      </c>
      <c r="AF121" s="3">
        <v>0.626</v>
      </c>
      <c r="AG121" s="3">
        <v>0.639</v>
      </c>
      <c r="AH121" s="3">
        <v>0.639</v>
      </c>
      <c r="AI121" s="3">
        <v>0.639</v>
      </c>
      <c r="AJ121" s="3">
        <v>0.645</v>
      </c>
      <c r="AK121" s="3">
        <v>0.645</v>
      </c>
      <c r="AL121" s="3">
        <v>0.645</v>
      </c>
      <c r="AM121" s="3">
        <v>0.622</v>
      </c>
      <c r="AN121" s="3">
        <v>0.622</v>
      </c>
      <c r="AO121" s="3">
        <v>0.623</v>
      </c>
      <c r="AP121" s="3">
        <v>0.629</v>
      </c>
      <c r="AQ121" s="3">
        <v>0.624</v>
      </c>
      <c r="AR121" s="3">
        <v>0.622</v>
      </c>
      <c r="AS121" s="3">
        <v>0.622</v>
      </c>
      <c r="AT121" s="3">
        <v>0.622</v>
      </c>
      <c r="AU121" s="3">
        <v>74.8860000000001</v>
      </c>
    </row>
    <row r="122" ht="14.25" customHeight="1">
      <c r="A122" s="2" t="s">
        <v>95</v>
      </c>
      <c r="B122" s="3">
        <v>0.309</v>
      </c>
      <c r="C122" s="3">
        <v>0.309</v>
      </c>
      <c r="D122" s="3">
        <v>0.309</v>
      </c>
      <c r="E122" s="3">
        <v>0.309</v>
      </c>
      <c r="F122" s="3">
        <v>0.309</v>
      </c>
      <c r="G122" s="3">
        <v>0.328</v>
      </c>
      <c r="H122" s="3">
        <v>0.328</v>
      </c>
      <c r="I122" s="3">
        <v>0.328</v>
      </c>
      <c r="J122" s="3">
        <v>0.274</v>
      </c>
      <c r="K122" s="3">
        <v>0.273</v>
      </c>
      <c r="L122" s="3">
        <v>0.257</v>
      </c>
      <c r="M122" s="3">
        <v>0.257</v>
      </c>
      <c r="N122" s="3">
        <v>0.257</v>
      </c>
      <c r="O122" s="3">
        <v>0.267</v>
      </c>
      <c r="P122" s="3">
        <v>0.263</v>
      </c>
      <c r="Q122" s="3">
        <v>0.263</v>
      </c>
      <c r="R122" s="3">
        <v>0.263</v>
      </c>
      <c r="S122" s="3">
        <v>0.234</v>
      </c>
      <c r="T122" s="3">
        <v>0.236</v>
      </c>
      <c r="U122" s="3">
        <v>0.205</v>
      </c>
      <c r="V122" s="3">
        <v>0.256</v>
      </c>
      <c r="W122" s="3">
        <v>0.253</v>
      </c>
      <c r="X122" s="3">
        <v>0.216</v>
      </c>
      <c r="Y122" s="3">
        <v>0.219</v>
      </c>
      <c r="Z122" s="3">
        <v>0.242</v>
      </c>
      <c r="AA122" s="3">
        <v>0.23</v>
      </c>
      <c r="AB122" s="3">
        <v>0.231</v>
      </c>
      <c r="AC122" s="3">
        <v>0.232</v>
      </c>
      <c r="AD122" s="3">
        <v>0.177</v>
      </c>
      <c r="AE122" s="3">
        <v>0.216</v>
      </c>
      <c r="AF122" s="3">
        <v>0.228</v>
      </c>
      <c r="AG122" s="3">
        <v>0.232</v>
      </c>
      <c r="AH122" s="3">
        <v>0.222</v>
      </c>
      <c r="AI122" s="3">
        <v>0.253</v>
      </c>
      <c r="AJ122" s="3">
        <v>0.273</v>
      </c>
      <c r="AK122" s="3">
        <v>0.266</v>
      </c>
      <c r="AL122" s="3">
        <v>0.265</v>
      </c>
      <c r="AM122" s="3">
        <v>0.248</v>
      </c>
      <c r="AN122" s="3">
        <v>0.264</v>
      </c>
      <c r="AO122" s="3">
        <v>0.242</v>
      </c>
      <c r="AP122" s="3">
        <v>0.27</v>
      </c>
      <c r="AQ122" s="3">
        <v>0.269</v>
      </c>
      <c r="AR122" s="3">
        <v>0.232</v>
      </c>
      <c r="AS122" s="3">
        <v>0.214</v>
      </c>
      <c r="AT122" s="3">
        <v>0.306</v>
      </c>
      <c r="AU122" s="3">
        <v>26.823</v>
      </c>
    </row>
    <row r="123" ht="14.25" customHeight="1">
      <c r="A123" s="2" t="s">
        <v>96</v>
      </c>
      <c r="B123" s="3">
        <v>0.251</v>
      </c>
      <c r="C123" s="3">
        <v>0.214</v>
      </c>
      <c r="D123" s="3">
        <v>0.135</v>
      </c>
      <c r="E123" s="3">
        <v>0.162</v>
      </c>
      <c r="F123" s="3">
        <v>0.173</v>
      </c>
      <c r="G123" s="3">
        <v>0.173</v>
      </c>
      <c r="H123" s="3">
        <v>0.162</v>
      </c>
      <c r="I123" s="3">
        <v>0.162</v>
      </c>
      <c r="J123" s="3">
        <v>0.162</v>
      </c>
      <c r="K123" s="3">
        <v>0.162</v>
      </c>
      <c r="L123" s="3">
        <v>0.49</v>
      </c>
      <c r="M123" s="3">
        <v>0.577</v>
      </c>
      <c r="N123" s="3">
        <v>0.577</v>
      </c>
      <c r="O123" s="3">
        <v>0.577</v>
      </c>
      <c r="P123" s="3">
        <v>0.59</v>
      </c>
      <c r="Q123" s="3">
        <v>0.59</v>
      </c>
      <c r="R123" s="3">
        <v>0.59</v>
      </c>
      <c r="S123" s="3">
        <v>0.59</v>
      </c>
      <c r="T123" s="3">
        <v>0.59</v>
      </c>
      <c r="U123" s="3">
        <v>0.59</v>
      </c>
      <c r="V123" s="3">
        <v>0.59</v>
      </c>
      <c r="W123" s="3">
        <v>0.59</v>
      </c>
      <c r="X123" s="3">
        <v>0.59</v>
      </c>
      <c r="Y123" s="3">
        <v>0.59</v>
      </c>
      <c r="Z123" s="3">
        <v>0.607</v>
      </c>
      <c r="AA123" s="3">
        <v>0.604</v>
      </c>
      <c r="AB123" s="3">
        <v>0.604</v>
      </c>
      <c r="AC123" s="3">
        <v>0.604</v>
      </c>
      <c r="AD123" s="3">
        <v>0.604</v>
      </c>
      <c r="AE123" s="3">
        <v>0.604</v>
      </c>
      <c r="AF123" s="3">
        <v>0.604</v>
      </c>
      <c r="AG123" s="3">
        <v>0.604</v>
      </c>
      <c r="AH123" s="3">
        <v>0.604</v>
      </c>
      <c r="AI123" s="3">
        <v>0.603</v>
      </c>
      <c r="AJ123" s="3">
        <v>0.603</v>
      </c>
      <c r="AK123" s="3">
        <v>0.603</v>
      </c>
      <c r="AL123" s="3">
        <v>0.603</v>
      </c>
      <c r="AM123" s="3">
        <v>0.617</v>
      </c>
      <c r="AN123" s="3">
        <v>0.616</v>
      </c>
      <c r="AO123" s="3">
        <v>0.617</v>
      </c>
      <c r="AP123" s="3">
        <v>0.625</v>
      </c>
      <c r="AQ123" s="3">
        <v>0.638</v>
      </c>
      <c r="AR123" s="3">
        <v>0.654</v>
      </c>
      <c r="AS123" s="3">
        <v>0.653</v>
      </c>
      <c r="AT123" s="3">
        <v>0.688</v>
      </c>
      <c r="AU123" s="3">
        <v>51.346</v>
      </c>
    </row>
    <row r="124" ht="14.25" customHeight="1">
      <c r="A124" s="2" t="s">
        <v>478</v>
      </c>
      <c r="B124" s="3">
        <v>0.547</v>
      </c>
      <c r="C124" s="3">
        <v>0.547</v>
      </c>
      <c r="D124" s="3">
        <v>0.547</v>
      </c>
      <c r="E124" s="3">
        <v>0.547</v>
      </c>
      <c r="F124" s="3">
        <v>0.547</v>
      </c>
      <c r="G124" s="3">
        <v>0.547</v>
      </c>
      <c r="H124" s="3">
        <v>0.547</v>
      </c>
      <c r="I124" s="3">
        <v>0.547</v>
      </c>
      <c r="J124" s="3">
        <v>0.547</v>
      </c>
      <c r="K124" s="3">
        <v>0.547</v>
      </c>
      <c r="L124" s="3">
        <v>0.547</v>
      </c>
      <c r="M124" s="3">
        <v>0.547</v>
      </c>
      <c r="N124" s="3">
        <v>0.547</v>
      </c>
      <c r="O124" s="3">
        <v>0.547</v>
      </c>
      <c r="P124" s="3">
        <v>0.547</v>
      </c>
      <c r="Q124" s="3">
        <v>0.547</v>
      </c>
      <c r="R124" s="3">
        <v>0.547</v>
      </c>
      <c r="S124" s="3">
        <v>0.547</v>
      </c>
      <c r="T124" s="3">
        <v>0.547</v>
      </c>
      <c r="U124" s="3">
        <v>0.547</v>
      </c>
      <c r="V124" s="3">
        <v>0.547</v>
      </c>
      <c r="W124" s="3">
        <v>0.547</v>
      </c>
      <c r="X124" s="3">
        <v>0.547</v>
      </c>
      <c r="Y124" s="3">
        <v>0.547</v>
      </c>
      <c r="Z124" s="3">
        <v>0.547</v>
      </c>
      <c r="AA124" s="3">
        <v>0.547</v>
      </c>
      <c r="AB124" s="3">
        <v>0.547</v>
      </c>
      <c r="AC124" s="3">
        <v>0.547</v>
      </c>
      <c r="AD124" s="3">
        <v>0.547</v>
      </c>
      <c r="AE124" s="3">
        <v>0.547</v>
      </c>
      <c r="AF124" s="3">
        <v>0.519</v>
      </c>
      <c r="AG124" s="3">
        <v>0.486</v>
      </c>
      <c r="AH124" s="3">
        <v>0.472</v>
      </c>
      <c r="AI124" s="3">
        <v>0.472</v>
      </c>
      <c r="AJ124" s="3">
        <v>0.464</v>
      </c>
      <c r="AK124" s="3">
        <v>0.464</v>
      </c>
      <c r="AL124" s="3">
        <v>0.464</v>
      </c>
      <c r="AM124" s="3">
        <v>0.46</v>
      </c>
      <c r="AN124" s="3">
        <v>0.464</v>
      </c>
      <c r="AO124" s="3">
        <v>0.464</v>
      </c>
      <c r="AP124" s="3">
        <v>0.5</v>
      </c>
      <c r="AQ124" s="3">
        <v>0.438</v>
      </c>
      <c r="AR124" s="3">
        <v>0.439</v>
      </c>
      <c r="AS124" s="3">
        <v>0.387</v>
      </c>
      <c r="AT124" s="3">
        <v>0.429</v>
      </c>
      <c r="AU124" s="3">
        <v>54.8409999999999</v>
      </c>
    </row>
    <row r="125" ht="14.25" customHeight="1">
      <c r="A125" s="2" t="s">
        <v>97</v>
      </c>
      <c r="B125" s="3">
        <v>0.034</v>
      </c>
      <c r="C125" s="3">
        <v>0.034</v>
      </c>
      <c r="D125" s="3">
        <v>0.034</v>
      </c>
      <c r="E125" s="3">
        <v>0.033</v>
      </c>
      <c r="F125" s="3">
        <v>0.033</v>
      </c>
      <c r="G125" s="3">
        <v>0.033</v>
      </c>
      <c r="H125" s="3">
        <v>0.037</v>
      </c>
      <c r="I125" s="3">
        <v>0.038</v>
      </c>
      <c r="J125" s="3">
        <v>0.038</v>
      </c>
      <c r="K125" s="3">
        <v>0.047</v>
      </c>
      <c r="L125" s="3">
        <v>0.128</v>
      </c>
      <c r="M125" s="3">
        <v>0.128</v>
      </c>
      <c r="N125" s="3">
        <v>0.282</v>
      </c>
      <c r="O125" s="3">
        <v>0.293</v>
      </c>
      <c r="P125" s="3">
        <v>0.293</v>
      </c>
      <c r="Q125" s="3">
        <v>0.293</v>
      </c>
      <c r="R125" s="3">
        <v>0.293</v>
      </c>
      <c r="S125" s="3">
        <v>0.293</v>
      </c>
      <c r="T125" s="3">
        <v>0.293</v>
      </c>
      <c r="U125" s="3">
        <v>0.29</v>
      </c>
      <c r="V125" s="3">
        <v>0.328</v>
      </c>
      <c r="W125" s="3">
        <v>0.328</v>
      </c>
      <c r="X125" s="3">
        <v>0.328</v>
      </c>
      <c r="Y125" s="3">
        <v>0.384</v>
      </c>
      <c r="Z125" s="3">
        <v>0.398</v>
      </c>
      <c r="AA125" s="3">
        <v>0.398</v>
      </c>
      <c r="AB125" s="3">
        <v>0.405</v>
      </c>
      <c r="AC125" s="3">
        <v>0.425</v>
      </c>
      <c r="AD125" s="3">
        <v>0.513</v>
      </c>
      <c r="AE125" s="3">
        <v>0.513</v>
      </c>
      <c r="AF125" s="3">
        <v>0.513</v>
      </c>
      <c r="AG125" s="3">
        <v>0.513</v>
      </c>
      <c r="AH125" s="3">
        <v>0.461</v>
      </c>
      <c r="AI125" s="3">
        <v>0.381</v>
      </c>
      <c r="AJ125" s="3">
        <v>0.407</v>
      </c>
      <c r="AK125" s="3">
        <v>0.385</v>
      </c>
      <c r="AL125" s="3">
        <v>0.38</v>
      </c>
      <c r="AM125" s="3">
        <v>0.373</v>
      </c>
      <c r="AN125" s="3">
        <v>0.418</v>
      </c>
      <c r="AO125" s="3">
        <v>0.42</v>
      </c>
      <c r="AP125" s="3">
        <v>0.432</v>
      </c>
      <c r="AQ125" s="3">
        <v>0.463</v>
      </c>
      <c r="AR125" s="3">
        <v>0.475</v>
      </c>
      <c r="AS125" s="3">
        <v>0.466</v>
      </c>
      <c r="AT125" s="3">
        <v>0.436</v>
      </c>
      <c r="AU125" s="3">
        <v>30.587</v>
      </c>
    </row>
    <row r="126" ht="14.25" customHeight="1">
      <c r="A126" s="2" t="s">
        <v>98</v>
      </c>
      <c r="B126" s="3">
        <v>0.426</v>
      </c>
      <c r="C126" s="3">
        <v>0.688</v>
      </c>
      <c r="D126" s="3">
        <v>0.688</v>
      </c>
      <c r="E126" s="3">
        <v>0.7</v>
      </c>
      <c r="F126" s="3">
        <v>0.7</v>
      </c>
      <c r="G126" s="3">
        <v>0.618</v>
      </c>
      <c r="H126" s="3">
        <v>0.563</v>
      </c>
      <c r="I126" s="3">
        <v>0.563</v>
      </c>
      <c r="J126" s="3">
        <v>0.563</v>
      </c>
      <c r="K126" s="3">
        <v>0.563</v>
      </c>
      <c r="L126" s="3">
        <v>0.436</v>
      </c>
      <c r="M126" s="3">
        <v>0.451</v>
      </c>
      <c r="N126" s="3">
        <v>0.302</v>
      </c>
      <c r="O126" s="3">
        <v>0.167</v>
      </c>
      <c r="P126" s="3">
        <v>0.167</v>
      </c>
      <c r="Q126" s="3">
        <v>0.167</v>
      </c>
      <c r="R126" s="3">
        <v>0.173</v>
      </c>
      <c r="S126" s="3">
        <v>0.163</v>
      </c>
      <c r="T126" s="3">
        <v>0.165</v>
      </c>
      <c r="U126" s="3">
        <v>0.165</v>
      </c>
      <c r="V126" s="3">
        <v>0.228</v>
      </c>
      <c r="W126" s="3">
        <v>0.743</v>
      </c>
      <c r="X126" s="3">
        <v>0.723</v>
      </c>
      <c r="Y126" s="3">
        <v>0.723</v>
      </c>
      <c r="Z126" s="3">
        <v>0.723</v>
      </c>
      <c r="AA126" s="3">
        <v>0.747</v>
      </c>
      <c r="AB126" s="3">
        <v>0.725</v>
      </c>
      <c r="AC126" s="3">
        <v>0.716</v>
      </c>
      <c r="AD126" s="3">
        <v>0.716</v>
      </c>
      <c r="AE126" s="3">
        <v>0.716</v>
      </c>
      <c r="AF126" s="3">
        <v>0.718</v>
      </c>
      <c r="AG126" s="3">
        <v>0.753</v>
      </c>
      <c r="AH126" s="3">
        <v>0.762</v>
      </c>
      <c r="AI126" s="3">
        <v>0.726</v>
      </c>
      <c r="AJ126" s="3">
        <v>0.726</v>
      </c>
      <c r="AK126" s="3">
        <v>0.749</v>
      </c>
      <c r="AL126" s="3">
        <v>0.748</v>
      </c>
      <c r="AM126" s="3">
        <v>0.749</v>
      </c>
      <c r="AN126" s="3">
        <v>0.77</v>
      </c>
      <c r="AO126" s="3">
        <v>0.759</v>
      </c>
      <c r="AP126" s="3">
        <v>0.765</v>
      </c>
      <c r="AQ126" s="3">
        <v>0.754</v>
      </c>
      <c r="AR126" s="3">
        <v>0.657</v>
      </c>
      <c r="AS126" s="3">
        <v>0.701</v>
      </c>
      <c r="AT126" s="3">
        <v>0.623</v>
      </c>
      <c r="AU126" s="3">
        <v>72.037</v>
      </c>
    </row>
    <row r="127" ht="14.25" customHeight="1">
      <c r="A127" s="2" t="s">
        <v>99</v>
      </c>
      <c r="B127" s="3">
        <v>0.108</v>
      </c>
      <c r="C127" s="3">
        <v>0.108</v>
      </c>
      <c r="D127" s="3">
        <v>0.108</v>
      </c>
      <c r="E127" s="3">
        <v>0.108</v>
      </c>
      <c r="F127" s="3">
        <v>0.108</v>
      </c>
      <c r="G127" s="3">
        <v>0.108</v>
      </c>
      <c r="H127" s="3">
        <v>0.346</v>
      </c>
      <c r="I127" s="3">
        <v>0.533</v>
      </c>
      <c r="J127" s="3">
        <v>0.525</v>
      </c>
      <c r="K127" s="3">
        <v>0.525</v>
      </c>
      <c r="L127" s="3">
        <v>0.525</v>
      </c>
      <c r="M127" s="3">
        <v>0.554</v>
      </c>
      <c r="N127" s="3">
        <v>0.575</v>
      </c>
      <c r="O127" s="3">
        <v>0.553</v>
      </c>
      <c r="P127" s="3">
        <v>0.553</v>
      </c>
      <c r="Q127" s="3">
        <v>0.553</v>
      </c>
      <c r="R127" s="3">
        <v>0.553</v>
      </c>
      <c r="S127" s="3">
        <v>0.553</v>
      </c>
      <c r="T127" s="3">
        <v>0.524</v>
      </c>
      <c r="U127" s="3">
        <v>0.51</v>
      </c>
      <c r="V127" s="3">
        <v>0.492</v>
      </c>
      <c r="W127" s="3">
        <v>0.495</v>
      </c>
      <c r="X127" s="3">
        <v>0.51</v>
      </c>
      <c r="Y127" s="3">
        <v>0.51</v>
      </c>
      <c r="Z127" s="3">
        <v>0.456</v>
      </c>
      <c r="AA127" s="3">
        <v>0.457</v>
      </c>
      <c r="AB127" s="3">
        <v>0.462</v>
      </c>
      <c r="AC127" s="3">
        <v>0.459</v>
      </c>
      <c r="AD127" s="3">
        <v>0.459</v>
      </c>
      <c r="AE127" s="3">
        <v>0.459</v>
      </c>
      <c r="AF127" s="3">
        <v>0.579</v>
      </c>
      <c r="AG127" s="3">
        <v>0.602</v>
      </c>
      <c r="AH127" s="3">
        <v>0.602</v>
      </c>
      <c r="AI127" s="3">
        <v>0.584</v>
      </c>
      <c r="AJ127" s="3">
        <v>0.584</v>
      </c>
      <c r="AK127" s="3">
        <v>0.587</v>
      </c>
      <c r="AL127" s="3">
        <v>0.53</v>
      </c>
      <c r="AM127" s="3">
        <v>0.466</v>
      </c>
      <c r="AN127" s="3">
        <v>0.45</v>
      </c>
      <c r="AO127" s="3">
        <v>0.43</v>
      </c>
      <c r="AP127" s="3">
        <v>0.413</v>
      </c>
      <c r="AQ127" s="3">
        <v>0.413</v>
      </c>
      <c r="AR127" s="3">
        <v>0.386</v>
      </c>
      <c r="AS127" s="3">
        <v>0.375</v>
      </c>
      <c r="AT127" s="3">
        <v>0.376</v>
      </c>
      <c r="AU127" s="3">
        <v>51.776</v>
      </c>
    </row>
    <row r="128" ht="14.25" customHeight="1">
      <c r="A128" s="2" t="s">
        <v>100</v>
      </c>
      <c r="B128" s="3">
        <v>0.641</v>
      </c>
      <c r="C128" s="3">
        <v>0.642</v>
      </c>
      <c r="D128" s="3">
        <v>0.67</v>
      </c>
      <c r="E128" s="3">
        <v>0.655</v>
      </c>
      <c r="F128" s="3">
        <v>0.648</v>
      </c>
      <c r="G128" s="3">
        <v>0.649</v>
      </c>
      <c r="H128" s="3">
        <v>0.649</v>
      </c>
      <c r="I128" s="3">
        <v>0.672</v>
      </c>
      <c r="J128" s="3">
        <v>0.672</v>
      </c>
      <c r="K128" s="3">
        <v>0.846</v>
      </c>
      <c r="L128" s="3">
        <v>0.942</v>
      </c>
      <c r="M128" s="3">
        <v>0.942</v>
      </c>
      <c r="N128" s="3">
        <v>0.942</v>
      </c>
      <c r="O128" s="3">
        <v>0.95</v>
      </c>
      <c r="P128" s="3">
        <v>0.95</v>
      </c>
      <c r="Q128" s="3">
        <v>0.95</v>
      </c>
      <c r="R128" s="3">
        <v>0.95</v>
      </c>
      <c r="S128" s="3">
        <v>0.95</v>
      </c>
      <c r="T128" s="3">
        <v>0.954</v>
      </c>
      <c r="U128" s="3">
        <v>0.954</v>
      </c>
      <c r="V128" s="3">
        <v>0.954</v>
      </c>
      <c r="W128" s="3">
        <v>0.954</v>
      </c>
      <c r="X128" s="3">
        <v>0.954</v>
      </c>
      <c r="Y128" s="3">
        <v>0.954</v>
      </c>
      <c r="Z128" s="3">
        <v>0.954</v>
      </c>
      <c r="AA128" s="3">
        <v>0.954</v>
      </c>
      <c r="AB128" s="3">
        <v>0.952</v>
      </c>
      <c r="AC128" s="3">
        <v>0.953</v>
      </c>
      <c r="AD128" s="3">
        <v>0.959</v>
      </c>
      <c r="AE128" s="3">
        <v>0.959</v>
      </c>
      <c r="AF128" s="3">
        <v>0.961</v>
      </c>
      <c r="AG128" s="3">
        <v>0.959</v>
      </c>
      <c r="AH128" s="3">
        <v>0.959</v>
      </c>
      <c r="AI128" s="3">
        <v>0.952</v>
      </c>
      <c r="AJ128" s="3">
        <v>0.944</v>
      </c>
      <c r="AK128" s="3">
        <v>0.923</v>
      </c>
      <c r="AL128" s="3">
        <v>0.866</v>
      </c>
      <c r="AM128" s="3">
        <v>0.829</v>
      </c>
      <c r="AN128" s="3">
        <v>0.79</v>
      </c>
      <c r="AO128" s="3">
        <v>0.782</v>
      </c>
      <c r="AP128" s="3">
        <v>0.765</v>
      </c>
      <c r="AQ128" s="3">
        <v>0.744</v>
      </c>
      <c r="AR128" s="3">
        <v>0.743</v>
      </c>
      <c r="AS128" s="3">
        <v>0.759</v>
      </c>
      <c r="AT128" s="3">
        <v>0.878</v>
      </c>
      <c r="AU128" s="3">
        <v>92.654</v>
      </c>
    </row>
    <row r="129" ht="14.25" customHeight="1">
      <c r="A129" s="2" t="s">
        <v>101</v>
      </c>
      <c r="B129" s="3">
        <v>0.946</v>
      </c>
      <c r="C129" s="3">
        <v>0.946</v>
      </c>
      <c r="D129" s="3">
        <v>0.946</v>
      </c>
      <c r="E129" s="3">
        <v>0.955</v>
      </c>
      <c r="F129" s="3">
        <v>0.955</v>
      </c>
      <c r="G129" s="3">
        <v>0.955</v>
      </c>
      <c r="H129" s="3">
        <v>0.958</v>
      </c>
      <c r="I129" s="3">
        <v>0.958</v>
      </c>
      <c r="J129" s="3">
        <v>0.958</v>
      </c>
      <c r="K129" s="3">
        <v>0.958</v>
      </c>
      <c r="L129" s="3">
        <v>0.958</v>
      </c>
      <c r="M129" s="3">
        <v>0.958</v>
      </c>
      <c r="N129" s="3">
        <v>0.959</v>
      </c>
      <c r="O129" s="3">
        <v>0.959</v>
      </c>
      <c r="P129" s="3">
        <v>0.959</v>
      </c>
      <c r="Q129" s="3">
        <v>0.959</v>
      </c>
      <c r="R129" s="3">
        <v>0.962</v>
      </c>
      <c r="S129" s="3">
        <v>0.964</v>
      </c>
      <c r="T129" s="3">
        <v>0.964</v>
      </c>
      <c r="U129" s="3">
        <v>0.964</v>
      </c>
      <c r="V129" s="3">
        <v>0.964</v>
      </c>
      <c r="W129" s="3">
        <v>0.964</v>
      </c>
      <c r="X129" s="3">
        <v>0.964</v>
      </c>
      <c r="Y129" s="3">
        <v>0.964</v>
      </c>
      <c r="Z129" s="3">
        <v>0.964</v>
      </c>
      <c r="AA129" s="3">
        <v>0.957</v>
      </c>
      <c r="AB129" s="3">
        <v>0.956</v>
      </c>
      <c r="AC129" s="3">
        <v>0.956</v>
      </c>
      <c r="AD129" s="3">
        <v>0.956</v>
      </c>
      <c r="AE129" s="3">
        <v>0.954</v>
      </c>
      <c r="AF129" s="3">
        <v>0.952</v>
      </c>
      <c r="AG129" s="3">
        <v>0.954</v>
      </c>
      <c r="AH129" s="3">
        <v>0.956</v>
      </c>
      <c r="AI129" s="3">
        <v>0.949</v>
      </c>
      <c r="AJ129" s="3">
        <v>0.949</v>
      </c>
      <c r="AK129" s="3">
        <v>0.963</v>
      </c>
      <c r="AL129" s="3">
        <v>0.955</v>
      </c>
      <c r="AM129" s="3">
        <v>0.967</v>
      </c>
      <c r="AN129" s="3">
        <v>0.963</v>
      </c>
      <c r="AO129" s="3">
        <v>0.966</v>
      </c>
      <c r="AP129" s="3">
        <v>0.923</v>
      </c>
      <c r="AQ129" s="3">
        <v>0.923</v>
      </c>
      <c r="AR129" s="3">
        <v>0.93</v>
      </c>
      <c r="AS129" s="3">
        <v>0.909</v>
      </c>
      <c r="AT129" s="3">
        <v>0.911</v>
      </c>
      <c r="AU129" s="3">
        <v>133.027</v>
      </c>
    </row>
    <row r="130" ht="14.25" customHeight="1">
      <c r="A130" s="2" t="s">
        <v>479</v>
      </c>
      <c r="B130" s="3">
        <v>0.404</v>
      </c>
      <c r="C130" s="3">
        <v>0.404</v>
      </c>
      <c r="D130" s="3">
        <v>0.418</v>
      </c>
      <c r="E130" s="3">
        <v>0.418</v>
      </c>
      <c r="F130" s="3">
        <v>0.418</v>
      </c>
      <c r="G130" s="3">
        <v>0.418</v>
      </c>
      <c r="H130" s="3">
        <v>0.418</v>
      </c>
      <c r="I130" s="3">
        <v>0.418</v>
      </c>
      <c r="J130" s="3">
        <v>0.418</v>
      </c>
      <c r="K130" s="3">
        <v>0.419</v>
      </c>
      <c r="L130" s="3">
        <v>0.482</v>
      </c>
      <c r="M130" s="3">
        <v>0.482</v>
      </c>
      <c r="N130" s="3">
        <v>0.482</v>
      </c>
      <c r="O130" s="3">
        <v>0.472</v>
      </c>
      <c r="P130" s="3">
        <v>0.472</v>
      </c>
      <c r="Q130" s="3">
        <v>0.488</v>
      </c>
      <c r="R130" s="3">
        <v>0.51</v>
      </c>
      <c r="S130" s="3">
        <v>0.519</v>
      </c>
      <c r="T130" s="3">
        <v>0.519</v>
      </c>
      <c r="U130" s="3">
        <v>0.519</v>
      </c>
      <c r="V130" s="3">
        <v>0.512</v>
      </c>
      <c r="W130" s="3">
        <v>0.508</v>
      </c>
      <c r="X130" s="3">
        <v>0.508</v>
      </c>
      <c r="Y130" s="3">
        <v>0.542</v>
      </c>
      <c r="Z130" s="3">
        <v>0.564</v>
      </c>
      <c r="AA130" s="3">
        <v>0.564</v>
      </c>
      <c r="AB130" s="3">
        <v>0.557</v>
      </c>
      <c r="AC130" s="3">
        <v>0.557</v>
      </c>
      <c r="AD130" s="3">
        <v>0.557</v>
      </c>
      <c r="AE130" s="3">
        <v>0.561</v>
      </c>
      <c r="AF130" s="3">
        <v>0.565</v>
      </c>
      <c r="AG130" s="3">
        <v>0.565</v>
      </c>
      <c r="AH130" s="3">
        <v>0.563</v>
      </c>
      <c r="AI130" s="3">
        <v>0.546</v>
      </c>
      <c r="AJ130" s="3">
        <v>0.546</v>
      </c>
      <c r="AK130" s="3">
        <v>0.546</v>
      </c>
      <c r="AL130" s="3">
        <v>0.546</v>
      </c>
      <c r="AM130" s="3">
        <v>0.535</v>
      </c>
      <c r="AN130" s="3">
        <v>0.549</v>
      </c>
      <c r="AO130" s="3">
        <v>0.533</v>
      </c>
      <c r="AP130" s="3">
        <v>0.537</v>
      </c>
      <c r="AQ130" s="3">
        <v>0.507</v>
      </c>
      <c r="AR130" s="3">
        <v>0.508</v>
      </c>
      <c r="AS130" s="3">
        <v>0.523</v>
      </c>
      <c r="AT130" s="3">
        <v>0.484</v>
      </c>
      <c r="AU130" s="3">
        <v>37.374</v>
      </c>
    </row>
    <row r="131" ht="14.25" customHeight="1">
      <c r="A131" s="2" t="s">
        <v>102</v>
      </c>
      <c r="B131" s="3">
        <v>0.212</v>
      </c>
      <c r="C131" s="3">
        <v>0.212</v>
      </c>
      <c r="D131" s="3">
        <v>0.212</v>
      </c>
      <c r="E131" s="3">
        <v>0.212</v>
      </c>
      <c r="F131" s="3">
        <v>0.212</v>
      </c>
      <c r="G131" s="3">
        <v>0.212</v>
      </c>
      <c r="H131" s="3">
        <v>0.212</v>
      </c>
      <c r="I131" s="3">
        <v>0.212</v>
      </c>
      <c r="J131" s="3">
        <v>0.212</v>
      </c>
      <c r="K131" s="3">
        <v>0.185</v>
      </c>
      <c r="L131" s="3">
        <v>0.36</v>
      </c>
      <c r="M131" s="3">
        <v>0.39</v>
      </c>
      <c r="N131" s="3">
        <v>0.417</v>
      </c>
      <c r="O131" s="3">
        <v>0.42</v>
      </c>
      <c r="P131" s="3">
        <v>0.42</v>
      </c>
      <c r="Q131" s="3">
        <v>0.42</v>
      </c>
      <c r="R131" s="3">
        <v>0.437</v>
      </c>
      <c r="S131" s="3">
        <v>0.437</v>
      </c>
      <c r="T131" s="3">
        <v>0.437</v>
      </c>
      <c r="U131" s="3">
        <v>0.43</v>
      </c>
      <c r="V131" s="3">
        <v>0.385</v>
      </c>
      <c r="W131" s="3">
        <v>0.389</v>
      </c>
      <c r="X131" s="3">
        <v>0.392</v>
      </c>
      <c r="Y131" s="3">
        <v>0.424</v>
      </c>
      <c r="Z131" s="3">
        <v>0.485</v>
      </c>
      <c r="AA131" s="3">
        <v>0.535</v>
      </c>
      <c r="AB131" s="3">
        <v>0.546</v>
      </c>
      <c r="AC131" s="3">
        <v>0.582</v>
      </c>
      <c r="AD131" s="3">
        <v>0.597</v>
      </c>
      <c r="AE131" s="3">
        <v>0.609</v>
      </c>
      <c r="AF131" s="3">
        <v>0.641</v>
      </c>
      <c r="AG131" s="3">
        <v>0.641</v>
      </c>
      <c r="AH131" s="3">
        <v>0.628</v>
      </c>
      <c r="AI131" s="3">
        <v>0.735</v>
      </c>
      <c r="AJ131" s="3">
        <v>0.767</v>
      </c>
      <c r="AK131" s="3">
        <v>0.791</v>
      </c>
      <c r="AL131" s="3">
        <v>0.87</v>
      </c>
      <c r="AM131" s="3">
        <v>0.655</v>
      </c>
      <c r="AN131" s="3">
        <v>0.531</v>
      </c>
      <c r="AO131" s="3">
        <v>0.624</v>
      </c>
      <c r="AP131" s="3">
        <v>0.745</v>
      </c>
      <c r="AQ131" s="3">
        <v>0.794</v>
      </c>
      <c r="AR131" s="3">
        <v>0.778</v>
      </c>
      <c r="AS131" s="3">
        <v>0.715</v>
      </c>
      <c r="AT131" s="3">
        <v>0.642</v>
      </c>
      <c r="AU131" s="3">
        <v>79.509</v>
      </c>
    </row>
    <row r="132" ht="14.25" customHeight="1">
      <c r="A132" s="2" t="s">
        <v>103</v>
      </c>
      <c r="B132" s="3">
        <v>0.168</v>
      </c>
      <c r="C132" s="3">
        <v>0.168</v>
      </c>
      <c r="D132" s="3">
        <v>0.168</v>
      </c>
      <c r="E132" s="3">
        <v>0.166</v>
      </c>
      <c r="F132" s="3">
        <v>0.166</v>
      </c>
      <c r="G132" s="3">
        <v>0.171</v>
      </c>
      <c r="H132" s="3">
        <v>0.166</v>
      </c>
      <c r="I132" s="3">
        <v>0.189</v>
      </c>
      <c r="J132" s="3">
        <v>0.196</v>
      </c>
      <c r="K132" s="3">
        <v>0.196</v>
      </c>
      <c r="L132" s="3">
        <v>0.198</v>
      </c>
      <c r="M132" s="3">
        <v>0.257</v>
      </c>
      <c r="N132" s="3">
        <v>0.284</v>
      </c>
      <c r="O132" s="3">
        <v>0.268</v>
      </c>
      <c r="P132" s="3">
        <v>0.269</v>
      </c>
      <c r="Q132" s="3">
        <v>0.269</v>
      </c>
      <c r="R132" s="3">
        <v>0.274</v>
      </c>
      <c r="S132" s="3">
        <v>0.264</v>
      </c>
      <c r="T132" s="3">
        <v>0.266</v>
      </c>
      <c r="U132" s="3">
        <v>0.259</v>
      </c>
      <c r="V132" s="3">
        <v>0.216</v>
      </c>
      <c r="W132" s="3">
        <v>0.207</v>
      </c>
      <c r="X132" s="3">
        <v>0.201</v>
      </c>
      <c r="Y132" s="3">
        <v>0.188</v>
      </c>
      <c r="Z132" s="3">
        <v>0.235</v>
      </c>
      <c r="AA132" s="3">
        <v>0.242</v>
      </c>
      <c r="AB132" s="3">
        <v>0.24</v>
      </c>
      <c r="AC132" s="3">
        <v>0.242</v>
      </c>
      <c r="AD132" s="3">
        <v>0.241</v>
      </c>
      <c r="AE132" s="3">
        <v>0.241</v>
      </c>
      <c r="AF132" s="3">
        <v>0.231</v>
      </c>
      <c r="AG132" s="3">
        <v>0.23</v>
      </c>
      <c r="AH132" s="3">
        <v>0.211</v>
      </c>
      <c r="AI132" s="3">
        <v>0.202</v>
      </c>
      <c r="AJ132" s="3">
        <v>0.198</v>
      </c>
      <c r="AK132" s="3">
        <v>0.201</v>
      </c>
      <c r="AL132" s="3">
        <v>0.196</v>
      </c>
      <c r="AM132" s="3">
        <v>0.181</v>
      </c>
      <c r="AN132" s="3">
        <v>0.188</v>
      </c>
      <c r="AO132" s="3">
        <v>0.184</v>
      </c>
      <c r="AP132" s="3">
        <v>0.18</v>
      </c>
      <c r="AQ132" s="3">
        <v>0.175</v>
      </c>
      <c r="AR132" s="3">
        <v>0.166</v>
      </c>
      <c r="AS132" s="3">
        <v>0.126</v>
      </c>
      <c r="AT132" s="3">
        <v>0.119</v>
      </c>
      <c r="AU132" s="3">
        <v>45.396</v>
      </c>
    </row>
    <row r="133" ht="14.25" customHeight="1">
      <c r="A133" s="2" t="s">
        <v>480</v>
      </c>
      <c r="B133" s="3">
        <v>0.544</v>
      </c>
      <c r="C133" s="3">
        <v>0.544</v>
      </c>
      <c r="D133" s="3">
        <v>0.544</v>
      </c>
      <c r="E133" s="3">
        <v>0.544</v>
      </c>
      <c r="F133" s="3">
        <v>0.544</v>
      </c>
      <c r="G133" s="3">
        <v>0.544</v>
      </c>
      <c r="H133" s="3">
        <v>0.544</v>
      </c>
      <c r="I133" s="3">
        <v>0.544</v>
      </c>
      <c r="J133" s="3">
        <v>0.544</v>
      </c>
      <c r="K133" s="3">
        <v>0.544</v>
      </c>
      <c r="L133" s="3">
        <v>0.568</v>
      </c>
      <c r="M133" s="3">
        <v>0.581</v>
      </c>
      <c r="N133" s="3">
        <v>0.581</v>
      </c>
      <c r="O133" s="3">
        <v>0.581</v>
      </c>
      <c r="P133" s="3">
        <v>0.478</v>
      </c>
      <c r="Q133" s="3">
        <v>0.379</v>
      </c>
      <c r="R133" s="3">
        <v>0.382</v>
      </c>
      <c r="S133" s="3">
        <v>0.382</v>
      </c>
      <c r="T133" s="3">
        <v>0.397</v>
      </c>
      <c r="U133" s="3">
        <v>0.397</v>
      </c>
      <c r="V133" s="3">
        <v>0.46</v>
      </c>
      <c r="W133" s="3">
        <v>0.481</v>
      </c>
      <c r="X133" s="3">
        <v>0.481</v>
      </c>
      <c r="Y133" s="3">
        <v>0.481</v>
      </c>
      <c r="Z133" s="3">
        <v>0.485</v>
      </c>
      <c r="AA133" s="3">
        <v>0.485</v>
      </c>
      <c r="AB133" s="3">
        <v>0.485</v>
      </c>
      <c r="AC133" s="3">
        <v>0.493</v>
      </c>
      <c r="AD133" s="3">
        <v>0.493</v>
      </c>
      <c r="AE133" s="3">
        <v>0.492</v>
      </c>
      <c r="AF133" s="3">
        <v>0.499</v>
      </c>
      <c r="AG133" s="3">
        <v>0.5</v>
      </c>
      <c r="AH133" s="3">
        <v>0.5</v>
      </c>
      <c r="AI133" s="3">
        <v>0.517</v>
      </c>
      <c r="AJ133" s="3">
        <v>0.517</v>
      </c>
      <c r="AK133" s="3">
        <v>0.518</v>
      </c>
      <c r="AL133" s="3">
        <v>0.492</v>
      </c>
      <c r="AM133" s="3">
        <v>0.468</v>
      </c>
      <c r="AN133" s="3">
        <v>0.46</v>
      </c>
      <c r="AO133" s="3">
        <v>0.473</v>
      </c>
      <c r="AP133" s="3">
        <v>0.486</v>
      </c>
      <c r="AQ133" s="3">
        <v>0.456</v>
      </c>
      <c r="AR133" s="3">
        <v>0.437</v>
      </c>
      <c r="AS133" s="3">
        <v>0.387</v>
      </c>
      <c r="AT133" s="3">
        <v>0.394</v>
      </c>
      <c r="AU133" s="3">
        <v>44.474</v>
      </c>
    </row>
    <row r="134" ht="14.25" customHeight="1">
      <c r="A134" s="2" t="s">
        <v>481</v>
      </c>
      <c r="B134" s="3">
        <v>0.71</v>
      </c>
      <c r="C134" s="3">
        <v>0.71</v>
      </c>
      <c r="D134" s="3">
        <v>0.71</v>
      </c>
      <c r="E134" s="3">
        <v>0.71</v>
      </c>
      <c r="F134" s="3">
        <v>0.71</v>
      </c>
      <c r="G134" s="3">
        <v>0.71</v>
      </c>
      <c r="H134" s="3">
        <v>0.71</v>
      </c>
      <c r="I134" s="3">
        <v>0.71</v>
      </c>
      <c r="J134" s="3">
        <v>0.71</v>
      </c>
      <c r="K134" s="3">
        <v>0.71</v>
      </c>
      <c r="L134" s="3">
        <v>0.748</v>
      </c>
      <c r="M134" s="3">
        <v>0.772</v>
      </c>
      <c r="N134" s="3">
        <v>0.772</v>
      </c>
      <c r="O134" s="3">
        <v>0.774</v>
      </c>
      <c r="P134" s="3">
        <v>0.774</v>
      </c>
      <c r="Q134" s="3">
        <v>0.774</v>
      </c>
      <c r="R134" s="3">
        <v>0.774</v>
      </c>
      <c r="S134" s="3">
        <v>0.774</v>
      </c>
      <c r="T134" s="3">
        <v>0.774</v>
      </c>
      <c r="U134" s="3">
        <v>0.778</v>
      </c>
      <c r="V134" s="3">
        <v>0.703</v>
      </c>
      <c r="W134" s="3">
        <v>0.703</v>
      </c>
      <c r="X134" s="3">
        <v>0.703</v>
      </c>
      <c r="Y134" s="3">
        <v>0.703</v>
      </c>
      <c r="Z134" s="3">
        <v>0.703</v>
      </c>
      <c r="AA134" s="3">
        <v>0.714</v>
      </c>
      <c r="AB134" s="3">
        <v>0.714</v>
      </c>
      <c r="AC134" s="3">
        <v>0.714</v>
      </c>
      <c r="AD134" s="3">
        <v>0.714</v>
      </c>
      <c r="AE134" s="3">
        <v>0.714</v>
      </c>
      <c r="AF134" s="3">
        <v>0.726</v>
      </c>
      <c r="AG134" s="3">
        <v>0.726</v>
      </c>
      <c r="AH134" s="3">
        <v>0.72</v>
      </c>
      <c r="AI134" s="3">
        <v>0.733</v>
      </c>
      <c r="AJ134" s="3">
        <v>0.74</v>
      </c>
      <c r="AK134" s="3">
        <v>0.74</v>
      </c>
      <c r="AL134" s="3">
        <v>0.74</v>
      </c>
      <c r="AM134" s="3">
        <v>0.726</v>
      </c>
      <c r="AN134" s="3">
        <v>0.712</v>
      </c>
      <c r="AO134" s="3">
        <v>0.751</v>
      </c>
      <c r="AP134" s="3">
        <v>0.737</v>
      </c>
      <c r="AQ134" s="3">
        <v>0.737</v>
      </c>
      <c r="AR134" s="3">
        <v>0.734</v>
      </c>
      <c r="AS134" s="3">
        <v>0.747</v>
      </c>
      <c r="AT134" s="3">
        <v>0.747</v>
      </c>
      <c r="AU134" s="3">
        <v>81.1549999999999</v>
      </c>
    </row>
    <row r="135" ht="14.25" customHeight="1">
      <c r="A135" s="2" t="s">
        <v>482</v>
      </c>
      <c r="B135" s="3">
        <v>0.29</v>
      </c>
      <c r="C135" s="3">
        <v>0.292</v>
      </c>
      <c r="D135" s="3">
        <v>0.292</v>
      </c>
      <c r="E135" s="3">
        <v>0.283</v>
      </c>
      <c r="F135" s="3">
        <v>0.283</v>
      </c>
      <c r="G135" s="3">
        <v>0.283</v>
      </c>
      <c r="H135" s="3">
        <v>0.283</v>
      </c>
      <c r="I135" s="3">
        <v>0.283</v>
      </c>
      <c r="J135" s="3">
        <v>0.283</v>
      </c>
      <c r="K135" s="3">
        <v>0.283</v>
      </c>
      <c r="L135" s="3">
        <v>0.283</v>
      </c>
      <c r="M135" s="3">
        <v>0.283</v>
      </c>
      <c r="N135" s="3">
        <v>0.283</v>
      </c>
      <c r="O135" s="3">
        <v>0.283</v>
      </c>
      <c r="P135" s="3">
        <v>0.283</v>
      </c>
      <c r="Q135" s="3">
        <v>0.283</v>
      </c>
      <c r="R135" s="3">
        <v>0.264</v>
      </c>
      <c r="S135" s="3">
        <v>0.264</v>
      </c>
      <c r="T135" s="3">
        <v>0.264</v>
      </c>
      <c r="U135" s="3">
        <v>0.264</v>
      </c>
      <c r="V135" s="3">
        <v>0.268</v>
      </c>
      <c r="W135" s="3">
        <v>0.268</v>
      </c>
      <c r="X135" s="3">
        <v>0.263</v>
      </c>
      <c r="Y135" s="3">
        <v>0.263</v>
      </c>
      <c r="Z135" s="3">
        <v>0.263</v>
      </c>
      <c r="AA135" s="3">
        <v>0.273</v>
      </c>
      <c r="AB135" s="3">
        <v>0.273</v>
      </c>
      <c r="AC135" s="3">
        <v>0.275</v>
      </c>
      <c r="AD135" s="3">
        <v>0.287</v>
      </c>
      <c r="AE135" s="3">
        <v>0.287</v>
      </c>
      <c r="AF135" s="3">
        <v>0.286</v>
      </c>
      <c r="AG135" s="3">
        <v>0.286</v>
      </c>
      <c r="AH135" s="3">
        <v>0.286</v>
      </c>
      <c r="AI135" s="3">
        <v>0.272</v>
      </c>
      <c r="AJ135" s="3">
        <v>0.272</v>
      </c>
      <c r="AK135" s="3">
        <v>0.272</v>
      </c>
      <c r="AL135" s="3">
        <v>0.281</v>
      </c>
      <c r="AM135" s="3">
        <v>0.269</v>
      </c>
      <c r="AN135" s="3">
        <v>0.284</v>
      </c>
      <c r="AO135" s="3">
        <v>0.318</v>
      </c>
      <c r="AP135" s="3">
        <v>0.33</v>
      </c>
      <c r="AQ135" s="3">
        <v>0.344</v>
      </c>
      <c r="AR135" s="3">
        <v>0.387</v>
      </c>
      <c r="AS135" s="3">
        <v>0.385</v>
      </c>
      <c r="AT135" s="3">
        <v>0.385</v>
      </c>
      <c r="AU135" s="3">
        <v>51.891</v>
      </c>
    </row>
    <row r="136" ht="14.25" customHeight="1">
      <c r="A136" s="2" t="s">
        <v>104</v>
      </c>
      <c r="B136" s="3">
        <v>0.674</v>
      </c>
      <c r="C136" s="3">
        <v>0.683</v>
      </c>
      <c r="D136" s="3">
        <v>0.683</v>
      </c>
      <c r="E136" s="3">
        <v>0.683</v>
      </c>
      <c r="F136" s="3">
        <v>0.683</v>
      </c>
      <c r="G136" s="3">
        <v>0.683</v>
      </c>
      <c r="H136" s="3">
        <v>0.683</v>
      </c>
      <c r="I136" s="3">
        <v>0.683</v>
      </c>
      <c r="J136" s="3">
        <v>0.683</v>
      </c>
      <c r="K136" s="3">
        <v>0.683</v>
      </c>
      <c r="L136" s="3">
        <v>0.683</v>
      </c>
      <c r="M136" s="3">
        <v>0.683</v>
      </c>
      <c r="N136" s="3">
        <v>0.683</v>
      </c>
      <c r="O136" s="3">
        <v>0.683</v>
      </c>
      <c r="P136" s="3">
        <v>0.683</v>
      </c>
      <c r="Q136" s="3">
        <v>0.683</v>
      </c>
      <c r="R136" s="3">
        <v>0.683</v>
      </c>
      <c r="S136" s="3">
        <v>0.683</v>
      </c>
      <c r="T136" s="3">
        <v>0.683</v>
      </c>
      <c r="U136" s="3">
        <v>0.683</v>
      </c>
      <c r="V136" s="3">
        <v>0.679</v>
      </c>
      <c r="W136" s="3">
        <v>0.691</v>
      </c>
      <c r="X136" s="3">
        <v>0.691</v>
      </c>
      <c r="Y136" s="3">
        <v>0.691</v>
      </c>
      <c r="Z136" s="3">
        <v>0.691</v>
      </c>
      <c r="AA136" s="3">
        <v>0.691</v>
      </c>
      <c r="AB136" s="3">
        <v>0.691</v>
      </c>
      <c r="AC136" s="3">
        <v>0.691</v>
      </c>
      <c r="AD136" s="3">
        <v>0.691</v>
      </c>
      <c r="AE136" s="3">
        <v>0.691</v>
      </c>
      <c r="AF136" s="3">
        <v>0.693</v>
      </c>
      <c r="AG136" s="3">
        <v>0.693</v>
      </c>
      <c r="AH136" s="3">
        <v>0.712</v>
      </c>
      <c r="AI136" s="3">
        <v>0.797</v>
      </c>
      <c r="AJ136" s="3">
        <v>0.797</v>
      </c>
      <c r="AK136" s="3">
        <v>0.784</v>
      </c>
      <c r="AL136" s="3">
        <v>0.78</v>
      </c>
      <c r="AM136" s="3">
        <v>0.747</v>
      </c>
      <c r="AN136" s="3">
        <v>0.73</v>
      </c>
      <c r="AO136" s="3">
        <v>0.73</v>
      </c>
      <c r="AP136" s="3">
        <v>0.744</v>
      </c>
      <c r="AQ136" s="3">
        <v>0.744</v>
      </c>
      <c r="AR136" s="3">
        <v>0.739</v>
      </c>
      <c r="AS136" s="3">
        <v>0.7</v>
      </c>
      <c r="AT136" s="3">
        <v>0.733</v>
      </c>
      <c r="AU136" s="3">
        <v>67.247</v>
      </c>
    </row>
    <row r="137" ht="14.25" customHeight="1">
      <c r="A137" s="2" t="s">
        <v>105</v>
      </c>
      <c r="B137" s="3">
        <v>0.463</v>
      </c>
      <c r="C137" s="3">
        <v>0.48</v>
      </c>
      <c r="D137" s="3">
        <v>0.493</v>
      </c>
      <c r="E137" s="3">
        <v>0.493</v>
      </c>
      <c r="F137" s="3">
        <v>0.493</v>
      </c>
      <c r="G137" s="3">
        <v>0.493</v>
      </c>
      <c r="H137" s="3">
        <v>0.493</v>
      </c>
      <c r="I137" s="3">
        <v>0.493</v>
      </c>
      <c r="J137" s="3">
        <v>0.493</v>
      </c>
      <c r="K137" s="3">
        <v>0.433</v>
      </c>
      <c r="L137" s="3">
        <v>0.275</v>
      </c>
      <c r="M137" s="3">
        <v>0.247</v>
      </c>
      <c r="N137" s="3">
        <v>0.239</v>
      </c>
      <c r="O137" s="3">
        <v>0.253</v>
      </c>
      <c r="P137" s="3">
        <v>0.253</v>
      </c>
      <c r="Q137" s="3">
        <v>0.253</v>
      </c>
      <c r="R137" s="3">
        <v>0.253</v>
      </c>
      <c r="S137" s="3">
        <v>0.253</v>
      </c>
      <c r="T137" s="3">
        <v>0.253</v>
      </c>
      <c r="U137" s="3">
        <v>0.253</v>
      </c>
      <c r="V137" s="3">
        <v>0.348</v>
      </c>
      <c r="W137" s="3">
        <v>0.588</v>
      </c>
      <c r="X137" s="3">
        <v>0.59</v>
      </c>
      <c r="Y137" s="3">
        <v>0.562</v>
      </c>
      <c r="Z137" s="3">
        <v>0.558</v>
      </c>
      <c r="AA137" s="3">
        <v>0.558</v>
      </c>
      <c r="AB137" s="3">
        <v>0.58</v>
      </c>
      <c r="AC137" s="3">
        <v>0.606</v>
      </c>
      <c r="AD137" s="3">
        <v>0.606</v>
      </c>
      <c r="AE137" s="3">
        <v>0.613</v>
      </c>
      <c r="AF137" s="3">
        <v>0.589</v>
      </c>
      <c r="AG137" s="3">
        <v>0.589</v>
      </c>
      <c r="AH137" s="3">
        <v>0.584</v>
      </c>
      <c r="AI137" s="3">
        <v>0.527</v>
      </c>
      <c r="AJ137" s="3">
        <v>0.526</v>
      </c>
      <c r="AK137" s="3">
        <v>0.529</v>
      </c>
      <c r="AL137" s="3">
        <v>0.486</v>
      </c>
      <c r="AM137" s="3">
        <v>0.47</v>
      </c>
      <c r="AN137" s="3">
        <v>0.506</v>
      </c>
      <c r="AO137" s="3">
        <v>0.524</v>
      </c>
      <c r="AP137" s="3">
        <v>0.468</v>
      </c>
      <c r="AQ137" s="3">
        <v>0.485</v>
      </c>
      <c r="AR137" s="3">
        <v>0.489</v>
      </c>
      <c r="AS137" s="3">
        <v>0.47</v>
      </c>
      <c r="AT137" s="3">
        <v>0.436</v>
      </c>
      <c r="AU137" s="3">
        <v>71.9710000000001</v>
      </c>
    </row>
    <row r="138" ht="14.25" customHeight="1">
      <c r="A138" s="2" t="s">
        <v>483</v>
      </c>
      <c r="B138" s="3">
        <v>0.488</v>
      </c>
      <c r="C138" s="3">
        <v>0.488</v>
      </c>
      <c r="D138" s="3">
        <v>0.488</v>
      </c>
      <c r="E138" s="3">
        <v>0.488</v>
      </c>
      <c r="F138" s="3">
        <v>0.488</v>
      </c>
      <c r="G138" s="3">
        <v>0.488</v>
      </c>
      <c r="H138" s="3">
        <v>0.488</v>
      </c>
      <c r="I138" s="3">
        <v>0.488</v>
      </c>
      <c r="J138" s="3">
        <v>0.488</v>
      </c>
      <c r="K138" s="3">
        <v>0.488</v>
      </c>
      <c r="L138" s="3">
        <v>0.501</v>
      </c>
      <c r="M138" s="3">
        <v>0.501</v>
      </c>
      <c r="N138" s="3">
        <v>0.562</v>
      </c>
      <c r="O138" s="3">
        <v>0.627</v>
      </c>
      <c r="P138" s="3">
        <v>0.627</v>
      </c>
      <c r="Q138" s="3">
        <v>0.627</v>
      </c>
      <c r="R138" s="3">
        <v>0.63</v>
      </c>
      <c r="S138" s="3">
        <v>0.63</v>
      </c>
      <c r="T138" s="3">
        <v>0.63</v>
      </c>
      <c r="U138" s="3">
        <v>0.63</v>
      </c>
      <c r="V138" s="3">
        <v>0.63</v>
      </c>
      <c r="W138" s="3">
        <v>0.63</v>
      </c>
      <c r="X138" s="3">
        <v>0.652</v>
      </c>
      <c r="Y138" s="3">
        <v>0.743</v>
      </c>
      <c r="Z138" s="3">
        <v>0.749</v>
      </c>
      <c r="AA138" s="3">
        <v>0.769</v>
      </c>
      <c r="AB138" s="3">
        <v>0.768</v>
      </c>
      <c r="AC138" s="3">
        <v>0.783</v>
      </c>
      <c r="AD138" s="3">
        <v>0.778</v>
      </c>
      <c r="AE138" s="3">
        <v>0.783</v>
      </c>
      <c r="AF138" s="3">
        <v>0.786</v>
      </c>
      <c r="AG138" s="3">
        <v>0.789</v>
      </c>
      <c r="AH138" s="3">
        <v>0.783</v>
      </c>
      <c r="AI138" s="3">
        <v>0.809</v>
      </c>
      <c r="AJ138" s="3">
        <v>0.816</v>
      </c>
      <c r="AK138" s="3">
        <v>0.837</v>
      </c>
      <c r="AL138" s="3">
        <v>0.863</v>
      </c>
      <c r="AM138" s="3">
        <v>0.879</v>
      </c>
      <c r="AN138" s="3">
        <v>0.9</v>
      </c>
      <c r="AO138" s="3">
        <v>0.895</v>
      </c>
      <c r="AP138" s="3">
        <v>0.948</v>
      </c>
      <c r="AQ138" s="3">
        <v>0.968</v>
      </c>
      <c r="AR138" s="3">
        <v>0.971</v>
      </c>
      <c r="AS138" s="3">
        <v>0.975</v>
      </c>
      <c r="AT138" s="3">
        <v>0.977</v>
      </c>
      <c r="AU138" s="3">
        <v>86.4549999999999</v>
      </c>
    </row>
    <row r="139" ht="14.25" customHeight="1">
      <c r="A139" s="2" t="s">
        <v>106</v>
      </c>
      <c r="B139" s="3">
        <v>0.179</v>
      </c>
      <c r="C139" s="3">
        <v>0.179</v>
      </c>
      <c r="D139" s="3">
        <v>0.179</v>
      </c>
      <c r="E139" s="3">
        <v>0.179</v>
      </c>
      <c r="F139" s="3">
        <v>0.179</v>
      </c>
      <c r="G139" s="3">
        <v>0.179</v>
      </c>
      <c r="H139" s="3">
        <v>0.168</v>
      </c>
      <c r="I139" s="3">
        <v>0.168</v>
      </c>
      <c r="J139" s="3">
        <v>0.168</v>
      </c>
      <c r="K139" s="3">
        <v>0.168</v>
      </c>
      <c r="L139" s="3">
        <v>0.156</v>
      </c>
      <c r="M139" s="3">
        <v>0.074</v>
      </c>
      <c r="N139" s="3">
        <v>0.077</v>
      </c>
      <c r="O139" s="3">
        <v>0.084</v>
      </c>
      <c r="P139" s="3">
        <v>0.084</v>
      </c>
      <c r="Q139" s="3">
        <v>0.084</v>
      </c>
      <c r="R139" s="3">
        <v>0.236</v>
      </c>
      <c r="S139" s="3">
        <v>0.157</v>
      </c>
      <c r="T139" s="3">
        <v>0.233</v>
      </c>
      <c r="U139" s="3">
        <v>0.244</v>
      </c>
      <c r="V139" s="3">
        <v>0.252</v>
      </c>
      <c r="W139" s="3">
        <v>0.252</v>
      </c>
      <c r="X139" s="3">
        <v>0.42</v>
      </c>
      <c r="Y139" s="3">
        <v>0.419</v>
      </c>
      <c r="Z139" s="3">
        <v>0.428</v>
      </c>
      <c r="AA139" s="3">
        <v>0.421</v>
      </c>
      <c r="AB139" s="3">
        <v>0.381</v>
      </c>
      <c r="AC139" s="3">
        <v>0.4</v>
      </c>
      <c r="AD139" s="3">
        <v>0.382</v>
      </c>
      <c r="AE139" s="3">
        <v>0.386</v>
      </c>
      <c r="AF139" s="3">
        <v>0.392</v>
      </c>
      <c r="AG139" s="3">
        <v>0.392</v>
      </c>
      <c r="AH139" s="3">
        <v>0.392</v>
      </c>
      <c r="AI139" s="3">
        <v>0.322</v>
      </c>
      <c r="AJ139" s="3">
        <v>0.322</v>
      </c>
      <c r="AK139" s="3">
        <v>0.322</v>
      </c>
      <c r="AL139" s="3">
        <v>0.313</v>
      </c>
      <c r="AM139" s="3">
        <v>0.363</v>
      </c>
      <c r="AN139" s="3">
        <v>0.495</v>
      </c>
      <c r="AO139" s="3">
        <v>0.483</v>
      </c>
      <c r="AP139" s="3">
        <v>0.599</v>
      </c>
      <c r="AQ139" s="3">
        <v>0.644</v>
      </c>
      <c r="AR139" s="3">
        <v>0.639</v>
      </c>
      <c r="AS139" s="3">
        <v>0.631</v>
      </c>
      <c r="AT139" s="3">
        <v>0.631</v>
      </c>
      <c r="AU139" s="3">
        <v>43.535</v>
      </c>
    </row>
    <row r="140" ht="14.25" customHeight="1">
      <c r="A140" s="2" t="s">
        <v>484</v>
      </c>
      <c r="B140" s="3">
        <v>0.965</v>
      </c>
      <c r="C140" s="3">
        <v>0.965</v>
      </c>
      <c r="D140" s="3">
        <v>0.965</v>
      </c>
      <c r="E140" s="3">
        <v>0.965</v>
      </c>
      <c r="F140" s="3">
        <v>0.965</v>
      </c>
      <c r="G140" s="3">
        <v>0.965</v>
      </c>
      <c r="H140" s="3">
        <v>0.965</v>
      </c>
      <c r="I140" s="3">
        <v>0.965</v>
      </c>
      <c r="J140" s="3">
        <v>0.965</v>
      </c>
      <c r="K140" s="3">
        <v>0.965</v>
      </c>
      <c r="L140" s="3">
        <v>0.969</v>
      </c>
      <c r="M140" s="3">
        <v>0.969</v>
      </c>
      <c r="N140" s="3">
        <v>0.969</v>
      </c>
      <c r="O140" s="3">
        <v>0.969</v>
      </c>
      <c r="P140" s="3">
        <v>0.969</v>
      </c>
      <c r="Q140" s="3">
        <v>0.969</v>
      </c>
      <c r="R140" s="3">
        <v>0.969</v>
      </c>
      <c r="S140" s="3">
        <v>0.969</v>
      </c>
      <c r="T140" s="3">
        <v>0.969</v>
      </c>
      <c r="U140" s="3">
        <v>0.969</v>
      </c>
      <c r="V140" s="3">
        <v>0.972</v>
      </c>
      <c r="W140" s="3">
        <v>0.972</v>
      </c>
      <c r="X140" s="3">
        <v>0.972</v>
      </c>
      <c r="Y140" s="3">
        <v>0.972</v>
      </c>
      <c r="Z140" s="3">
        <v>0.972</v>
      </c>
      <c r="AA140" s="3">
        <v>0.972</v>
      </c>
      <c r="AB140" s="3">
        <v>0.972</v>
      </c>
      <c r="AC140" s="3">
        <v>0.972</v>
      </c>
      <c r="AD140" s="3">
        <v>0.972</v>
      </c>
      <c r="AE140" s="3">
        <v>0.972</v>
      </c>
      <c r="AF140" s="3">
        <v>0.972</v>
      </c>
      <c r="AG140" s="3">
        <v>0.972</v>
      </c>
      <c r="AH140" s="3">
        <v>0.972</v>
      </c>
      <c r="AI140" s="3">
        <v>0.972</v>
      </c>
      <c r="AJ140" s="3">
        <v>0.972</v>
      </c>
      <c r="AK140" s="3">
        <v>0.972</v>
      </c>
      <c r="AL140" s="3">
        <v>0.972</v>
      </c>
      <c r="AM140" s="3">
        <v>0.971</v>
      </c>
      <c r="AN140" s="3">
        <v>0.971</v>
      </c>
      <c r="AO140" s="3">
        <v>0.971</v>
      </c>
      <c r="AP140" s="3">
        <v>0.968</v>
      </c>
      <c r="AQ140" s="3">
        <v>0.972</v>
      </c>
      <c r="AR140" s="3">
        <v>0.973</v>
      </c>
      <c r="AS140" s="3">
        <v>0.966</v>
      </c>
      <c r="AT140" s="3">
        <v>0.96</v>
      </c>
      <c r="AU140" s="3">
        <v>136.547</v>
      </c>
    </row>
    <row r="141" ht="14.25" customHeight="1">
      <c r="A141" s="2" t="s">
        <v>485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>
        <v>0.781</v>
      </c>
      <c r="P141" s="3">
        <v>0.711</v>
      </c>
      <c r="Q141" s="3">
        <v>0.705</v>
      </c>
      <c r="R141" s="3">
        <v>0.705</v>
      </c>
      <c r="S141" s="3">
        <v>0.705</v>
      </c>
      <c r="T141" s="3">
        <v>0.795</v>
      </c>
      <c r="U141" s="3">
        <v>0.855</v>
      </c>
      <c r="V141" s="3">
        <v>0.855</v>
      </c>
      <c r="W141" s="3">
        <v>0.855</v>
      </c>
      <c r="X141" s="3">
        <v>0.855</v>
      </c>
      <c r="Y141" s="3">
        <v>0.855</v>
      </c>
      <c r="Z141" s="3">
        <v>0.855</v>
      </c>
      <c r="AA141" s="3">
        <v>0.855</v>
      </c>
      <c r="AB141" s="3">
        <v>0.85</v>
      </c>
      <c r="AC141" s="3">
        <v>0.838</v>
      </c>
      <c r="AD141" s="3">
        <v>0.841</v>
      </c>
      <c r="AE141" s="3">
        <v>0.841</v>
      </c>
      <c r="AF141" s="3">
        <v>0.86</v>
      </c>
      <c r="AG141" s="3">
        <v>0.864</v>
      </c>
      <c r="AH141" s="3">
        <v>0.84</v>
      </c>
      <c r="AI141" s="3">
        <v>0.824</v>
      </c>
      <c r="AJ141" s="3">
        <v>0.82</v>
      </c>
      <c r="AK141" s="3">
        <v>0.812</v>
      </c>
      <c r="AL141" s="3">
        <v>0.817</v>
      </c>
      <c r="AM141" s="3">
        <v>0.826</v>
      </c>
      <c r="AN141" s="3">
        <v>0.821</v>
      </c>
      <c r="AO141" s="3">
        <v>0.829</v>
      </c>
      <c r="AP141" s="3">
        <v>0.886</v>
      </c>
      <c r="AQ141" s="3">
        <v>0.888</v>
      </c>
      <c r="AR141" s="3">
        <v>0.89</v>
      </c>
      <c r="AS141" s="3">
        <v>0.871</v>
      </c>
      <c r="AT141" s="3">
        <v>0.745</v>
      </c>
      <c r="AU141" s="3">
        <v>27.962</v>
      </c>
    </row>
    <row r="142" ht="14.25" customHeight="1">
      <c r="A142" s="2" t="s">
        <v>486</v>
      </c>
      <c r="B142" s="3"/>
      <c r="C142" s="3"/>
      <c r="D142" s="3"/>
      <c r="E142" s="3"/>
      <c r="F142" s="3"/>
      <c r="G142" s="3"/>
      <c r="H142" s="3"/>
      <c r="I142" s="3"/>
      <c r="J142" s="3"/>
      <c r="K142" s="3">
        <v>0.836</v>
      </c>
      <c r="L142" s="3">
        <v>0.87</v>
      </c>
      <c r="M142" s="3">
        <v>0.899</v>
      </c>
      <c r="N142" s="3">
        <v>0.913</v>
      </c>
      <c r="O142" s="3">
        <v>0.916</v>
      </c>
      <c r="P142" s="3">
        <v>0.914</v>
      </c>
      <c r="Q142" s="3">
        <v>0.914</v>
      </c>
      <c r="R142" s="3">
        <v>0.925</v>
      </c>
      <c r="S142" s="3">
        <v>0.93</v>
      </c>
      <c r="T142" s="3">
        <v>0.93</v>
      </c>
      <c r="U142" s="3">
        <v>0.93</v>
      </c>
      <c r="V142" s="3">
        <v>0.918</v>
      </c>
      <c r="W142" s="3">
        <v>0.918</v>
      </c>
      <c r="X142" s="3">
        <v>0.918</v>
      </c>
      <c r="Y142" s="3">
        <v>0.913</v>
      </c>
      <c r="Z142" s="3">
        <v>0.896</v>
      </c>
      <c r="AA142" s="3">
        <v>0.9</v>
      </c>
      <c r="AB142" s="3">
        <v>0.9</v>
      </c>
      <c r="AC142" s="3">
        <v>0.896</v>
      </c>
      <c r="AD142" s="3">
        <v>0.898</v>
      </c>
      <c r="AE142" s="3">
        <v>0.914</v>
      </c>
      <c r="AF142" s="3">
        <v>0.915</v>
      </c>
      <c r="AG142" s="3">
        <v>0.915</v>
      </c>
      <c r="AH142" s="3">
        <v>0.904</v>
      </c>
      <c r="AI142" s="3">
        <v>0.923</v>
      </c>
      <c r="AJ142" s="3">
        <v>0.937</v>
      </c>
      <c r="AK142" s="3">
        <v>0.94</v>
      </c>
      <c r="AL142" s="3">
        <v>0.945</v>
      </c>
      <c r="AM142" s="3">
        <v>0.942</v>
      </c>
      <c r="AN142" s="3">
        <v>0.945</v>
      </c>
      <c r="AO142" s="3">
        <v>0.945</v>
      </c>
      <c r="AP142" s="3">
        <v>0.892</v>
      </c>
      <c r="AQ142" s="3">
        <v>0.839</v>
      </c>
      <c r="AR142" s="3">
        <v>0.927</v>
      </c>
      <c r="AS142" s="3">
        <v>0.906</v>
      </c>
      <c r="AT142" s="3">
        <v>0.909</v>
      </c>
      <c r="AU142" s="3">
        <v>32.832</v>
      </c>
    </row>
    <row r="143" ht="14.25" customHeight="1">
      <c r="A143" s="2" t="s">
        <v>487</v>
      </c>
      <c r="B143" s="3">
        <v>0.82</v>
      </c>
      <c r="C143" s="3">
        <v>0.795</v>
      </c>
      <c r="D143" s="3">
        <v>0.795</v>
      </c>
      <c r="E143" s="3">
        <v>0.779</v>
      </c>
      <c r="F143" s="3">
        <v>0.779</v>
      </c>
      <c r="G143" s="3">
        <v>0.789</v>
      </c>
      <c r="H143" s="3">
        <v>0.789</v>
      </c>
      <c r="I143" s="3">
        <v>0.789</v>
      </c>
      <c r="J143" s="3">
        <v>0.789</v>
      </c>
      <c r="K143" s="3">
        <v>0.775</v>
      </c>
      <c r="L143" s="3">
        <v>0.763</v>
      </c>
      <c r="M143" s="3">
        <v>0.763</v>
      </c>
      <c r="N143" s="3">
        <v>0.763</v>
      </c>
      <c r="O143" s="3">
        <v>0.763</v>
      </c>
      <c r="P143" s="3">
        <v>0.763</v>
      </c>
      <c r="Q143" s="3">
        <v>0.763</v>
      </c>
      <c r="R143" s="3">
        <v>0.763</v>
      </c>
      <c r="S143" s="3">
        <v>0.763</v>
      </c>
      <c r="T143" s="3">
        <v>0.763</v>
      </c>
      <c r="U143" s="3">
        <v>0.673</v>
      </c>
      <c r="V143" s="3">
        <v>0.628</v>
      </c>
      <c r="W143" s="3">
        <v>0.635</v>
      </c>
      <c r="X143" s="3">
        <v>0.658</v>
      </c>
      <c r="Y143" s="3">
        <v>0.658</v>
      </c>
      <c r="Z143" s="3">
        <v>0.61</v>
      </c>
      <c r="AA143" s="3">
        <v>0.566</v>
      </c>
      <c r="AB143" s="3">
        <v>0.554</v>
      </c>
      <c r="AC143" s="3">
        <v>0.554</v>
      </c>
      <c r="AD143" s="3">
        <v>0.564</v>
      </c>
      <c r="AE143" s="3">
        <v>0.562</v>
      </c>
      <c r="AF143" s="3">
        <v>0.573</v>
      </c>
      <c r="AG143" s="3">
        <v>0.573</v>
      </c>
      <c r="AH143" s="3">
        <v>0.569</v>
      </c>
      <c r="AI143" s="3">
        <v>0.569</v>
      </c>
      <c r="AJ143" s="3">
        <v>0.567</v>
      </c>
      <c r="AK143" s="3">
        <v>0.573</v>
      </c>
      <c r="AL143" s="3">
        <v>0.56</v>
      </c>
      <c r="AM143" s="3">
        <v>0.581</v>
      </c>
      <c r="AN143" s="3">
        <v>0.581</v>
      </c>
      <c r="AO143" s="3">
        <v>0.594</v>
      </c>
      <c r="AP143" s="3">
        <v>0.596</v>
      </c>
      <c r="AQ143" s="3">
        <v>0.61</v>
      </c>
      <c r="AR143" s="3">
        <v>0.629</v>
      </c>
      <c r="AS143" s="3">
        <v>0.635</v>
      </c>
      <c r="AT143" s="3">
        <v>0.676</v>
      </c>
      <c r="AU143" s="3">
        <v>87.0820000000001</v>
      </c>
    </row>
    <row r="144" ht="14.25" customHeight="1">
      <c r="A144" s="2" t="s">
        <v>488</v>
      </c>
      <c r="B144" s="3">
        <v>0.175</v>
      </c>
      <c r="C144" s="3">
        <v>0.175</v>
      </c>
      <c r="D144" s="3">
        <v>0.175</v>
      </c>
      <c r="E144" s="3">
        <v>0.175</v>
      </c>
      <c r="F144" s="3">
        <v>0.175</v>
      </c>
      <c r="G144" s="3">
        <v>0.175</v>
      </c>
      <c r="H144" s="3">
        <v>0.175</v>
      </c>
      <c r="I144" s="3">
        <v>0.175</v>
      </c>
      <c r="J144" s="3">
        <v>0.175</v>
      </c>
      <c r="K144" s="3">
        <v>0.175</v>
      </c>
      <c r="L144" s="3">
        <v>0.151</v>
      </c>
      <c r="M144" s="3">
        <v>0.113</v>
      </c>
      <c r="N144" s="3">
        <v>0.021</v>
      </c>
      <c r="O144" s="3">
        <v>0.021</v>
      </c>
      <c r="P144" s="3">
        <v>0.021</v>
      </c>
      <c r="Q144" s="3">
        <v>0.021</v>
      </c>
      <c r="R144" s="3">
        <v>0.021</v>
      </c>
      <c r="S144" s="3">
        <v>0.021</v>
      </c>
      <c r="T144" s="3">
        <v>0.021</v>
      </c>
      <c r="U144" s="3">
        <v>0.021</v>
      </c>
      <c r="V144" s="3">
        <v>0.026</v>
      </c>
      <c r="W144" s="3">
        <v>0.029</v>
      </c>
      <c r="X144" s="3">
        <v>0.029</v>
      </c>
      <c r="Y144" s="3">
        <v>0.029</v>
      </c>
      <c r="Z144" s="3">
        <v>0.035</v>
      </c>
      <c r="AA144" s="3">
        <v>0.037</v>
      </c>
      <c r="AB144" s="3">
        <v>0.039</v>
      </c>
      <c r="AC144" s="3">
        <v>0.038</v>
      </c>
      <c r="AD144" s="3">
        <v>0.039</v>
      </c>
      <c r="AE144" s="3">
        <v>0.04</v>
      </c>
      <c r="AF144" s="3">
        <v>0.046</v>
      </c>
      <c r="AG144" s="3">
        <v>0.048</v>
      </c>
      <c r="AH144" s="3">
        <v>0.056</v>
      </c>
      <c r="AI144" s="3">
        <v>0.116</v>
      </c>
      <c r="AJ144" s="3">
        <v>0.116</v>
      </c>
      <c r="AK144" s="3">
        <v>0.116</v>
      </c>
      <c r="AL144" s="3">
        <v>0.082</v>
      </c>
      <c r="AM144" s="3">
        <v>0.125</v>
      </c>
      <c r="AN144" s="3">
        <v>0.105</v>
      </c>
      <c r="AO144" s="3">
        <v>0.108</v>
      </c>
      <c r="AP144" s="3">
        <v>0.096</v>
      </c>
      <c r="AQ144" s="3">
        <v>0.118</v>
      </c>
      <c r="AR144" s="3">
        <v>0.125</v>
      </c>
      <c r="AS144" s="3">
        <v>0.166</v>
      </c>
      <c r="AT144" s="3">
        <v>0.151</v>
      </c>
      <c r="AU144" s="3">
        <v>36.669</v>
      </c>
    </row>
    <row r="145" ht="14.25" customHeight="1">
      <c r="A145" s="2" t="s">
        <v>107</v>
      </c>
      <c r="B145" s="3">
        <v>0.399</v>
      </c>
      <c r="C145" s="3">
        <v>0.399</v>
      </c>
      <c r="D145" s="3">
        <v>0.399</v>
      </c>
      <c r="E145" s="3">
        <v>0.399</v>
      </c>
      <c r="F145" s="3">
        <v>0.399</v>
      </c>
      <c r="G145" s="3">
        <v>0.399</v>
      </c>
      <c r="H145" s="3">
        <v>0.399</v>
      </c>
      <c r="I145" s="3">
        <v>0.399</v>
      </c>
      <c r="J145" s="3">
        <v>0.399</v>
      </c>
      <c r="K145" s="3">
        <v>0.401</v>
      </c>
      <c r="L145" s="3">
        <v>0.432</v>
      </c>
      <c r="M145" s="3">
        <v>0.432</v>
      </c>
      <c r="N145" s="3">
        <v>0.432</v>
      </c>
      <c r="O145" s="3">
        <v>0.432</v>
      </c>
      <c r="P145" s="3">
        <v>0.678</v>
      </c>
      <c r="Q145" s="3">
        <v>0.752</v>
      </c>
      <c r="R145" s="3">
        <v>0.757</v>
      </c>
      <c r="S145" s="3">
        <v>0.757</v>
      </c>
      <c r="T145" s="3">
        <v>0.757</v>
      </c>
      <c r="U145" s="3">
        <v>0.757</v>
      </c>
      <c r="V145" s="3">
        <v>0.765</v>
      </c>
      <c r="W145" s="3">
        <v>0.765</v>
      </c>
      <c r="X145" s="3">
        <v>0.765</v>
      </c>
      <c r="Y145" s="3">
        <v>0.762</v>
      </c>
      <c r="Z145" s="3">
        <v>0.762</v>
      </c>
      <c r="AA145" s="3">
        <v>0.762</v>
      </c>
      <c r="AB145" s="3">
        <v>0.761</v>
      </c>
      <c r="AC145" s="3">
        <v>0.758</v>
      </c>
      <c r="AD145" s="3">
        <v>0.76</v>
      </c>
      <c r="AE145" s="3">
        <v>0.744</v>
      </c>
      <c r="AF145" s="3">
        <v>0.749</v>
      </c>
      <c r="AG145" s="3">
        <v>0.741</v>
      </c>
      <c r="AH145" s="3">
        <v>0.739</v>
      </c>
      <c r="AI145" s="3">
        <v>0.717</v>
      </c>
      <c r="AJ145" s="3">
        <v>0.712</v>
      </c>
      <c r="AK145" s="3">
        <v>0.695</v>
      </c>
      <c r="AL145" s="3">
        <v>0.695</v>
      </c>
      <c r="AM145" s="3">
        <v>0.655</v>
      </c>
      <c r="AN145" s="3">
        <v>0.673</v>
      </c>
      <c r="AO145" s="3">
        <v>0.69</v>
      </c>
      <c r="AP145" s="3">
        <v>0.729</v>
      </c>
      <c r="AQ145" s="3">
        <v>0.713</v>
      </c>
      <c r="AR145" s="3">
        <v>0.722</v>
      </c>
      <c r="AS145" s="3">
        <v>0.702</v>
      </c>
      <c r="AT145" s="3">
        <v>0.707</v>
      </c>
      <c r="AU145" s="3">
        <v>60.215</v>
      </c>
    </row>
    <row r="146" ht="14.25" customHeight="1">
      <c r="A146" s="2" t="s">
        <v>489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>
        <v>0.135</v>
      </c>
      <c r="AH146" s="3">
        <v>0.138</v>
      </c>
      <c r="AI146" s="3">
        <v>0.085</v>
      </c>
      <c r="AJ146" s="3">
        <v>0.067</v>
      </c>
      <c r="AK146" s="3">
        <v>0.055</v>
      </c>
      <c r="AL146" s="3">
        <v>0.051</v>
      </c>
      <c r="AM146" s="3">
        <v>0.064</v>
      </c>
      <c r="AN146" s="3">
        <v>0.045</v>
      </c>
      <c r="AO146" s="3">
        <v>0.056</v>
      </c>
      <c r="AP146" s="3">
        <v>0.078</v>
      </c>
      <c r="AQ146" s="3">
        <v>0.095</v>
      </c>
      <c r="AR146" s="3">
        <v>0.111</v>
      </c>
      <c r="AS146" s="3">
        <v>0.15</v>
      </c>
      <c r="AT146" s="3">
        <v>0.15</v>
      </c>
      <c r="AU146" s="3">
        <v>1.28</v>
      </c>
    </row>
    <row r="147" ht="14.25" customHeight="1">
      <c r="A147" s="2" t="s">
        <v>108</v>
      </c>
      <c r="B147" s="3">
        <v>0.986</v>
      </c>
      <c r="C147" s="3">
        <v>0.986</v>
      </c>
      <c r="D147" s="3">
        <v>0.986</v>
      </c>
      <c r="E147" s="3">
        <v>0.987</v>
      </c>
      <c r="F147" s="3">
        <v>0.987</v>
      </c>
      <c r="G147" s="3">
        <v>0.987</v>
      </c>
      <c r="H147" s="3">
        <v>0.987</v>
      </c>
      <c r="I147" s="3">
        <v>0.987</v>
      </c>
      <c r="J147" s="3">
        <v>0.987</v>
      </c>
      <c r="K147" s="3">
        <v>0.987</v>
      </c>
      <c r="L147" s="3">
        <v>0.987</v>
      </c>
      <c r="M147" s="3">
        <v>0.987</v>
      </c>
      <c r="N147" s="3">
        <v>0.987</v>
      </c>
      <c r="O147" s="3">
        <v>0.987</v>
      </c>
      <c r="P147" s="3">
        <v>0.987</v>
      </c>
      <c r="Q147" s="3">
        <v>0.987</v>
      </c>
      <c r="R147" s="3">
        <v>0.987</v>
      </c>
      <c r="S147" s="3">
        <v>0.987</v>
      </c>
      <c r="T147" s="3">
        <v>0.987</v>
      </c>
      <c r="U147" s="3">
        <v>0.987</v>
      </c>
      <c r="V147" s="3">
        <v>0.987</v>
      </c>
      <c r="W147" s="3">
        <v>0.987</v>
      </c>
      <c r="X147" s="3">
        <v>0.987</v>
      </c>
      <c r="Y147" s="3">
        <v>0.987</v>
      </c>
      <c r="Z147" s="3">
        <v>0.987</v>
      </c>
      <c r="AA147" s="3">
        <v>0.987</v>
      </c>
      <c r="AB147" s="3">
        <v>0.987</v>
      </c>
      <c r="AC147" s="3">
        <v>0.987</v>
      </c>
      <c r="AD147" s="3">
        <v>0.987</v>
      </c>
      <c r="AE147" s="3">
        <v>0.987</v>
      </c>
      <c r="AF147" s="3">
        <v>0.988</v>
      </c>
      <c r="AG147" s="3">
        <v>0.985</v>
      </c>
      <c r="AH147" s="3">
        <v>0.974</v>
      </c>
      <c r="AI147" s="3">
        <v>0.967</v>
      </c>
      <c r="AJ147" s="3">
        <v>0.967</v>
      </c>
      <c r="AK147" s="3">
        <v>0.967</v>
      </c>
      <c r="AL147" s="3">
        <v>0.972</v>
      </c>
      <c r="AM147" s="3">
        <v>0.97</v>
      </c>
      <c r="AN147" s="3">
        <v>0.977</v>
      </c>
      <c r="AO147" s="3">
        <v>0.982</v>
      </c>
      <c r="AP147" s="3">
        <v>0.984</v>
      </c>
      <c r="AQ147" s="3">
        <v>0.98</v>
      </c>
      <c r="AR147" s="3">
        <v>0.974</v>
      </c>
      <c r="AS147" s="3">
        <v>0.964</v>
      </c>
      <c r="AT147" s="3">
        <v>0.954</v>
      </c>
      <c r="AU147" s="3">
        <v>131.047</v>
      </c>
    </row>
    <row r="148" ht="14.25" customHeight="1">
      <c r="A148" s="2" t="s">
        <v>109</v>
      </c>
      <c r="B148" s="3">
        <v>0.671</v>
      </c>
      <c r="C148" s="3">
        <v>0.671</v>
      </c>
      <c r="D148" s="3">
        <v>0.671</v>
      </c>
      <c r="E148" s="3">
        <v>0.653</v>
      </c>
      <c r="F148" s="3">
        <v>0.653</v>
      </c>
      <c r="G148" s="3">
        <v>0.653</v>
      </c>
      <c r="H148" s="3">
        <v>0.641</v>
      </c>
      <c r="I148" s="3">
        <v>0.628</v>
      </c>
      <c r="J148" s="3">
        <v>0.622</v>
      </c>
      <c r="K148" s="3">
        <v>0.56</v>
      </c>
      <c r="L148" s="3">
        <v>0.579</v>
      </c>
      <c r="M148" s="3">
        <v>0.583</v>
      </c>
      <c r="N148" s="3">
        <v>0.583</v>
      </c>
      <c r="O148" s="3">
        <v>0.583</v>
      </c>
      <c r="P148" s="3">
        <v>0.587</v>
      </c>
      <c r="Q148" s="3">
        <v>0.592</v>
      </c>
      <c r="R148" s="3">
        <v>0.592</v>
      </c>
      <c r="S148" s="3">
        <v>0.592</v>
      </c>
      <c r="T148" s="3">
        <v>0.592</v>
      </c>
      <c r="U148" s="3">
        <v>0.592</v>
      </c>
      <c r="V148" s="3">
        <v>0.592</v>
      </c>
      <c r="W148" s="3">
        <v>0.606</v>
      </c>
      <c r="X148" s="3">
        <v>0.606</v>
      </c>
      <c r="Y148" s="3">
        <v>0.606</v>
      </c>
      <c r="Z148" s="3">
        <v>0.595</v>
      </c>
      <c r="AA148" s="3">
        <v>0.504</v>
      </c>
      <c r="AB148" s="3">
        <v>0.488</v>
      </c>
      <c r="AC148" s="3">
        <v>0.488</v>
      </c>
      <c r="AD148" s="3">
        <v>0.486</v>
      </c>
      <c r="AE148" s="3">
        <v>0.482</v>
      </c>
      <c r="AF148" s="3">
        <v>0.39</v>
      </c>
      <c r="AG148" s="3">
        <v>0.39</v>
      </c>
      <c r="AH148" s="3">
        <v>0.414</v>
      </c>
      <c r="AI148" s="3">
        <v>0.424</v>
      </c>
      <c r="AJ148" s="3">
        <v>0.426</v>
      </c>
      <c r="AK148" s="3">
        <v>0.652</v>
      </c>
      <c r="AL148" s="3">
        <v>0.703</v>
      </c>
      <c r="AM148" s="3">
        <v>0.694</v>
      </c>
      <c r="AN148" s="3">
        <v>0.683</v>
      </c>
      <c r="AO148" s="3">
        <v>0.653</v>
      </c>
      <c r="AP148" s="3">
        <v>0.448</v>
      </c>
      <c r="AQ148" s="3">
        <v>0.464</v>
      </c>
      <c r="AR148" s="3">
        <v>0.601</v>
      </c>
      <c r="AS148" s="3">
        <v>0.603</v>
      </c>
      <c r="AT148" s="3">
        <v>0.7</v>
      </c>
      <c r="AU148" s="3">
        <v>93.7920000000001</v>
      </c>
    </row>
    <row r="149" ht="14.25" customHeight="1">
      <c r="A149" s="2" t="s">
        <v>110</v>
      </c>
      <c r="B149" s="3">
        <v>0.349</v>
      </c>
      <c r="C149" s="3">
        <v>0.338</v>
      </c>
      <c r="D149" s="3">
        <v>0.328</v>
      </c>
      <c r="E149" s="3">
        <v>0.329</v>
      </c>
      <c r="F149" s="3">
        <v>0.332</v>
      </c>
      <c r="G149" s="3">
        <v>0.466</v>
      </c>
      <c r="H149" s="3">
        <v>0.476</v>
      </c>
      <c r="I149" s="3">
        <v>0.476</v>
      </c>
      <c r="J149" s="3">
        <v>0.476</v>
      </c>
      <c r="K149" s="3">
        <v>0.167</v>
      </c>
      <c r="L149" s="3">
        <v>0.042</v>
      </c>
      <c r="M149" s="3">
        <v>0.042</v>
      </c>
      <c r="N149" s="3">
        <v>0.042</v>
      </c>
      <c r="O149" s="3">
        <v>0.042</v>
      </c>
      <c r="P149" s="3">
        <v>0.042</v>
      </c>
      <c r="Q149" s="3">
        <v>0.042</v>
      </c>
      <c r="R149" s="3">
        <v>0.042</v>
      </c>
      <c r="S149" s="3">
        <v>0.045</v>
      </c>
      <c r="T149" s="3">
        <v>0.045</v>
      </c>
      <c r="U149" s="3">
        <v>0.045</v>
      </c>
      <c r="V149" s="3">
        <v>0.048</v>
      </c>
      <c r="W149" s="3">
        <v>0.048</v>
      </c>
      <c r="X149" s="3">
        <v>0.048</v>
      </c>
      <c r="Y149" s="3">
        <v>0.048</v>
      </c>
      <c r="Z149" s="3">
        <v>0.048</v>
      </c>
      <c r="AA149" s="3">
        <v>0.123</v>
      </c>
      <c r="AB149" s="3">
        <v>0.12</v>
      </c>
      <c r="AC149" s="3">
        <v>0.122</v>
      </c>
      <c r="AD149" s="3">
        <v>0.122</v>
      </c>
      <c r="AE149" s="3">
        <v>0.12</v>
      </c>
      <c r="AF149" s="3">
        <v>0.124</v>
      </c>
      <c r="AG149" s="3">
        <v>0.082</v>
      </c>
      <c r="AH149" s="3">
        <v>0.082</v>
      </c>
      <c r="AI149" s="3">
        <v>0.081</v>
      </c>
      <c r="AJ149" s="3">
        <v>0.078</v>
      </c>
      <c r="AK149" s="3">
        <v>0.079</v>
      </c>
      <c r="AL149" s="3">
        <v>0.08</v>
      </c>
      <c r="AM149" s="3">
        <v>0.142</v>
      </c>
      <c r="AN149" s="3">
        <v>0.119</v>
      </c>
      <c r="AO149" s="3">
        <v>0.239</v>
      </c>
      <c r="AP149" s="3">
        <v>0.232</v>
      </c>
      <c r="AQ149" s="3">
        <v>0.225</v>
      </c>
      <c r="AR149" s="3">
        <v>0.217</v>
      </c>
      <c r="AS149" s="3">
        <v>0.162</v>
      </c>
      <c r="AT149" s="3">
        <v>0.119</v>
      </c>
      <c r="AU149" s="3">
        <v>53.191</v>
      </c>
    </row>
    <row r="150" ht="14.25" customHeight="1">
      <c r="A150" s="2" t="s">
        <v>490</v>
      </c>
      <c r="B150" s="3">
        <v>0.675</v>
      </c>
      <c r="C150" s="3">
        <v>0.654</v>
      </c>
      <c r="D150" s="3">
        <v>0.657</v>
      </c>
      <c r="E150" s="3">
        <v>0.657</v>
      </c>
      <c r="F150" s="3">
        <v>0.657</v>
      </c>
      <c r="G150" s="3">
        <v>0.657</v>
      </c>
      <c r="H150" s="3">
        <v>0.657</v>
      </c>
      <c r="I150" s="3">
        <v>0.657</v>
      </c>
      <c r="J150" s="3">
        <v>0.696</v>
      </c>
      <c r="K150" s="3">
        <v>0.708</v>
      </c>
      <c r="L150" s="3">
        <v>0.751</v>
      </c>
      <c r="M150" s="3">
        <v>0.752</v>
      </c>
      <c r="N150" s="3">
        <v>0.76</v>
      </c>
      <c r="O150" s="3">
        <v>0.783</v>
      </c>
      <c r="P150" s="3">
        <v>0.783</v>
      </c>
      <c r="Q150" s="3">
        <v>0.783</v>
      </c>
      <c r="R150" s="3">
        <v>0.783</v>
      </c>
      <c r="S150" s="3">
        <v>0.783</v>
      </c>
      <c r="T150" s="3">
        <v>0.783</v>
      </c>
      <c r="U150" s="3">
        <v>0.783</v>
      </c>
      <c r="V150" s="3">
        <v>0.783</v>
      </c>
      <c r="W150" s="3">
        <v>0.783</v>
      </c>
      <c r="X150" s="3">
        <v>0.783</v>
      </c>
      <c r="Y150" s="3">
        <v>0.783</v>
      </c>
      <c r="Z150" s="3">
        <v>0.783</v>
      </c>
      <c r="AA150" s="3">
        <v>0.783</v>
      </c>
      <c r="AB150" s="3">
        <v>0.783</v>
      </c>
      <c r="AC150" s="3">
        <v>0.783</v>
      </c>
      <c r="AD150" s="3">
        <v>0.783</v>
      </c>
      <c r="AE150" s="3">
        <v>0.783</v>
      </c>
      <c r="AF150" s="3">
        <v>0.771</v>
      </c>
      <c r="AG150" s="3">
        <v>0.771</v>
      </c>
      <c r="AH150" s="3">
        <v>0.771</v>
      </c>
      <c r="AI150" s="3">
        <v>0.751</v>
      </c>
      <c r="AJ150" s="3">
        <v>0.751</v>
      </c>
      <c r="AK150" s="3">
        <v>0.751</v>
      </c>
      <c r="AL150" s="3">
        <v>0.738</v>
      </c>
      <c r="AM150" s="3">
        <v>0.72</v>
      </c>
      <c r="AN150" s="3">
        <v>0.717</v>
      </c>
      <c r="AO150" s="3">
        <v>0.687</v>
      </c>
      <c r="AP150" s="3">
        <v>0.776</v>
      </c>
      <c r="AQ150" s="3">
        <v>0.784</v>
      </c>
      <c r="AR150" s="3">
        <v>0.782</v>
      </c>
      <c r="AS150" s="3">
        <v>0.805</v>
      </c>
      <c r="AT150" s="3">
        <v>0.816</v>
      </c>
      <c r="AU150" s="3">
        <v>97.924</v>
      </c>
    </row>
    <row r="151" ht="14.25" customHeight="1">
      <c r="A151" s="2" t="s">
        <v>112</v>
      </c>
      <c r="B151" s="3">
        <v>0.994</v>
      </c>
      <c r="C151" s="3">
        <v>0.994</v>
      </c>
      <c r="D151" s="3">
        <v>0.995</v>
      </c>
      <c r="E151" s="3">
        <v>0.995</v>
      </c>
      <c r="F151" s="3">
        <v>0.995</v>
      </c>
      <c r="G151" s="3">
        <v>0.995</v>
      </c>
      <c r="H151" s="3">
        <v>0.995</v>
      </c>
      <c r="I151" s="3">
        <v>0.995</v>
      </c>
      <c r="J151" s="3">
        <v>0.995</v>
      </c>
      <c r="K151" s="3">
        <v>0.995</v>
      </c>
      <c r="L151" s="3">
        <v>0.995</v>
      </c>
      <c r="M151" s="3">
        <v>0.995</v>
      </c>
      <c r="N151" s="3">
        <v>0.995</v>
      </c>
      <c r="O151" s="3">
        <v>0.995</v>
      </c>
      <c r="P151" s="3">
        <v>0.995</v>
      </c>
      <c r="Q151" s="3">
        <v>0.995</v>
      </c>
      <c r="R151" s="3">
        <v>0.995</v>
      </c>
      <c r="S151" s="3">
        <v>0.995</v>
      </c>
      <c r="T151" s="3">
        <v>0.995</v>
      </c>
      <c r="U151" s="3">
        <v>0.995</v>
      </c>
      <c r="V151" s="3">
        <v>0.995</v>
      </c>
      <c r="W151" s="3">
        <v>0.995</v>
      </c>
      <c r="X151" s="3">
        <v>0.995</v>
      </c>
      <c r="Y151" s="3">
        <v>0.995</v>
      </c>
      <c r="Z151" s="3">
        <v>0.995</v>
      </c>
      <c r="AA151" s="3">
        <v>0.995</v>
      </c>
      <c r="AB151" s="3">
        <v>0.995</v>
      </c>
      <c r="AC151" s="3">
        <v>0.995</v>
      </c>
      <c r="AD151" s="3">
        <v>0.995</v>
      </c>
      <c r="AE151" s="3">
        <v>0.995</v>
      </c>
      <c r="AF151" s="3">
        <v>0.995</v>
      </c>
      <c r="AG151" s="3">
        <v>0.995</v>
      </c>
      <c r="AH151" s="3">
        <v>0.995</v>
      </c>
      <c r="AI151" s="3">
        <v>0.995</v>
      </c>
      <c r="AJ151" s="3">
        <v>0.995</v>
      </c>
      <c r="AK151" s="3">
        <v>0.992</v>
      </c>
      <c r="AL151" s="3">
        <v>0.992</v>
      </c>
      <c r="AM151" s="3">
        <v>0.993</v>
      </c>
      <c r="AN151" s="3">
        <v>0.993</v>
      </c>
      <c r="AO151" s="3">
        <v>0.994</v>
      </c>
      <c r="AP151" s="3">
        <v>0.994</v>
      </c>
      <c r="AQ151" s="3">
        <v>0.993</v>
      </c>
      <c r="AR151" s="3">
        <v>0.993</v>
      </c>
      <c r="AS151" s="3">
        <v>0.99</v>
      </c>
      <c r="AT151" s="3">
        <v>0.99</v>
      </c>
      <c r="AU151" s="3">
        <v>225.218</v>
      </c>
    </row>
    <row r="152" ht="14.25" customHeight="1">
      <c r="A152" s="2" t="s">
        <v>113</v>
      </c>
      <c r="B152" s="3">
        <v>0.992</v>
      </c>
      <c r="C152" s="3">
        <v>0.992</v>
      </c>
      <c r="D152" s="3">
        <v>0.992</v>
      </c>
      <c r="E152" s="3">
        <v>0.992</v>
      </c>
      <c r="F152" s="3">
        <v>0.992</v>
      </c>
      <c r="G152" s="3">
        <v>0.992</v>
      </c>
      <c r="H152" s="3">
        <v>0.992</v>
      </c>
      <c r="I152" s="3">
        <v>0.992</v>
      </c>
      <c r="J152" s="3">
        <v>0.992</v>
      </c>
      <c r="K152" s="3">
        <v>0.992</v>
      </c>
      <c r="L152" s="3">
        <v>0.993</v>
      </c>
      <c r="M152" s="3">
        <v>0.993</v>
      </c>
      <c r="N152" s="3">
        <v>0.993</v>
      </c>
      <c r="O152" s="3">
        <v>0.993</v>
      </c>
      <c r="P152" s="3">
        <v>0.993</v>
      </c>
      <c r="Q152" s="3">
        <v>0.993</v>
      </c>
      <c r="R152" s="3">
        <v>0.993</v>
      </c>
      <c r="S152" s="3">
        <v>0.993</v>
      </c>
      <c r="T152" s="3">
        <v>0.993</v>
      </c>
      <c r="U152" s="3">
        <v>0.993</v>
      </c>
      <c r="V152" s="3">
        <v>0.993</v>
      </c>
      <c r="W152" s="3">
        <v>0.993</v>
      </c>
      <c r="X152" s="3">
        <v>0.993</v>
      </c>
      <c r="Y152" s="3">
        <v>0.993</v>
      </c>
      <c r="Z152" s="3">
        <v>0.993</v>
      </c>
      <c r="AA152" s="3">
        <v>0.993</v>
      </c>
      <c r="AB152" s="3">
        <v>0.993</v>
      </c>
      <c r="AC152" s="3">
        <v>0.993</v>
      </c>
      <c r="AD152" s="3">
        <v>0.993</v>
      </c>
      <c r="AE152" s="3">
        <v>0.993</v>
      </c>
      <c r="AF152" s="3">
        <v>0.993</v>
      </c>
      <c r="AG152" s="3">
        <v>0.993</v>
      </c>
      <c r="AH152" s="3">
        <v>0.993</v>
      </c>
      <c r="AI152" s="3">
        <v>0.994</v>
      </c>
      <c r="AJ152" s="3">
        <v>0.994</v>
      </c>
      <c r="AK152" s="3">
        <v>0.995</v>
      </c>
      <c r="AL152" s="3">
        <v>0.995</v>
      </c>
      <c r="AM152" s="3">
        <v>0.994</v>
      </c>
      <c r="AN152" s="3">
        <v>0.995</v>
      </c>
      <c r="AO152" s="3">
        <v>0.995</v>
      </c>
      <c r="AP152" s="3">
        <v>0.994</v>
      </c>
      <c r="AQ152" s="3">
        <v>0.995</v>
      </c>
      <c r="AR152" s="3">
        <v>0.995</v>
      </c>
      <c r="AS152" s="3">
        <v>0.995</v>
      </c>
      <c r="AT152" s="3">
        <v>0.995</v>
      </c>
      <c r="AU152" s="3">
        <v>224.104</v>
      </c>
    </row>
    <row r="153" ht="14.25" customHeight="1">
      <c r="A153" s="2" t="s">
        <v>114</v>
      </c>
      <c r="B153" s="3">
        <v>0.081</v>
      </c>
      <c r="C153" s="3">
        <v>0.081</v>
      </c>
      <c r="D153" s="3">
        <v>0.088</v>
      </c>
      <c r="E153" s="3">
        <v>0.089</v>
      </c>
      <c r="F153" s="3">
        <v>0.089</v>
      </c>
      <c r="G153" s="3">
        <v>0.089</v>
      </c>
      <c r="H153" s="3">
        <v>0.089</v>
      </c>
      <c r="I153" s="3">
        <v>0.081</v>
      </c>
      <c r="J153" s="3">
        <v>0.081</v>
      </c>
      <c r="K153" s="3">
        <v>0.081</v>
      </c>
      <c r="L153" s="3">
        <v>0.087</v>
      </c>
      <c r="M153" s="3">
        <v>0.087</v>
      </c>
      <c r="N153" s="3">
        <v>0.087</v>
      </c>
      <c r="O153" s="3">
        <v>0.092</v>
      </c>
      <c r="P153" s="3">
        <v>0.092</v>
      </c>
      <c r="Q153" s="3">
        <v>0.092</v>
      </c>
      <c r="R153" s="3">
        <v>0.092</v>
      </c>
      <c r="S153" s="3">
        <v>0.092</v>
      </c>
      <c r="T153" s="3">
        <v>0.092</v>
      </c>
      <c r="U153" s="3">
        <v>0.092</v>
      </c>
      <c r="V153" s="3">
        <v>0.093</v>
      </c>
      <c r="W153" s="3">
        <v>0.093</v>
      </c>
      <c r="X153" s="3">
        <v>0.093</v>
      </c>
      <c r="Y153" s="3">
        <v>0.093</v>
      </c>
      <c r="Z153" s="3">
        <v>0.093</v>
      </c>
      <c r="AA153" s="3">
        <v>0.094</v>
      </c>
      <c r="AB153" s="3">
        <v>0.092</v>
      </c>
      <c r="AC153" s="3">
        <v>0.093</v>
      </c>
      <c r="AD153" s="3">
        <v>0.093</v>
      </c>
      <c r="AE153" s="3">
        <v>0.093</v>
      </c>
      <c r="AF153" s="3">
        <v>0.094</v>
      </c>
      <c r="AG153" s="3">
        <v>0.07</v>
      </c>
      <c r="AH153" s="3">
        <v>0.048</v>
      </c>
      <c r="AI153" s="3">
        <v>0.033</v>
      </c>
      <c r="AJ153" s="3">
        <v>0.033</v>
      </c>
      <c r="AK153" s="3">
        <v>0.033</v>
      </c>
      <c r="AL153" s="3">
        <v>0.03</v>
      </c>
      <c r="AM153" s="3">
        <v>0.031</v>
      </c>
      <c r="AN153" s="3">
        <v>0.032</v>
      </c>
      <c r="AO153" s="3">
        <v>0.038</v>
      </c>
      <c r="AP153" s="3">
        <v>0.046</v>
      </c>
      <c r="AQ153" s="3">
        <v>0.054</v>
      </c>
      <c r="AR153" s="3">
        <v>0.048</v>
      </c>
      <c r="AS153" s="3">
        <v>0.06</v>
      </c>
      <c r="AT153" s="3">
        <v>0.143</v>
      </c>
      <c r="AU153" s="3">
        <v>31.354</v>
      </c>
    </row>
    <row r="154" ht="14.25" customHeight="1">
      <c r="A154" s="2" t="s">
        <v>491</v>
      </c>
      <c r="B154" s="3">
        <v>0.384</v>
      </c>
      <c r="C154" s="3">
        <v>0.384</v>
      </c>
      <c r="D154" s="3">
        <v>0.432</v>
      </c>
      <c r="E154" s="3">
        <v>0.432</v>
      </c>
      <c r="F154" s="3">
        <v>0.441</v>
      </c>
      <c r="G154" s="3">
        <v>0.441</v>
      </c>
      <c r="H154" s="3">
        <v>0.441</v>
      </c>
      <c r="I154" s="3">
        <v>0.439</v>
      </c>
      <c r="J154" s="3">
        <v>0.559</v>
      </c>
      <c r="K154" s="3">
        <v>0.658</v>
      </c>
      <c r="L154" s="3">
        <v>0.698</v>
      </c>
      <c r="M154" s="3">
        <v>0.723</v>
      </c>
      <c r="N154" s="3">
        <v>0.738</v>
      </c>
      <c r="O154" s="3">
        <v>0.738</v>
      </c>
      <c r="P154" s="3">
        <v>0.749</v>
      </c>
      <c r="Q154" s="3">
        <v>0.749</v>
      </c>
      <c r="R154" s="3">
        <v>0.749</v>
      </c>
      <c r="S154" s="3">
        <v>0.749</v>
      </c>
      <c r="T154" s="3">
        <v>0.749</v>
      </c>
      <c r="U154" s="3">
        <v>0.749</v>
      </c>
      <c r="V154" s="3">
        <v>0.873</v>
      </c>
      <c r="W154" s="3">
        <v>0.879</v>
      </c>
      <c r="X154" s="3">
        <v>0.879</v>
      </c>
      <c r="Y154" s="3">
        <v>0.879</v>
      </c>
      <c r="Z154" s="3">
        <v>0.879</v>
      </c>
      <c r="AA154" s="3">
        <v>0.874</v>
      </c>
      <c r="AB154" s="3">
        <v>0.874</v>
      </c>
      <c r="AC154" s="3">
        <v>0.873</v>
      </c>
      <c r="AD154" s="3">
        <v>0.869</v>
      </c>
      <c r="AE154" s="3">
        <v>0.839</v>
      </c>
      <c r="AF154" s="3">
        <v>0.836</v>
      </c>
      <c r="AG154" s="3">
        <v>0.835</v>
      </c>
      <c r="AH154" s="3">
        <v>0.837</v>
      </c>
      <c r="AI154" s="3">
        <v>0.848</v>
      </c>
      <c r="AJ154" s="3">
        <v>0.848</v>
      </c>
      <c r="AK154" s="3">
        <v>0.853</v>
      </c>
      <c r="AL154" s="3">
        <v>0.907</v>
      </c>
      <c r="AM154" s="3">
        <v>0.92</v>
      </c>
      <c r="AN154" s="3">
        <v>0.921</v>
      </c>
      <c r="AO154" s="3">
        <v>0.92</v>
      </c>
      <c r="AP154" s="3">
        <v>0.929</v>
      </c>
      <c r="AQ154" s="3">
        <v>0.926</v>
      </c>
      <c r="AR154" s="3">
        <v>0.928</v>
      </c>
      <c r="AS154" s="3">
        <v>0.937</v>
      </c>
      <c r="AT154" s="3">
        <v>0.928</v>
      </c>
      <c r="AU154" s="3">
        <v>69.183</v>
      </c>
    </row>
    <row r="155" ht="14.25" customHeight="1">
      <c r="A155" s="2" t="s">
        <v>492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>
        <v>0.343</v>
      </c>
      <c r="M155" s="3">
        <v>0.232</v>
      </c>
      <c r="N155" s="3">
        <v>0.071</v>
      </c>
      <c r="O155" s="3">
        <v>0.076</v>
      </c>
      <c r="P155" s="3">
        <v>0.076</v>
      </c>
      <c r="Q155" s="3">
        <v>0.062</v>
      </c>
      <c r="R155" s="3">
        <v>0.07</v>
      </c>
      <c r="S155" s="3">
        <v>0.07</v>
      </c>
      <c r="T155" s="3">
        <v>0.067</v>
      </c>
      <c r="U155" s="3">
        <v>0.062</v>
      </c>
      <c r="V155" s="3">
        <v>0.066</v>
      </c>
      <c r="W155" s="3">
        <v>0.063</v>
      </c>
      <c r="X155" s="3">
        <v>0.062</v>
      </c>
      <c r="Y155" s="3">
        <v>0.061</v>
      </c>
      <c r="Z155" s="3">
        <v>0.061</v>
      </c>
      <c r="AA155" s="3">
        <v>0.056</v>
      </c>
      <c r="AB155" s="3">
        <v>0.055</v>
      </c>
      <c r="AC155" s="3">
        <v>0.054</v>
      </c>
      <c r="AD155" s="3">
        <v>0.054</v>
      </c>
      <c r="AE155" s="3">
        <v>0.054</v>
      </c>
      <c r="AF155" s="3">
        <v>0.052</v>
      </c>
      <c r="AG155" s="3">
        <v>0.049</v>
      </c>
      <c r="AH155" s="3">
        <v>0.052</v>
      </c>
      <c r="AI155" s="3">
        <v>0.035</v>
      </c>
      <c r="AJ155" s="3">
        <v>0.035</v>
      </c>
      <c r="AK155" s="3">
        <v>0.031</v>
      </c>
      <c r="AL155" s="3">
        <v>0.037</v>
      </c>
      <c r="AM155" s="3">
        <v>0.039</v>
      </c>
      <c r="AN155" s="3">
        <v>0.072</v>
      </c>
      <c r="AO155" s="3">
        <v>0.056</v>
      </c>
      <c r="AP155" s="3">
        <v>0.065</v>
      </c>
      <c r="AQ155" s="3">
        <v>0.049</v>
      </c>
      <c r="AR155" s="3">
        <v>0.051</v>
      </c>
      <c r="AS155" s="3">
        <v>0.049</v>
      </c>
      <c r="AT155" s="3">
        <v>0.056</v>
      </c>
      <c r="AU155" s="3">
        <v>2.443</v>
      </c>
    </row>
    <row r="156" ht="14.25" customHeight="1">
      <c r="A156" s="2" t="s">
        <v>493</v>
      </c>
      <c r="B156" s="3">
        <v>0.828</v>
      </c>
      <c r="C156" s="3">
        <v>0.828</v>
      </c>
      <c r="D156" s="3">
        <v>0.828</v>
      </c>
      <c r="E156" s="3">
        <v>0.828</v>
      </c>
      <c r="F156" s="3">
        <v>0.828</v>
      </c>
      <c r="G156" s="3">
        <v>0.778</v>
      </c>
      <c r="H156" s="3">
        <v>0.695</v>
      </c>
      <c r="I156" s="3">
        <v>0.7</v>
      </c>
      <c r="J156" s="3">
        <v>0.7</v>
      </c>
      <c r="K156" s="3">
        <v>0.7</v>
      </c>
      <c r="L156" s="3">
        <v>0.662</v>
      </c>
      <c r="M156" s="3">
        <v>0.674</v>
      </c>
      <c r="N156" s="3">
        <v>0.674</v>
      </c>
      <c r="O156" s="3">
        <v>0.672</v>
      </c>
      <c r="P156" s="3">
        <v>0.65</v>
      </c>
      <c r="Q156" s="3">
        <v>0.65</v>
      </c>
      <c r="R156" s="3">
        <v>0.644</v>
      </c>
      <c r="S156" s="3">
        <v>0.644</v>
      </c>
      <c r="T156" s="3">
        <v>0.644</v>
      </c>
      <c r="U156" s="3">
        <v>0.644</v>
      </c>
      <c r="V156" s="3">
        <v>0.644</v>
      </c>
      <c r="W156" s="3">
        <v>0.651</v>
      </c>
      <c r="X156" s="3">
        <v>0.651</v>
      </c>
      <c r="Y156" s="3">
        <v>0.651</v>
      </c>
      <c r="Z156" s="3">
        <v>0.651</v>
      </c>
      <c r="AA156" s="3">
        <v>0.646</v>
      </c>
      <c r="AB156" s="3">
        <v>0.657</v>
      </c>
      <c r="AC156" s="3">
        <v>0.657</v>
      </c>
      <c r="AD156" s="3">
        <v>0.657</v>
      </c>
      <c r="AE156" s="3">
        <v>0.657</v>
      </c>
      <c r="AF156" s="3">
        <v>0.66</v>
      </c>
      <c r="AG156" s="3">
        <v>0.66</v>
      </c>
      <c r="AH156" s="3">
        <v>0.66</v>
      </c>
      <c r="AI156" s="3">
        <v>0.633</v>
      </c>
      <c r="AJ156" s="3">
        <v>0.635</v>
      </c>
      <c r="AK156" s="3">
        <v>0.686</v>
      </c>
      <c r="AL156" s="3">
        <v>0.753</v>
      </c>
      <c r="AM156" s="3">
        <v>0.765</v>
      </c>
      <c r="AN156" s="3">
        <v>0.754</v>
      </c>
      <c r="AO156" s="3">
        <v>0.748</v>
      </c>
      <c r="AP156" s="3">
        <v>0.801</v>
      </c>
      <c r="AQ156" s="3">
        <v>0.791</v>
      </c>
      <c r="AR156" s="3">
        <v>0.82</v>
      </c>
      <c r="AS156" s="3">
        <v>0.823</v>
      </c>
      <c r="AT156" s="3">
        <v>0.82</v>
      </c>
      <c r="AU156" s="3">
        <v>63.944</v>
      </c>
    </row>
    <row r="157" ht="14.25" customHeight="1">
      <c r="A157" s="2" t="s">
        <v>115</v>
      </c>
      <c r="B157" s="3">
        <v>0.363</v>
      </c>
      <c r="C157" s="3">
        <v>0.372</v>
      </c>
      <c r="D157" s="3">
        <v>0.365</v>
      </c>
      <c r="E157" s="3">
        <v>0.391</v>
      </c>
      <c r="F157" s="3">
        <v>0.391</v>
      </c>
      <c r="G157" s="3">
        <v>0.389</v>
      </c>
      <c r="H157" s="3">
        <v>0.389</v>
      </c>
      <c r="I157" s="3">
        <v>0.384</v>
      </c>
      <c r="J157" s="3">
        <v>0.422</v>
      </c>
      <c r="K157" s="3">
        <v>0.422</v>
      </c>
      <c r="L157" s="3">
        <v>0.422</v>
      </c>
      <c r="M157" s="3">
        <v>0.412</v>
      </c>
      <c r="N157" s="3">
        <v>0.415</v>
      </c>
      <c r="O157" s="3">
        <v>0.42</v>
      </c>
      <c r="P157" s="3">
        <v>0.429</v>
      </c>
      <c r="Q157" s="3">
        <v>0.429</v>
      </c>
      <c r="R157" s="3">
        <v>0.429</v>
      </c>
      <c r="S157" s="3">
        <v>0.472</v>
      </c>
      <c r="T157" s="3">
        <v>0.48</v>
      </c>
      <c r="U157" s="3">
        <v>0.48</v>
      </c>
      <c r="V157" s="3">
        <v>0.515</v>
      </c>
      <c r="W157" s="3">
        <v>0.515</v>
      </c>
      <c r="X157" s="3">
        <v>0.515</v>
      </c>
      <c r="Y157" s="3">
        <v>0.515</v>
      </c>
      <c r="Z157" s="3">
        <v>0.515</v>
      </c>
      <c r="AA157" s="3">
        <v>0.498</v>
      </c>
      <c r="AB157" s="3">
        <v>0.472</v>
      </c>
      <c r="AC157" s="3">
        <v>0.493</v>
      </c>
      <c r="AD157" s="3">
        <v>0.54</v>
      </c>
      <c r="AE157" s="3">
        <v>0.516</v>
      </c>
      <c r="AF157" s="3">
        <v>0.505</v>
      </c>
      <c r="AG157" s="3">
        <v>0.528</v>
      </c>
      <c r="AH157" s="3">
        <v>0.54</v>
      </c>
      <c r="AI157" s="3">
        <v>0.528</v>
      </c>
      <c r="AJ157" s="3">
        <v>0.325</v>
      </c>
      <c r="AK157" s="3">
        <v>0.307</v>
      </c>
      <c r="AL157" s="3">
        <v>0.31</v>
      </c>
      <c r="AM157" s="3">
        <v>0.306</v>
      </c>
      <c r="AN157" s="3">
        <v>0.334</v>
      </c>
      <c r="AO157" s="3">
        <v>0.338</v>
      </c>
      <c r="AP157" s="3">
        <v>0.338</v>
      </c>
      <c r="AQ157" s="3">
        <v>0.356</v>
      </c>
      <c r="AR157" s="3">
        <v>0.356</v>
      </c>
      <c r="AS157" s="3">
        <v>0.381</v>
      </c>
      <c r="AT157" s="3">
        <v>0.389</v>
      </c>
      <c r="AU157" s="3">
        <v>50.017</v>
      </c>
    </row>
    <row r="158" ht="14.25" customHeight="1">
      <c r="A158" s="2" t="s">
        <v>494</v>
      </c>
      <c r="B158" s="3">
        <v>0.261</v>
      </c>
      <c r="C158" s="3">
        <v>0.261</v>
      </c>
      <c r="D158" s="3">
        <v>0.261</v>
      </c>
      <c r="E158" s="3">
        <v>0.261</v>
      </c>
      <c r="F158" s="3">
        <v>0.261</v>
      </c>
      <c r="G158" s="3">
        <v>0.261</v>
      </c>
      <c r="H158" s="3">
        <v>0.261</v>
      </c>
      <c r="I158" s="3">
        <v>0.261</v>
      </c>
      <c r="J158" s="3">
        <v>0.261</v>
      </c>
      <c r="K158" s="3">
        <v>0.288</v>
      </c>
      <c r="L158" s="3">
        <v>0.288</v>
      </c>
      <c r="M158" s="3">
        <v>0.288</v>
      </c>
      <c r="N158" s="3">
        <v>0.288</v>
      </c>
      <c r="O158" s="3">
        <v>0.288</v>
      </c>
      <c r="P158" s="3">
        <v>0.288</v>
      </c>
      <c r="Q158" s="3">
        <v>0.288</v>
      </c>
      <c r="R158" s="3">
        <v>0.288</v>
      </c>
      <c r="S158" s="3">
        <v>0.288</v>
      </c>
      <c r="T158" s="3">
        <v>0.288</v>
      </c>
      <c r="U158" s="3">
        <v>0.475</v>
      </c>
      <c r="V158" s="3">
        <v>0.823</v>
      </c>
      <c r="W158" s="3">
        <v>0.726</v>
      </c>
      <c r="X158" s="3">
        <v>0.688</v>
      </c>
      <c r="Y158" s="3">
        <v>0.653</v>
      </c>
      <c r="Z158" s="3">
        <v>0.653</v>
      </c>
      <c r="AA158" s="3">
        <v>0.692</v>
      </c>
      <c r="AB158" s="3">
        <v>0.674</v>
      </c>
      <c r="AC158" s="3">
        <v>0.699</v>
      </c>
      <c r="AD158" s="3">
        <v>0.7</v>
      </c>
      <c r="AE158" s="3">
        <v>0.694</v>
      </c>
      <c r="AF158" s="3">
        <v>0.695</v>
      </c>
      <c r="AG158" s="3">
        <v>0.695</v>
      </c>
      <c r="AH158" s="3">
        <v>0.692</v>
      </c>
      <c r="AI158" s="3">
        <v>0.699</v>
      </c>
      <c r="AJ158" s="3">
        <v>0.659</v>
      </c>
      <c r="AK158" s="3">
        <v>0.643</v>
      </c>
      <c r="AL158" s="3">
        <v>0.664</v>
      </c>
      <c r="AM158" s="3">
        <v>0.681</v>
      </c>
      <c r="AN158" s="3">
        <v>0.68</v>
      </c>
      <c r="AO158" s="3">
        <v>0.695</v>
      </c>
      <c r="AP158" s="3">
        <v>0.697</v>
      </c>
      <c r="AQ158" s="3">
        <v>0.717</v>
      </c>
      <c r="AR158" s="3">
        <v>0.707</v>
      </c>
      <c r="AS158" s="3">
        <v>0.73</v>
      </c>
      <c r="AT158" s="3">
        <v>0.725</v>
      </c>
      <c r="AU158" s="3">
        <v>24.129</v>
      </c>
    </row>
    <row r="159" ht="14.25" customHeight="1">
      <c r="A159" s="2" t="s">
        <v>116</v>
      </c>
      <c r="B159" s="3">
        <v>0.142</v>
      </c>
      <c r="C159" s="3">
        <v>0.139</v>
      </c>
      <c r="D159" s="3">
        <v>0.139</v>
      </c>
      <c r="E159" s="3">
        <v>0.139</v>
      </c>
      <c r="F159" s="3">
        <v>0.139</v>
      </c>
      <c r="G159" s="3">
        <v>0.139</v>
      </c>
      <c r="H159" s="3">
        <v>0.139</v>
      </c>
      <c r="I159" s="3">
        <v>0.139</v>
      </c>
      <c r="J159" s="3">
        <v>0.139</v>
      </c>
      <c r="K159" s="3">
        <v>0.139</v>
      </c>
      <c r="L159" s="3">
        <v>0.132</v>
      </c>
      <c r="M159" s="3">
        <v>0.148</v>
      </c>
      <c r="N159" s="3">
        <v>0.145</v>
      </c>
      <c r="O159" s="3">
        <v>0.146</v>
      </c>
      <c r="P159" s="3">
        <v>0.141</v>
      </c>
      <c r="Q159" s="3">
        <v>0.141</v>
      </c>
      <c r="R159" s="3">
        <v>0.141</v>
      </c>
      <c r="S159" s="3">
        <v>0.141</v>
      </c>
      <c r="T159" s="3">
        <v>0.149</v>
      </c>
      <c r="U159" s="3">
        <v>0.149</v>
      </c>
      <c r="V159" s="3">
        <v>0.15</v>
      </c>
      <c r="W159" s="3">
        <v>0.15</v>
      </c>
      <c r="X159" s="3">
        <v>0.15</v>
      </c>
      <c r="Y159" s="3">
        <v>0.15</v>
      </c>
      <c r="Z159" s="3">
        <v>0.15</v>
      </c>
      <c r="AA159" s="3">
        <v>0.176</v>
      </c>
      <c r="AB159" s="3">
        <v>0.195</v>
      </c>
      <c r="AC159" s="3">
        <v>0.204</v>
      </c>
      <c r="AD159" s="3">
        <v>0.206</v>
      </c>
      <c r="AE159" s="3">
        <v>0.219</v>
      </c>
      <c r="AF159" s="3">
        <v>0.236</v>
      </c>
      <c r="AG159" s="3">
        <v>0.241</v>
      </c>
      <c r="AH159" s="3">
        <v>0.241</v>
      </c>
      <c r="AI159" s="3">
        <v>0.224</v>
      </c>
      <c r="AJ159" s="3">
        <v>0.224</v>
      </c>
      <c r="AK159" s="3">
        <v>0.235</v>
      </c>
      <c r="AL159" s="3">
        <v>0.238</v>
      </c>
      <c r="AM159" s="3">
        <v>0.227</v>
      </c>
      <c r="AN159" s="3">
        <v>0.226</v>
      </c>
      <c r="AO159" s="3">
        <v>0.216</v>
      </c>
      <c r="AP159" s="3">
        <v>0.289</v>
      </c>
      <c r="AQ159" s="3">
        <v>0.291</v>
      </c>
      <c r="AR159" s="3">
        <v>0.296</v>
      </c>
      <c r="AS159" s="3">
        <v>0.223</v>
      </c>
      <c r="AT159" s="3">
        <v>0.219</v>
      </c>
      <c r="AU159" s="3">
        <v>23.882</v>
      </c>
    </row>
    <row r="160" ht="14.25" customHeight="1">
      <c r="A160" s="2" t="s">
        <v>117</v>
      </c>
      <c r="B160" s="3">
        <v>0.87</v>
      </c>
      <c r="C160" s="3">
        <v>0.87</v>
      </c>
      <c r="D160" s="3">
        <v>0.87</v>
      </c>
      <c r="E160" s="3">
        <v>0.87</v>
      </c>
      <c r="F160" s="3">
        <v>0.87</v>
      </c>
      <c r="G160" s="3">
        <v>0.87</v>
      </c>
      <c r="H160" s="3">
        <v>0.87</v>
      </c>
      <c r="I160" s="3">
        <v>0.87</v>
      </c>
      <c r="J160" s="3">
        <v>0.87</v>
      </c>
      <c r="K160" s="3">
        <v>0.87</v>
      </c>
      <c r="L160" s="3">
        <v>0.86</v>
      </c>
      <c r="M160" s="3">
        <v>0.86</v>
      </c>
      <c r="N160" s="3">
        <v>0.86</v>
      </c>
      <c r="O160" s="3">
        <v>0.86</v>
      </c>
      <c r="P160" s="3">
        <v>0.86</v>
      </c>
      <c r="Q160" s="3">
        <v>0.854</v>
      </c>
      <c r="R160" s="3">
        <v>0.854</v>
      </c>
      <c r="S160" s="3">
        <v>0.854</v>
      </c>
      <c r="T160" s="3">
        <v>0.854</v>
      </c>
      <c r="U160" s="3">
        <v>0.854</v>
      </c>
      <c r="V160" s="3">
        <v>0.854</v>
      </c>
      <c r="W160" s="3">
        <v>0.854</v>
      </c>
      <c r="X160" s="3">
        <v>0.863</v>
      </c>
      <c r="Y160" s="3">
        <v>0.863</v>
      </c>
      <c r="Z160" s="3">
        <v>0.863</v>
      </c>
      <c r="AA160" s="3">
        <v>0.864</v>
      </c>
      <c r="AB160" s="3">
        <v>0.864</v>
      </c>
      <c r="AC160" s="3">
        <v>0.864</v>
      </c>
      <c r="AD160" s="3">
        <v>0.864</v>
      </c>
      <c r="AE160" s="3">
        <v>0.864</v>
      </c>
      <c r="AF160" s="3">
        <v>0.854</v>
      </c>
      <c r="AG160" s="3">
        <v>0.854</v>
      </c>
      <c r="AH160" s="3">
        <v>0.854</v>
      </c>
      <c r="AI160" s="3">
        <v>0.854</v>
      </c>
      <c r="AJ160" s="3">
        <v>0.854</v>
      </c>
      <c r="AK160" s="3">
        <v>0.851</v>
      </c>
      <c r="AL160" s="3">
        <v>0.898</v>
      </c>
      <c r="AM160" s="3">
        <v>0.89</v>
      </c>
      <c r="AN160" s="3">
        <v>0.897</v>
      </c>
      <c r="AO160" s="3">
        <v>0.897</v>
      </c>
      <c r="AP160" s="3">
        <v>0.888</v>
      </c>
      <c r="AQ160" s="3">
        <v>0.882</v>
      </c>
      <c r="AR160" s="3">
        <v>0.89</v>
      </c>
      <c r="AS160" s="3">
        <v>0.884</v>
      </c>
      <c r="AT160" s="3">
        <v>0.884</v>
      </c>
      <c r="AU160" s="3">
        <v>108.333</v>
      </c>
    </row>
    <row r="161" ht="14.25" customHeight="1">
      <c r="A161" s="2" t="s">
        <v>118</v>
      </c>
      <c r="B161" s="3">
        <v>0.531</v>
      </c>
      <c r="C161" s="3">
        <v>0.531</v>
      </c>
      <c r="D161" s="3">
        <v>0.531</v>
      </c>
      <c r="E161" s="3">
        <v>0.531</v>
      </c>
      <c r="F161" s="3">
        <v>0.531</v>
      </c>
      <c r="G161" s="3">
        <v>0.531</v>
      </c>
      <c r="H161" s="3">
        <v>0.531</v>
      </c>
      <c r="I161" s="3">
        <v>0.505</v>
      </c>
      <c r="J161" s="3">
        <v>0.153</v>
      </c>
      <c r="K161" s="3">
        <v>0.153</v>
      </c>
      <c r="L161" s="3">
        <v>0.153</v>
      </c>
      <c r="M161" s="3">
        <v>0.153</v>
      </c>
      <c r="N161" s="3">
        <v>0.153</v>
      </c>
      <c r="O161" s="3">
        <v>0.153</v>
      </c>
      <c r="P161" s="3">
        <v>0.153</v>
      </c>
      <c r="Q161" s="3">
        <v>0.153</v>
      </c>
      <c r="R161" s="3">
        <v>0.153</v>
      </c>
      <c r="S161" s="3">
        <v>0.153</v>
      </c>
      <c r="T161" s="3">
        <v>0.153</v>
      </c>
      <c r="U161" s="3">
        <v>0.153</v>
      </c>
      <c r="V161" s="3">
        <v>0.153</v>
      </c>
      <c r="W161" s="3">
        <v>0.153</v>
      </c>
      <c r="X161" s="3">
        <v>0.153</v>
      </c>
      <c r="Y161" s="3">
        <v>0.153</v>
      </c>
      <c r="Z161" s="3">
        <v>0.153</v>
      </c>
      <c r="AA161" s="3">
        <v>0.153</v>
      </c>
      <c r="AB161" s="3">
        <v>0.153</v>
      </c>
      <c r="AC161" s="3">
        <v>0.153</v>
      </c>
      <c r="AD161" s="3">
        <v>0.153</v>
      </c>
      <c r="AE161" s="3">
        <v>0.153</v>
      </c>
      <c r="AF161" s="3">
        <v>0.197</v>
      </c>
      <c r="AG161" s="3">
        <v>0.768</v>
      </c>
      <c r="AH161" s="3">
        <v>0.77</v>
      </c>
      <c r="AI161" s="3">
        <v>0.76</v>
      </c>
      <c r="AJ161" s="3">
        <v>0.761</v>
      </c>
      <c r="AK161" s="3">
        <v>0.787</v>
      </c>
      <c r="AL161" s="3">
        <v>0.779</v>
      </c>
      <c r="AM161" s="3">
        <v>0.804</v>
      </c>
      <c r="AN161" s="3">
        <v>0.813</v>
      </c>
      <c r="AO161" s="3">
        <v>0.818</v>
      </c>
      <c r="AP161" s="3">
        <v>0.821</v>
      </c>
      <c r="AQ161" s="3">
        <v>0.778</v>
      </c>
      <c r="AR161" s="3">
        <v>0.645</v>
      </c>
      <c r="AS161" s="3">
        <v>0.611</v>
      </c>
      <c r="AT161" s="3">
        <v>0.56</v>
      </c>
      <c r="AU161" s="3">
        <v>61.6089999999999</v>
      </c>
    </row>
    <row r="162" ht="14.25" customHeight="1">
      <c r="A162" s="2" t="s">
        <v>495</v>
      </c>
      <c r="B162" s="3">
        <v>0.612</v>
      </c>
      <c r="C162" s="3">
        <v>0.446</v>
      </c>
      <c r="D162" s="3">
        <v>0.446</v>
      </c>
      <c r="E162" s="3">
        <v>0.469</v>
      </c>
      <c r="F162" s="3">
        <v>0.64</v>
      </c>
      <c r="G162" s="3">
        <v>0.64</v>
      </c>
      <c r="H162" s="3">
        <v>0.628</v>
      </c>
      <c r="I162" s="3">
        <v>0.604</v>
      </c>
      <c r="J162" s="3">
        <v>0.604</v>
      </c>
      <c r="K162" s="3">
        <v>0.604</v>
      </c>
      <c r="L162" s="3">
        <v>0.648</v>
      </c>
      <c r="M162" s="3">
        <v>0.658</v>
      </c>
      <c r="N162" s="3">
        <v>0.658</v>
      </c>
      <c r="O162" s="3">
        <v>0.659</v>
      </c>
      <c r="P162" s="3">
        <v>0.659</v>
      </c>
      <c r="Q162" s="3">
        <v>0.659</v>
      </c>
      <c r="R162" s="3">
        <v>0.667</v>
      </c>
      <c r="S162" s="3">
        <v>0.701</v>
      </c>
      <c r="T162" s="3">
        <v>0.691</v>
      </c>
      <c r="U162" s="3">
        <v>0.683</v>
      </c>
      <c r="V162" s="3">
        <v>0.69</v>
      </c>
      <c r="W162" s="3">
        <v>0.69</v>
      </c>
      <c r="X162" s="3">
        <v>0.741</v>
      </c>
      <c r="Y162" s="3">
        <v>0.728</v>
      </c>
      <c r="Z162" s="3">
        <v>0.72</v>
      </c>
      <c r="AA162" s="3">
        <v>0.7</v>
      </c>
      <c r="AB162" s="3">
        <v>0.702</v>
      </c>
      <c r="AC162" s="3">
        <v>0.687</v>
      </c>
      <c r="AD162" s="3">
        <v>0.648</v>
      </c>
      <c r="AE162" s="3">
        <v>0.651</v>
      </c>
      <c r="AF162" s="3">
        <v>0.535</v>
      </c>
      <c r="AG162" s="3">
        <v>0.515</v>
      </c>
      <c r="AH162" s="3">
        <v>0.501</v>
      </c>
      <c r="AI162" s="3">
        <v>0.448</v>
      </c>
      <c r="AJ162" s="3">
        <v>0.386</v>
      </c>
      <c r="AK162" s="3">
        <v>0.375</v>
      </c>
      <c r="AL162" s="3">
        <v>0.238</v>
      </c>
      <c r="AM162" s="3">
        <v>0.143</v>
      </c>
      <c r="AN162" s="3">
        <v>0.138</v>
      </c>
      <c r="AO162" s="3">
        <v>0.14</v>
      </c>
      <c r="AP162" s="3">
        <v>0.134</v>
      </c>
      <c r="AQ162" s="3">
        <v>0.142</v>
      </c>
      <c r="AR162" s="3">
        <v>0.137</v>
      </c>
      <c r="AS162" s="3">
        <v>0.143</v>
      </c>
      <c r="AT162" s="3">
        <v>0.18</v>
      </c>
      <c r="AU162" s="3">
        <v>85.977</v>
      </c>
    </row>
    <row r="163" ht="14.25" customHeight="1">
      <c r="A163" s="2" t="s">
        <v>496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>
        <v>0.106</v>
      </c>
      <c r="M163" s="3">
        <v>0.077</v>
      </c>
      <c r="N163" s="3">
        <v>0.053</v>
      </c>
      <c r="O163" s="3">
        <v>0.051</v>
      </c>
      <c r="P163" s="3">
        <v>0.051</v>
      </c>
      <c r="Q163" s="3">
        <v>0.051</v>
      </c>
      <c r="R163" s="3">
        <v>0.051</v>
      </c>
      <c r="S163" s="3">
        <v>0.043</v>
      </c>
      <c r="T163" s="3">
        <v>0.043</v>
      </c>
      <c r="U163" s="3">
        <v>0.043</v>
      </c>
      <c r="V163" s="3">
        <v>0.04</v>
      </c>
      <c r="W163" s="3">
        <v>0.034</v>
      </c>
      <c r="X163" s="3">
        <v>0.034</v>
      </c>
      <c r="Y163" s="3">
        <v>0.034</v>
      </c>
      <c r="Z163" s="3">
        <v>0.034</v>
      </c>
      <c r="AA163" s="3">
        <v>0.034</v>
      </c>
      <c r="AB163" s="3">
        <v>0.034</v>
      </c>
      <c r="AC163" s="3">
        <v>0.04</v>
      </c>
      <c r="AD163" s="3">
        <v>0.043</v>
      </c>
      <c r="AE163" s="3">
        <v>0.039</v>
      </c>
      <c r="AF163" s="3">
        <v>0.035</v>
      </c>
      <c r="AG163" s="3">
        <v>0.035</v>
      </c>
      <c r="AH163" s="3">
        <v>0.035</v>
      </c>
      <c r="AI163" s="3">
        <v>0.043</v>
      </c>
      <c r="AJ163" s="3">
        <v>0.045</v>
      </c>
      <c r="AK163" s="3">
        <v>0.045</v>
      </c>
      <c r="AL163" s="3">
        <v>0.045</v>
      </c>
      <c r="AM163" s="3">
        <v>0.054</v>
      </c>
      <c r="AN163" s="3">
        <v>0.06</v>
      </c>
      <c r="AO163" s="3">
        <v>0.066</v>
      </c>
      <c r="AP163" s="3">
        <v>0.059</v>
      </c>
      <c r="AQ163" s="3">
        <v>0.064</v>
      </c>
      <c r="AR163" s="3">
        <v>0.059</v>
      </c>
      <c r="AS163" s="3">
        <v>0.072</v>
      </c>
      <c r="AT163" s="3">
        <v>0.069</v>
      </c>
      <c r="AU163" s="3">
        <v>1.721</v>
      </c>
    </row>
    <row r="164" ht="14.25" customHeight="1">
      <c r="A164" s="2" t="s">
        <v>120</v>
      </c>
      <c r="B164" s="3">
        <v>0.138</v>
      </c>
      <c r="C164" s="3">
        <v>0.144</v>
      </c>
      <c r="D164" s="3">
        <v>0.144</v>
      </c>
      <c r="E164" s="3">
        <v>0.125</v>
      </c>
      <c r="F164" s="3">
        <v>0.125</v>
      </c>
      <c r="G164" s="3">
        <v>0.141</v>
      </c>
      <c r="H164" s="3">
        <v>0.339</v>
      </c>
      <c r="I164" s="3">
        <v>0.468</v>
      </c>
      <c r="J164" s="3">
        <v>0.49</v>
      </c>
      <c r="K164" s="3">
        <v>0.486</v>
      </c>
      <c r="L164" s="3">
        <v>0.52</v>
      </c>
      <c r="M164" s="3">
        <v>0.52</v>
      </c>
      <c r="N164" s="3">
        <v>0.52</v>
      </c>
      <c r="O164" s="3">
        <v>0.508</v>
      </c>
      <c r="P164" s="3">
        <v>0.506</v>
      </c>
      <c r="Q164" s="3">
        <v>0.522</v>
      </c>
      <c r="R164" s="3">
        <v>0.474</v>
      </c>
      <c r="S164" s="3">
        <v>0.446</v>
      </c>
      <c r="T164" s="3">
        <v>0.446</v>
      </c>
      <c r="U164" s="3">
        <v>0.44</v>
      </c>
      <c r="V164" s="3">
        <v>0.406</v>
      </c>
      <c r="W164" s="3">
        <v>0.411</v>
      </c>
      <c r="X164" s="3">
        <v>0.411</v>
      </c>
      <c r="Y164" s="3">
        <v>0.414</v>
      </c>
      <c r="Z164" s="3">
        <v>0.397</v>
      </c>
      <c r="AA164" s="3">
        <v>0.426</v>
      </c>
      <c r="AB164" s="3">
        <v>0.424</v>
      </c>
      <c r="AC164" s="3">
        <v>0.427</v>
      </c>
      <c r="AD164" s="3">
        <v>0.427</v>
      </c>
      <c r="AE164" s="3">
        <v>0.409</v>
      </c>
      <c r="AF164" s="3">
        <v>0.416</v>
      </c>
      <c r="AG164" s="3">
        <v>0.417</v>
      </c>
      <c r="AH164" s="3">
        <v>0.41</v>
      </c>
      <c r="AI164" s="3">
        <v>0.405</v>
      </c>
      <c r="AJ164" s="3">
        <v>0.404</v>
      </c>
      <c r="AK164" s="3">
        <v>0.385</v>
      </c>
      <c r="AL164" s="3">
        <v>0.375</v>
      </c>
      <c r="AM164" s="3">
        <v>0.368</v>
      </c>
      <c r="AN164" s="3">
        <v>0.368</v>
      </c>
      <c r="AO164" s="3">
        <v>0.355</v>
      </c>
      <c r="AP164" s="3">
        <v>0.379</v>
      </c>
      <c r="AQ164" s="3">
        <v>0.346</v>
      </c>
      <c r="AR164" s="3">
        <v>0.391</v>
      </c>
      <c r="AS164" s="3">
        <v>0.401</v>
      </c>
      <c r="AT164" s="3">
        <v>0.367</v>
      </c>
      <c r="AU164" s="3">
        <v>53.741</v>
      </c>
    </row>
    <row r="165" ht="14.25" customHeight="1">
      <c r="A165" s="2" t="s">
        <v>497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>
        <v>0.458</v>
      </c>
      <c r="M165" s="3">
        <v>0.442</v>
      </c>
      <c r="N165" s="3">
        <v>0.302</v>
      </c>
      <c r="O165" s="3">
        <v>0.293</v>
      </c>
      <c r="P165" s="3">
        <v>0.269</v>
      </c>
      <c r="Q165" s="3">
        <v>0.229</v>
      </c>
      <c r="R165" s="3">
        <v>0.215</v>
      </c>
      <c r="S165" s="3">
        <v>0.2</v>
      </c>
      <c r="T165" s="3">
        <v>0.185</v>
      </c>
      <c r="U165" s="3">
        <v>0.191</v>
      </c>
      <c r="V165" s="3">
        <v>0.219</v>
      </c>
      <c r="W165" s="3">
        <v>0.222</v>
      </c>
      <c r="X165" s="3">
        <v>0.227</v>
      </c>
      <c r="Y165" s="3">
        <v>0.215</v>
      </c>
      <c r="Z165" s="3">
        <v>0.233</v>
      </c>
      <c r="AA165" s="3">
        <v>0.243</v>
      </c>
      <c r="AB165" s="3">
        <v>0.251</v>
      </c>
      <c r="AC165" s="3">
        <v>0.28</v>
      </c>
      <c r="AD165" s="3">
        <v>0.275</v>
      </c>
      <c r="AE165" s="3">
        <v>0.252</v>
      </c>
      <c r="AF165" s="3">
        <v>0.186</v>
      </c>
      <c r="AG165" s="3">
        <v>0.196</v>
      </c>
      <c r="AH165" s="3">
        <v>0.192</v>
      </c>
      <c r="AI165" s="3">
        <v>0.204</v>
      </c>
      <c r="AJ165" s="3">
        <v>0.196</v>
      </c>
      <c r="AK165" s="3">
        <v>0.229</v>
      </c>
      <c r="AL165" s="3">
        <v>0.245</v>
      </c>
      <c r="AM165" s="3">
        <v>0.271</v>
      </c>
      <c r="AN165" s="3">
        <v>0.303</v>
      </c>
      <c r="AO165" s="3">
        <v>0.356</v>
      </c>
      <c r="AP165" s="3">
        <v>0.331</v>
      </c>
      <c r="AQ165" s="3">
        <v>0.359</v>
      </c>
      <c r="AR165" s="3">
        <v>0.385</v>
      </c>
      <c r="AS165" s="3">
        <v>0.42</v>
      </c>
      <c r="AT165" s="3">
        <v>0.411</v>
      </c>
      <c r="AU165" s="3">
        <v>9.485</v>
      </c>
    </row>
    <row r="166" ht="14.25" customHeight="1">
      <c r="A166" s="2" t="s">
        <v>498</v>
      </c>
      <c r="B166" s="3">
        <v>0.482</v>
      </c>
      <c r="C166" s="3">
        <v>0.47</v>
      </c>
      <c r="D166" s="3">
        <v>0.47</v>
      </c>
      <c r="E166" s="3">
        <v>0.47</v>
      </c>
      <c r="F166" s="3">
        <v>0.47</v>
      </c>
      <c r="G166" s="3">
        <v>0.501</v>
      </c>
      <c r="H166" s="3">
        <v>0.508</v>
      </c>
      <c r="I166" s="3">
        <v>0.508</v>
      </c>
      <c r="J166" s="3">
        <v>0.508</v>
      </c>
      <c r="K166" s="3">
        <v>0.519</v>
      </c>
      <c r="L166" s="3">
        <v>0.503</v>
      </c>
      <c r="M166" s="3">
        <v>0.503</v>
      </c>
      <c r="N166" s="3">
        <v>0.521</v>
      </c>
      <c r="O166" s="3">
        <v>0.534</v>
      </c>
      <c r="P166" s="3">
        <v>0.639</v>
      </c>
      <c r="Q166" s="3">
        <v>0.639</v>
      </c>
      <c r="R166" s="3">
        <v>0.655</v>
      </c>
      <c r="S166" s="3">
        <v>0.655</v>
      </c>
      <c r="T166" s="3">
        <v>0.655</v>
      </c>
      <c r="U166" s="3">
        <v>0.655</v>
      </c>
      <c r="V166" s="3">
        <v>0.655</v>
      </c>
      <c r="W166" s="3">
        <v>0.655</v>
      </c>
      <c r="X166" s="3">
        <v>0.655</v>
      </c>
      <c r="Y166" s="3">
        <v>0.649</v>
      </c>
      <c r="Z166" s="3">
        <v>0.633</v>
      </c>
      <c r="AA166" s="3">
        <v>0.633</v>
      </c>
      <c r="AB166" s="3">
        <v>0.657</v>
      </c>
      <c r="AC166" s="3">
        <v>0.705</v>
      </c>
      <c r="AD166" s="3">
        <v>0.703</v>
      </c>
      <c r="AE166" s="3">
        <v>0.703</v>
      </c>
      <c r="AF166" s="3">
        <v>0.703</v>
      </c>
      <c r="AG166" s="3">
        <v>0.692</v>
      </c>
      <c r="AH166" s="3">
        <v>0.71</v>
      </c>
      <c r="AI166" s="3">
        <v>0.702</v>
      </c>
      <c r="AJ166" s="3">
        <v>0.7</v>
      </c>
      <c r="AK166" s="3">
        <v>0.7</v>
      </c>
      <c r="AL166" s="3">
        <v>0.7</v>
      </c>
      <c r="AM166" s="3">
        <v>0.71</v>
      </c>
      <c r="AN166" s="3">
        <v>0.724</v>
      </c>
      <c r="AO166" s="3">
        <v>0.708</v>
      </c>
      <c r="AP166" s="3">
        <v>0.707</v>
      </c>
      <c r="AQ166" s="3">
        <v>0.695</v>
      </c>
      <c r="AR166" s="3">
        <v>0.696</v>
      </c>
      <c r="AS166" s="3">
        <v>0.652</v>
      </c>
      <c r="AT166" s="3">
        <v>0.643</v>
      </c>
      <c r="AU166" s="3">
        <v>32.026</v>
      </c>
    </row>
    <row r="167" ht="14.25" customHeight="1">
      <c r="A167" s="2" t="s">
        <v>121</v>
      </c>
      <c r="B167" s="3">
        <v>0.978</v>
      </c>
      <c r="C167" s="3">
        <v>0.978</v>
      </c>
      <c r="D167" s="3">
        <v>0.978</v>
      </c>
      <c r="E167" s="3">
        <v>0.978</v>
      </c>
      <c r="F167" s="3">
        <v>0.978</v>
      </c>
      <c r="G167" s="3">
        <v>0.978</v>
      </c>
      <c r="H167" s="3">
        <v>0.978</v>
      </c>
      <c r="I167" s="3">
        <v>0.978</v>
      </c>
      <c r="J167" s="3">
        <v>0.978</v>
      </c>
      <c r="K167" s="3">
        <v>0.978</v>
      </c>
      <c r="L167" s="3">
        <v>0.978</v>
      </c>
      <c r="M167" s="3">
        <v>0.978</v>
      </c>
      <c r="N167" s="3">
        <v>0.978</v>
      </c>
      <c r="O167" s="3">
        <v>0.978</v>
      </c>
      <c r="P167" s="3">
        <v>0.981</v>
      </c>
      <c r="Q167" s="3">
        <v>0.981</v>
      </c>
      <c r="R167" s="3">
        <v>0.981</v>
      </c>
      <c r="S167" s="3">
        <v>0.981</v>
      </c>
      <c r="T167" s="3">
        <v>0.979</v>
      </c>
      <c r="U167" s="3">
        <v>0.979</v>
      </c>
      <c r="V167" s="3">
        <v>0.979</v>
      </c>
      <c r="W167" s="3">
        <v>0.978</v>
      </c>
      <c r="X167" s="3">
        <v>0.978</v>
      </c>
      <c r="Y167" s="3">
        <v>0.978</v>
      </c>
      <c r="Z167" s="3">
        <v>0.978</v>
      </c>
      <c r="AA167" s="3">
        <v>0.978</v>
      </c>
      <c r="AB167" s="3">
        <v>0.978</v>
      </c>
      <c r="AC167" s="3">
        <v>0.976</v>
      </c>
      <c r="AD167" s="3">
        <v>0.976</v>
      </c>
      <c r="AE167" s="3">
        <v>0.976</v>
      </c>
      <c r="AF167" s="3">
        <v>0.975</v>
      </c>
      <c r="AG167" s="3">
        <v>0.975</v>
      </c>
      <c r="AH167" s="3">
        <v>0.975</v>
      </c>
      <c r="AI167" s="3">
        <v>0.976</v>
      </c>
      <c r="AJ167" s="3">
        <v>0.976</v>
      </c>
      <c r="AK167" s="3">
        <v>0.976</v>
      </c>
      <c r="AL167" s="3">
        <v>0.976</v>
      </c>
      <c r="AM167" s="3">
        <v>0.98</v>
      </c>
      <c r="AN167" s="3">
        <v>0.98</v>
      </c>
      <c r="AO167" s="3">
        <v>0.972</v>
      </c>
      <c r="AP167" s="3">
        <v>0.968</v>
      </c>
      <c r="AQ167" s="3">
        <v>0.96</v>
      </c>
      <c r="AR167" s="3">
        <v>0.962</v>
      </c>
      <c r="AS167" s="3">
        <v>0.957</v>
      </c>
      <c r="AT167" s="3">
        <v>0.957</v>
      </c>
      <c r="AU167" s="3">
        <v>212.224</v>
      </c>
    </row>
    <row r="168" ht="14.25" customHeight="1">
      <c r="A168" s="2" t="s">
        <v>499</v>
      </c>
      <c r="B168" s="3">
        <v>0.971</v>
      </c>
      <c r="C168" s="3">
        <v>0.966</v>
      </c>
      <c r="D168" s="3">
        <v>0.965</v>
      </c>
      <c r="E168" s="3">
        <v>0.965</v>
      </c>
      <c r="F168" s="3">
        <v>0.965</v>
      </c>
      <c r="G168" s="3">
        <v>0.965</v>
      </c>
      <c r="H168" s="3">
        <v>0.965</v>
      </c>
      <c r="I168" s="3">
        <v>0.967</v>
      </c>
      <c r="J168" s="3">
        <v>0.967</v>
      </c>
      <c r="K168" s="3">
        <v>0.97</v>
      </c>
      <c r="L168" s="3">
        <v>0.975</v>
      </c>
      <c r="M168" s="3">
        <v>0.975</v>
      </c>
      <c r="N168" s="3">
        <v>0.975</v>
      </c>
      <c r="O168" s="3">
        <v>0.977</v>
      </c>
      <c r="P168" s="3">
        <v>0.977</v>
      </c>
      <c r="Q168" s="3">
        <v>0.977</v>
      </c>
      <c r="R168" s="3">
        <v>0.977</v>
      </c>
      <c r="S168" s="3">
        <v>0.977</v>
      </c>
      <c r="T168" s="3">
        <v>0.977</v>
      </c>
      <c r="U168" s="3">
        <v>0.977</v>
      </c>
      <c r="V168" s="3">
        <v>0.979</v>
      </c>
      <c r="W168" s="3">
        <v>0.978</v>
      </c>
      <c r="X168" s="3">
        <v>0.978</v>
      </c>
      <c r="Y168" s="3">
        <v>0.978</v>
      </c>
      <c r="Z168" s="3">
        <v>0.978</v>
      </c>
      <c r="AA168" s="3">
        <v>0.978</v>
      </c>
      <c r="AB168" s="3">
        <v>0.978</v>
      </c>
      <c r="AC168" s="3">
        <v>0.978</v>
      </c>
      <c r="AD168" s="3">
        <v>0.98</v>
      </c>
      <c r="AE168" s="3">
        <v>0.983</v>
      </c>
      <c r="AF168" s="3">
        <v>0.983</v>
      </c>
      <c r="AG168" s="3">
        <v>0.983</v>
      </c>
      <c r="AH168" s="3">
        <v>0.982</v>
      </c>
      <c r="AI168" s="3">
        <v>0.982</v>
      </c>
      <c r="AJ168" s="3">
        <v>0.982</v>
      </c>
      <c r="AK168" s="3">
        <v>0.982</v>
      </c>
      <c r="AL168" s="3">
        <v>0.973</v>
      </c>
      <c r="AM168" s="3">
        <v>0.936</v>
      </c>
      <c r="AN168" s="3">
        <v>0.941</v>
      </c>
      <c r="AO168" s="3">
        <v>0.938</v>
      </c>
      <c r="AP168" s="3">
        <v>0.938</v>
      </c>
      <c r="AQ168" s="3">
        <v>0.966</v>
      </c>
      <c r="AR168" s="3">
        <v>0.968</v>
      </c>
      <c r="AS168" s="3">
        <v>0.973</v>
      </c>
      <c r="AT168" s="3">
        <v>0.965</v>
      </c>
      <c r="AU168" s="3">
        <v>216.011</v>
      </c>
    </row>
    <row r="169" ht="14.25" customHeight="1">
      <c r="A169" s="2" t="s">
        <v>122</v>
      </c>
      <c r="B169" s="3">
        <v>0.32</v>
      </c>
      <c r="C169" s="3">
        <v>0.32</v>
      </c>
      <c r="D169" s="3">
        <v>0.32</v>
      </c>
      <c r="E169" s="3">
        <v>0.32</v>
      </c>
      <c r="F169" s="3">
        <v>0.324</v>
      </c>
      <c r="G169" s="3">
        <v>0.922</v>
      </c>
      <c r="H169" s="3">
        <v>0.937</v>
      </c>
      <c r="I169" s="3">
        <v>0.954</v>
      </c>
      <c r="J169" s="3">
        <v>0.954</v>
      </c>
      <c r="K169" s="3">
        <v>0.954</v>
      </c>
      <c r="L169" s="3">
        <v>0.955</v>
      </c>
      <c r="M169" s="3">
        <v>0.955</v>
      </c>
      <c r="N169" s="3">
        <v>0.955</v>
      </c>
      <c r="O169" s="3">
        <v>0.955</v>
      </c>
      <c r="P169" s="3">
        <v>0.955</v>
      </c>
      <c r="Q169" s="3">
        <v>0.959</v>
      </c>
      <c r="R169" s="3">
        <v>0.96</v>
      </c>
      <c r="S169" s="3">
        <v>0.958</v>
      </c>
      <c r="T169" s="3">
        <v>0.96</v>
      </c>
      <c r="U169" s="3">
        <v>0.96</v>
      </c>
      <c r="V169" s="3">
        <v>0.957</v>
      </c>
      <c r="W169" s="3">
        <v>0.961</v>
      </c>
      <c r="X169" s="3">
        <v>0.961</v>
      </c>
      <c r="Y169" s="3">
        <v>0.951</v>
      </c>
      <c r="Z169" s="3">
        <v>0.96</v>
      </c>
      <c r="AA169" s="3">
        <v>0.965</v>
      </c>
      <c r="AB169" s="3">
        <v>0.965</v>
      </c>
      <c r="AC169" s="3">
        <v>0.965</v>
      </c>
      <c r="AD169" s="3">
        <v>0.965</v>
      </c>
      <c r="AE169" s="3">
        <v>0.965</v>
      </c>
      <c r="AF169" s="3">
        <v>0.963</v>
      </c>
      <c r="AG169" s="3">
        <v>0.963</v>
      </c>
      <c r="AH169" s="3">
        <v>0.963</v>
      </c>
      <c r="AI169" s="3">
        <v>0.957</v>
      </c>
      <c r="AJ169" s="3">
        <v>0.961</v>
      </c>
      <c r="AK169" s="3">
        <v>0.965</v>
      </c>
      <c r="AL169" s="3">
        <v>0.965</v>
      </c>
      <c r="AM169" s="3">
        <v>0.965</v>
      </c>
      <c r="AN169" s="3">
        <v>0.965</v>
      </c>
      <c r="AO169" s="3">
        <v>0.965</v>
      </c>
      <c r="AP169" s="3">
        <v>0.96</v>
      </c>
      <c r="AQ169" s="3">
        <v>0.948</v>
      </c>
      <c r="AR169" s="3">
        <v>0.934</v>
      </c>
      <c r="AS169" s="3">
        <v>0.936</v>
      </c>
      <c r="AT169" s="3">
        <v>0.946</v>
      </c>
      <c r="AU169" s="3">
        <v>139.769</v>
      </c>
    </row>
    <row r="170" ht="14.25" customHeight="1">
      <c r="A170" s="2" t="s">
        <v>500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>
        <v>0.137</v>
      </c>
      <c r="M170" s="3">
        <v>0.137</v>
      </c>
      <c r="N170" s="3">
        <v>0.063</v>
      </c>
      <c r="O170" s="3">
        <v>0.058</v>
      </c>
      <c r="P170" s="3">
        <v>0.055</v>
      </c>
      <c r="Q170" s="3">
        <v>0.055</v>
      </c>
      <c r="R170" s="3">
        <v>0.054</v>
      </c>
      <c r="S170" s="3">
        <v>0.053</v>
      </c>
      <c r="T170" s="3">
        <v>0.047</v>
      </c>
      <c r="U170" s="3">
        <v>0.043</v>
      </c>
      <c r="V170" s="3">
        <v>0.043</v>
      </c>
      <c r="W170" s="3">
        <v>0.043</v>
      </c>
      <c r="X170" s="3">
        <v>0.043</v>
      </c>
      <c r="Y170" s="3">
        <v>0.047</v>
      </c>
      <c r="Z170" s="3">
        <v>0.045</v>
      </c>
      <c r="AA170" s="3">
        <v>0.047</v>
      </c>
      <c r="AB170" s="3">
        <v>0.047</v>
      </c>
      <c r="AC170" s="3">
        <v>0.048</v>
      </c>
      <c r="AD170" s="3">
        <v>0.048</v>
      </c>
      <c r="AE170" s="3">
        <v>0.05</v>
      </c>
      <c r="AF170" s="3">
        <v>0.051</v>
      </c>
      <c r="AG170" s="3">
        <v>0.05</v>
      </c>
      <c r="AH170" s="3">
        <v>0.049</v>
      </c>
      <c r="AI170" s="3">
        <v>0.051</v>
      </c>
      <c r="AJ170" s="3">
        <v>0.052</v>
      </c>
      <c r="AK170" s="3">
        <v>0.052</v>
      </c>
      <c r="AL170" s="3">
        <v>0.053</v>
      </c>
      <c r="AM170" s="3">
        <v>0.099</v>
      </c>
      <c r="AN170" s="3">
        <v>0.114</v>
      </c>
      <c r="AO170" s="3">
        <v>0.171</v>
      </c>
      <c r="AP170" s="3">
        <v>0.183</v>
      </c>
      <c r="AQ170" s="3">
        <v>0.193</v>
      </c>
      <c r="AR170" s="3">
        <v>0.173</v>
      </c>
      <c r="AS170" s="3">
        <v>0.179</v>
      </c>
      <c r="AT170" s="3">
        <v>0.157</v>
      </c>
      <c r="AU170" s="3">
        <v>17.933</v>
      </c>
    </row>
    <row r="171" ht="14.25" customHeight="1">
      <c r="A171" s="2" t="s">
        <v>501</v>
      </c>
      <c r="B171" s="3">
        <v>0.786</v>
      </c>
      <c r="C171" s="3">
        <v>0.786</v>
      </c>
      <c r="D171" s="3">
        <v>0.786</v>
      </c>
      <c r="E171" s="3">
        <v>0.786</v>
      </c>
      <c r="F171" s="3">
        <v>0.786</v>
      </c>
      <c r="G171" s="3">
        <v>0.786</v>
      </c>
      <c r="H171" s="3">
        <v>0.786</v>
      </c>
      <c r="I171" s="3">
        <v>0.786</v>
      </c>
      <c r="J171" s="3">
        <v>0.786</v>
      </c>
      <c r="K171" s="3">
        <v>0.786</v>
      </c>
      <c r="L171" s="3">
        <v>0.768</v>
      </c>
      <c r="M171" s="3">
        <v>0.759</v>
      </c>
      <c r="N171" s="3">
        <v>0.735</v>
      </c>
      <c r="O171" s="3">
        <v>0.735</v>
      </c>
      <c r="P171" s="3">
        <v>0.735</v>
      </c>
      <c r="Q171" s="3">
        <v>0.735</v>
      </c>
      <c r="R171" s="3">
        <v>0.735</v>
      </c>
      <c r="S171" s="3">
        <v>0.735</v>
      </c>
      <c r="T171" s="3">
        <v>0.735</v>
      </c>
      <c r="U171" s="3">
        <v>0.735</v>
      </c>
      <c r="V171" s="3">
        <v>0.721</v>
      </c>
      <c r="W171" s="3">
        <v>0.721</v>
      </c>
      <c r="X171" s="3">
        <v>0.721</v>
      </c>
      <c r="Y171" s="3">
        <v>0.721</v>
      </c>
      <c r="Z171" s="3">
        <v>0.721</v>
      </c>
      <c r="AA171" s="3">
        <v>0.721</v>
      </c>
      <c r="AB171" s="3">
        <v>0.721</v>
      </c>
      <c r="AC171" s="3">
        <v>0.721</v>
      </c>
      <c r="AD171" s="3">
        <v>0.721</v>
      </c>
      <c r="AE171" s="3">
        <v>0.721</v>
      </c>
      <c r="AF171" s="3">
        <v>0.728</v>
      </c>
      <c r="AG171" s="3">
        <v>0.728</v>
      </c>
      <c r="AH171" s="3">
        <v>0.728</v>
      </c>
      <c r="AI171" s="3">
        <v>0.728</v>
      </c>
      <c r="AJ171" s="3">
        <v>0.728</v>
      </c>
      <c r="AK171" s="3">
        <v>0.745</v>
      </c>
      <c r="AL171" s="3">
        <v>0.745</v>
      </c>
      <c r="AM171" s="3">
        <v>0.763</v>
      </c>
      <c r="AN171" s="3">
        <v>0.782</v>
      </c>
      <c r="AO171" s="3">
        <v>0.763</v>
      </c>
      <c r="AP171" s="3">
        <v>0.806</v>
      </c>
      <c r="AQ171" s="3">
        <v>0.808</v>
      </c>
      <c r="AR171" s="3">
        <v>0.832</v>
      </c>
      <c r="AS171" s="3">
        <v>0.832</v>
      </c>
      <c r="AT171" s="3">
        <v>0.859</v>
      </c>
      <c r="AU171" s="3">
        <v>104.678</v>
      </c>
    </row>
    <row r="172" ht="14.25" customHeight="1">
      <c r="A172" s="2" t="s">
        <v>123</v>
      </c>
      <c r="B172" s="3">
        <v>0.565</v>
      </c>
      <c r="C172" s="3">
        <v>0.565</v>
      </c>
      <c r="D172" s="3">
        <v>0.565</v>
      </c>
      <c r="E172" s="3">
        <v>0.565</v>
      </c>
      <c r="F172" s="3">
        <v>0.558</v>
      </c>
      <c r="G172" s="3">
        <v>0.558</v>
      </c>
      <c r="H172" s="3">
        <v>0.558</v>
      </c>
      <c r="I172" s="3">
        <v>0.558</v>
      </c>
      <c r="J172" s="3">
        <v>0.548</v>
      </c>
      <c r="K172" s="3">
        <v>0.537</v>
      </c>
      <c r="L172" s="3">
        <v>0.54</v>
      </c>
      <c r="M172" s="3">
        <v>0.571</v>
      </c>
      <c r="N172" s="3">
        <v>0.563</v>
      </c>
      <c r="O172" s="3">
        <v>0.575</v>
      </c>
      <c r="P172" s="3">
        <v>0.537</v>
      </c>
      <c r="Q172" s="3">
        <v>0.55</v>
      </c>
      <c r="R172" s="3">
        <v>0.55</v>
      </c>
      <c r="S172" s="3">
        <v>0.547</v>
      </c>
      <c r="T172" s="3">
        <v>0.505</v>
      </c>
      <c r="U172" s="3">
        <v>0.429</v>
      </c>
      <c r="V172" s="3">
        <v>0.208</v>
      </c>
      <c r="W172" s="3">
        <v>0.202</v>
      </c>
      <c r="X172" s="3">
        <v>0.191</v>
      </c>
      <c r="Y172" s="3">
        <v>0.184</v>
      </c>
      <c r="Z172" s="3">
        <v>0.145</v>
      </c>
      <c r="AA172" s="3">
        <v>0.077</v>
      </c>
      <c r="AB172" s="3">
        <v>0.075</v>
      </c>
      <c r="AC172" s="3">
        <v>0.066</v>
      </c>
      <c r="AD172" s="3">
        <v>0.069</v>
      </c>
      <c r="AE172" s="3">
        <v>0.063</v>
      </c>
      <c r="AF172" s="3">
        <v>0.056</v>
      </c>
      <c r="AG172" s="3">
        <v>0.055</v>
      </c>
      <c r="AH172" s="3">
        <v>0.056</v>
      </c>
      <c r="AI172" s="3">
        <v>0.032</v>
      </c>
      <c r="AJ172" s="3">
        <v>0.03</v>
      </c>
      <c r="AK172" s="3">
        <v>0.028</v>
      </c>
      <c r="AL172" s="3">
        <v>0.023</v>
      </c>
      <c r="AM172" s="3">
        <v>0.015</v>
      </c>
      <c r="AN172" s="3">
        <v>0.012</v>
      </c>
      <c r="AO172" s="3">
        <v>0.011</v>
      </c>
      <c r="AP172" s="3">
        <v>0.01</v>
      </c>
      <c r="AQ172" s="3">
        <v>0.013</v>
      </c>
      <c r="AR172" s="3">
        <v>0.014</v>
      </c>
      <c r="AS172" s="3">
        <v>0.013</v>
      </c>
      <c r="AT172" s="3">
        <v>0.01</v>
      </c>
      <c r="AU172" s="3">
        <v>80.155</v>
      </c>
    </row>
    <row r="173" ht="14.25" customHeight="1">
      <c r="A173" s="2" t="s">
        <v>502</v>
      </c>
      <c r="B173" s="3">
        <v>0.265</v>
      </c>
      <c r="C173" s="3">
        <v>0.269</v>
      </c>
      <c r="D173" s="3">
        <v>0.273</v>
      </c>
      <c r="E173" s="3">
        <v>0.273</v>
      </c>
      <c r="F173" s="3">
        <v>0.273</v>
      </c>
      <c r="G173" s="3">
        <v>0.273</v>
      </c>
      <c r="H173" s="3">
        <v>0.233</v>
      </c>
      <c r="I173" s="3">
        <v>0.223</v>
      </c>
      <c r="J173" s="3">
        <v>0.215</v>
      </c>
      <c r="K173" s="3">
        <v>0.215</v>
      </c>
      <c r="L173" s="3">
        <v>0.221</v>
      </c>
      <c r="M173" s="3">
        <v>0.216</v>
      </c>
      <c r="N173" s="3">
        <v>0.212</v>
      </c>
      <c r="O173" s="3">
        <v>0.217</v>
      </c>
      <c r="P173" s="3">
        <v>0.217</v>
      </c>
      <c r="Q173" s="3">
        <v>0.217</v>
      </c>
      <c r="R173" s="3">
        <v>0.217</v>
      </c>
      <c r="S173" s="3">
        <v>0.217</v>
      </c>
      <c r="T173" s="3">
        <v>0.213</v>
      </c>
      <c r="U173" s="3">
        <v>0.242</v>
      </c>
      <c r="V173" s="3">
        <v>0.238</v>
      </c>
      <c r="W173" s="3">
        <v>0.238</v>
      </c>
      <c r="X173" s="3">
        <v>0.238</v>
      </c>
      <c r="Y173" s="3">
        <v>0.238</v>
      </c>
      <c r="Z173" s="3">
        <v>0.243</v>
      </c>
      <c r="AA173" s="3">
        <v>0.301</v>
      </c>
      <c r="AB173" s="3">
        <v>0.299</v>
      </c>
      <c r="AC173" s="3">
        <v>0.299</v>
      </c>
      <c r="AD173" s="3">
        <v>0.299</v>
      </c>
      <c r="AE173" s="3">
        <v>0.299</v>
      </c>
      <c r="AF173" s="3">
        <v>0.301</v>
      </c>
      <c r="AG173" s="3">
        <v>0.301</v>
      </c>
      <c r="AH173" s="3">
        <v>0.301</v>
      </c>
      <c r="AI173" s="3">
        <v>0.355</v>
      </c>
      <c r="AJ173" s="3">
        <v>0.355</v>
      </c>
      <c r="AK173" s="3">
        <v>0.355</v>
      </c>
      <c r="AL173" s="3">
        <v>0.359</v>
      </c>
      <c r="AM173" s="3">
        <v>0.35</v>
      </c>
      <c r="AN173" s="3">
        <v>0.322</v>
      </c>
      <c r="AO173" s="3">
        <v>0.322</v>
      </c>
      <c r="AP173" s="3">
        <v>0.319</v>
      </c>
      <c r="AQ173" s="3">
        <v>0.322</v>
      </c>
      <c r="AR173" s="3">
        <v>0.301</v>
      </c>
      <c r="AS173" s="3">
        <v>0.326</v>
      </c>
      <c r="AT173" s="3">
        <v>0.353</v>
      </c>
      <c r="AU173" s="3">
        <v>24.644</v>
      </c>
    </row>
    <row r="174" ht="14.25" customHeight="1">
      <c r="A174" s="2" t="s">
        <v>124</v>
      </c>
      <c r="B174" s="3">
        <v>0.387</v>
      </c>
      <c r="C174" s="3">
        <v>0.387</v>
      </c>
      <c r="D174" s="3">
        <v>0.392</v>
      </c>
      <c r="E174" s="3">
        <v>0.392</v>
      </c>
      <c r="F174" s="3">
        <v>0.392</v>
      </c>
      <c r="G174" s="3">
        <v>0.392</v>
      </c>
      <c r="H174" s="3">
        <v>0.38</v>
      </c>
      <c r="I174" s="3">
        <v>0.363</v>
      </c>
      <c r="J174" s="3">
        <v>0.363</v>
      </c>
      <c r="K174" s="3">
        <v>0.363</v>
      </c>
      <c r="L174" s="3">
        <v>0.276</v>
      </c>
      <c r="M174" s="3">
        <v>0.256</v>
      </c>
      <c r="N174" s="3">
        <v>0.256</v>
      </c>
      <c r="O174" s="3">
        <v>0.256</v>
      </c>
      <c r="P174" s="3">
        <v>0.238</v>
      </c>
      <c r="Q174" s="3">
        <v>0.126</v>
      </c>
      <c r="R174" s="3">
        <v>0.126</v>
      </c>
      <c r="S174" s="3">
        <v>0.126</v>
      </c>
      <c r="T174" s="3">
        <v>0.126</v>
      </c>
      <c r="U174" s="3">
        <v>0.126</v>
      </c>
      <c r="V174" s="3">
        <v>0.112</v>
      </c>
      <c r="W174" s="3">
        <v>0.112</v>
      </c>
      <c r="X174" s="3">
        <v>0.119</v>
      </c>
      <c r="Y174" s="3">
        <v>0.119</v>
      </c>
      <c r="Z174" s="3">
        <v>0.119</v>
      </c>
      <c r="AA174" s="3">
        <v>0.119</v>
      </c>
      <c r="AB174" s="3">
        <v>0.119</v>
      </c>
      <c r="AC174" s="3">
        <v>0.122</v>
      </c>
      <c r="AD174" s="3">
        <v>0.117</v>
      </c>
      <c r="AE174" s="3">
        <v>0.117</v>
      </c>
      <c r="AF174" s="3">
        <v>0.117</v>
      </c>
      <c r="AG174" s="3">
        <v>0.116</v>
      </c>
      <c r="AH174" s="3">
        <v>0.139</v>
      </c>
      <c r="AI174" s="3">
        <v>0.125</v>
      </c>
      <c r="AJ174" s="3">
        <v>0.103</v>
      </c>
      <c r="AK174" s="3">
        <v>0.061</v>
      </c>
      <c r="AL174" s="3">
        <v>0.055</v>
      </c>
      <c r="AM174" s="3">
        <v>0.056</v>
      </c>
      <c r="AN174" s="3">
        <v>0.055</v>
      </c>
      <c r="AO174" s="3">
        <v>0.066</v>
      </c>
      <c r="AP174" s="3">
        <v>0.053</v>
      </c>
      <c r="AQ174" s="3">
        <v>0.042</v>
      </c>
      <c r="AR174" s="3">
        <v>0.06</v>
      </c>
      <c r="AS174" s="3">
        <v>0.057</v>
      </c>
      <c r="AT174" s="3">
        <v>0.058</v>
      </c>
      <c r="AU174" s="3">
        <v>30.427</v>
      </c>
    </row>
    <row r="175" ht="14.25" customHeight="1">
      <c r="A175" s="2" t="s">
        <v>125</v>
      </c>
      <c r="B175" s="3">
        <v>0.69</v>
      </c>
      <c r="C175" s="3">
        <v>0.69</v>
      </c>
      <c r="D175" s="3">
        <v>0.69</v>
      </c>
      <c r="E175" s="3">
        <v>0.69</v>
      </c>
      <c r="F175" s="3">
        <v>0.69</v>
      </c>
      <c r="G175" s="3">
        <v>0.69</v>
      </c>
      <c r="H175" s="3">
        <v>0.69</v>
      </c>
      <c r="I175" s="3">
        <v>0.69</v>
      </c>
      <c r="J175" s="3">
        <v>0.69</v>
      </c>
      <c r="K175" s="3">
        <v>0.69</v>
      </c>
      <c r="L175" s="3">
        <v>0.68</v>
      </c>
      <c r="M175" s="3">
        <v>0.641</v>
      </c>
      <c r="N175" s="3">
        <v>0.604</v>
      </c>
      <c r="O175" s="3">
        <v>0.604</v>
      </c>
      <c r="P175" s="3">
        <v>0.604</v>
      </c>
      <c r="Q175" s="3">
        <v>0.604</v>
      </c>
      <c r="R175" s="3">
        <v>0.604</v>
      </c>
      <c r="S175" s="3">
        <v>0.604</v>
      </c>
      <c r="T175" s="3">
        <v>0.61</v>
      </c>
      <c r="U175" s="3">
        <v>0.61</v>
      </c>
      <c r="V175" s="3">
        <v>0.61</v>
      </c>
      <c r="W175" s="3">
        <v>0.637</v>
      </c>
      <c r="X175" s="3">
        <v>0.769</v>
      </c>
      <c r="Y175" s="3">
        <v>0.769</v>
      </c>
      <c r="Z175" s="3">
        <v>0.769</v>
      </c>
      <c r="AA175" s="3">
        <v>0.817</v>
      </c>
      <c r="AB175" s="3">
        <v>0.817</v>
      </c>
      <c r="AC175" s="3">
        <v>0.82</v>
      </c>
      <c r="AD175" s="3">
        <v>0.713</v>
      </c>
      <c r="AE175" s="3">
        <v>0.686</v>
      </c>
      <c r="AF175" s="3">
        <v>0.693</v>
      </c>
      <c r="AG175" s="3">
        <v>0.726</v>
      </c>
      <c r="AH175" s="3">
        <v>0.805</v>
      </c>
      <c r="AI175" s="3">
        <v>0.723</v>
      </c>
      <c r="AJ175" s="3">
        <v>0.723</v>
      </c>
      <c r="AK175" s="3">
        <v>0.684</v>
      </c>
      <c r="AL175" s="3">
        <v>0.637</v>
      </c>
      <c r="AM175" s="3">
        <v>0.577</v>
      </c>
      <c r="AN175" s="3">
        <v>0.534</v>
      </c>
      <c r="AO175" s="3">
        <v>0.49</v>
      </c>
      <c r="AP175" s="3">
        <v>0.449</v>
      </c>
      <c r="AQ175" s="3">
        <v>0.541</v>
      </c>
      <c r="AR175" s="3">
        <v>0.76</v>
      </c>
      <c r="AS175" s="3">
        <v>0.79</v>
      </c>
      <c r="AT175" s="3">
        <v>0.674</v>
      </c>
      <c r="AU175" s="3">
        <v>80.4799999999999</v>
      </c>
    </row>
    <row r="176" ht="14.25" customHeight="1">
      <c r="A176" s="2" t="s">
        <v>126</v>
      </c>
      <c r="B176" s="3">
        <v>0.639</v>
      </c>
      <c r="C176" s="3">
        <v>0.65</v>
      </c>
      <c r="D176" s="3">
        <v>0.65</v>
      </c>
      <c r="E176" s="3">
        <v>0.65</v>
      </c>
      <c r="F176" s="3">
        <v>0.65</v>
      </c>
      <c r="G176" s="3">
        <v>0.65</v>
      </c>
      <c r="H176" s="3">
        <v>0.65</v>
      </c>
      <c r="I176" s="3">
        <v>0.634</v>
      </c>
      <c r="J176" s="3">
        <v>0.647</v>
      </c>
      <c r="K176" s="3">
        <v>0.656</v>
      </c>
      <c r="L176" s="3">
        <v>0.619</v>
      </c>
      <c r="M176" s="3">
        <v>0.619</v>
      </c>
      <c r="N176" s="3">
        <v>0.619</v>
      </c>
      <c r="O176" s="3">
        <v>0.619</v>
      </c>
      <c r="P176" s="3">
        <v>0.619</v>
      </c>
      <c r="Q176" s="3">
        <v>0.619</v>
      </c>
      <c r="R176" s="3">
        <v>0.619</v>
      </c>
      <c r="S176" s="3">
        <v>0.619</v>
      </c>
      <c r="T176" s="3">
        <v>0.575</v>
      </c>
      <c r="U176" s="3">
        <v>0.575</v>
      </c>
      <c r="V176" s="3">
        <v>0.272</v>
      </c>
      <c r="W176" s="3">
        <v>0.209</v>
      </c>
      <c r="X176" s="3">
        <v>0.209</v>
      </c>
      <c r="Y176" s="3">
        <v>0.183</v>
      </c>
      <c r="Z176" s="3">
        <v>0.183</v>
      </c>
      <c r="AA176" s="3">
        <v>0.183</v>
      </c>
      <c r="AB176" s="3">
        <v>0.183</v>
      </c>
      <c r="AC176" s="3">
        <v>0.183</v>
      </c>
      <c r="AD176" s="3">
        <v>0.183</v>
      </c>
      <c r="AE176" s="3">
        <v>0.237</v>
      </c>
      <c r="AF176" s="3">
        <v>0.317</v>
      </c>
      <c r="AG176" s="3">
        <v>0.317</v>
      </c>
      <c r="AH176" s="3">
        <v>0.318</v>
      </c>
      <c r="AI176" s="3">
        <v>0.342</v>
      </c>
      <c r="AJ176" s="3">
        <v>0.308</v>
      </c>
      <c r="AK176" s="3">
        <v>0.308</v>
      </c>
      <c r="AL176" s="3">
        <v>0.281</v>
      </c>
      <c r="AM176" s="3">
        <v>0.266</v>
      </c>
      <c r="AN176" s="3">
        <v>0.255</v>
      </c>
      <c r="AO176" s="3">
        <v>0.227</v>
      </c>
      <c r="AP176" s="3">
        <v>0.233</v>
      </c>
      <c r="AQ176" s="3">
        <v>0.215</v>
      </c>
      <c r="AR176" s="3">
        <v>0.209</v>
      </c>
      <c r="AS176" s="3">
        <v>0.176</v>
      </c>
      <c r="AT176" s="3">
        <v>0.19</v>
      </c>
      <c r="AU176" s="3">
        <v>66.031</v>
      </c>
    </row>
    <row r="177" ht="14.25" customHeight="1">
      <c r="A177" s="2" t="s">
        <v>431</v>
      </c>
      <c r="B177" s="3">
        <v>73.293</v>
      </c>
      <c r="C177" s="3">
        <v>73.306</v>
      </c>
      <c r="D177" s="3">
        <v>73.164</v>
      </c>
      <c r="E177" s="3">
        <v>73.748</v>
      </c>
      <c r="F177" s="3">
        <v>74.365</v>
      </c>
      <c r="G177" s="3">
        <v>74.984</v>
      </c>
      <c r="H177" s="3">
        <v>75.414</v>
      </c>
      <c r="I177" s="3">
        <v>75.61</v>
      </c>
      <c r="J177" s="3">
        <v>75.512</v>
      </c>
      <c r="K177" s="3">
        <v>76.292</v>
      </c>
      <c r="L177" s="3">
        <v>86.374</v>
      </c>
      <c r="M177" s="3">
        <v>88.808</v>
      </c>
      <c r="N177" s="3">
        <v>89.443</v>
      </c>
      <c r="O177" s="3">
        <v>90.515</v>
      </c>
      <c r="P177" s="3">
        <v>89.884</v>
      </c>
      <c r="Q177" s="3">
        <v>89.849</v>
      </c>
      <c r="R177" s="3">
        <v>89.753</v>
      </c>
      <c r="S177" s="3">
        <v>89.124</v>
      </c>
      <c r="T177" s="3">
        <v>89.91</v>
      </c>
      <c r="U177" s="3">
        <v>91.0840000000001</v>
      </c>
      <c r="V177" s="3">
        <v>91.846</v>
      </c>
      <c r="W177" s="3">
        <v>92.469</v>
      </c>
      <c r="X177" s="3">
        <v>92.867</v>
      </c>
      <c r="Y177" s="3">
        <v>92.913</v>
      </c>
      <c r="Z177" s="3">
        <v>93.572</v>
      </c>
      <c r="AA177" s="3">
        <v>93.633</v>
      </c>
      <c r="AB177" s="3">
        <v>93.677</v>
      </c>
      <c r="AC177" s="3">
        <v>93.963</v>
      </c>
      <c r="AD177" s="3">
        <v>93.9920000000001</v>
      </c>
      <c r="AE177" s="3">
        <v>93.7310000000001</v>
      </c>
      <c r="AF177" s="3">
        <v>94.2989999999999</v>
      </c>
      <c r="AG177" s="3">
        <v>95.432</v>
      </c>
      <c r="AH177" s="3">
        <v>95.233</v>
      </c>
      <c r="AI177" s="3">
        <v>94.964</v>
      </c>
      <c r="AJ177" s="3">
        <v>94.9769999999999</v>
      </c>
      <c r="AK177" s="3">
        <v>95.186</v>
      </c>
      <c r="AL177" s="3">
        <v>95.407</v>
      </c>
      <c r="AM177" s="3">
        <v>96.15</v>
      </c>
      <c r="AN177" s="3">
        <v>96.4010000000001</v>
      </c>
      <c r="AO177" s="3">
        <v>96.46</v>
      </c>
      <c r="AP177" s="3">
        <v>96.831</v>
      </c>
      <c r="AQ177" s="3">
        <v>96.303</v>
      </c>
      <c r="AR177" s="3">
        <v>96.597</v>
      </c>
      <c r="AS177" s="3">
        <v>95.998</v>
      </c>
      <c r="AT177" s="3">
        <v>95.453</v>
      </c>
      <c r="AU177" s="3">
        <v>12427.349</v>
      </c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67" width="8.71"/>
  </cols>
  <sheetData>
    <row r="1" ht="14.25" customHeight="1">
      <c r="A1" s="2" t="s">
        <v>407</v>
      </c>
      <c r="B1" s="2">
        <v>1960.0</v>
      </c>
      <c r="C1" s="2">
        <v>1961.0</v>
      </c>
      <c r="D1" s="2">
        <v>1962.0</v>
      </c>
      <c r="E1" s="2">
        <v>1963.0</v>
      </c>
      <c r="F1" s="2">
        <v>1964.0</v>
      </c>
      <c r="G1" s="2">
        <v>1965.0</v>
      </c>
      <c r="H1" s="2">
        <v>1966.0</v>
      </c>
      <c r="I1" s="2">
        <v>1967.0</v>
      </c>
      <c r="J1" s="2">
        <v>1968.0</v>
      </c>
      <c r="K1" s="2">
        <v>1969.0</v>
      </c>
      <c r="L1" s="2">
        <v>1970.0</v>
      </c>
      <c r="M1" s="2">
        <v>1971.0</v>
      </c>
      <c r="N1" s="2">
        <v>1972.0</v>
      </c>
      <c r="O1" s="2">
        <v>1973.0</v>
      </c>
      <c r="P1" s="2">
        <v>1974.0</v>
      </c>
      <c r="Q1" s="2">
        <v>1975.0</v>
      </c>
      <c r="R1" s="2">
        <v>1976.0</v>
      </c>
      <c r="S1" s="2">
        <v>1977.0</v>
      </c>
      <c r="T1" s="2">
        <v>1978.0</v>
      </c>
      <c r="U1" s="2">
        <v>1979.0</v>
      </c>
      <c r="V1" s="2">
        <v>1980.0</v>
      </c>
      <c r="W1" s="2">
        <v>1981.0</v>
      </c>
      <c r="X1" s="2">
        <v>1982.0</v>
      </c>
      <c r="Y1" s="2">
        <v>1983.0</v>
      </c>
      <c r="Z1" s="2">
        <v>1984.0</v>
      </c>
      <c r="AA1" s="2">
        <v>1985.0</v>
      </c>
      <c r="AB1" s="2">
        <v>1986.0</v>
      </c>
      <c r="AC1" s="2">
        <v>1987.0</v>
      </c>
      <c r="AD1" s="2">
        <v>1988.0</v>
      </c>
      <c r="AE1" s="2">
        <v>1989.0</v>
      </c>
      <c r="AF1" s="2">
        <v>1990.0</v>
      </c>
      <c r="AG1" s="2">
        <v>1991.0</v>
      </c>
      <c r="AH1" s="2">
        <v>1992.0</v>
      </c>
      <c r="AI1" s="2">
        <v>1993.0</v>
      </c>
      <c r="AJ1" s="2">
        <v>1994.0</v>
      </c>
      <c r="AK1" s="2">
        <v>1995.0</v>
      </c>
      <c r="AL1" s="2">
        <v>1996.0</v>
      </c>
      <c r="AM1" s="2">
        <v>1997.0</v>
      </c>
      <c r="AN1" s="2">
        <v>1998.0</v>
      </c>
      <c r="AO1" s="2">
        <v>1999.0</v>
      </c>
      <c r="AP1" s="2">
        <v>2000.0</v>
      </c>
      <c r="AQ1" s="2">
        <v>2001.0</v>
      </c>
      <c r="AR1" s="2">
        <v>2002.0</v>
      </c>
      <c r="AS1" s="2">
        <v>2003.0</v>
      </c>
      <c r="AT1" s="2">
        <v>2004.0</v>
      </c>
      <c r="AU1" s="2">
        <v>2005.0</v>
      </c>
      <c r="AV1" s="2">
        <v>2006.0</v>
      </c>
      <c r="AW1" s="2">
        <v>2007.0</v>
      </c>
      <c r="AX1" s="2">
        <v>2008.0</v>
      </c>
      <c r="AY1" s="2">
        <v>2009.0</v>
      </c>
      <c r="AZ1" s="2">
        <v>2010.0</v>
      </c>
      <c r="BA1" s="2">
        <v>2011.0</v>
      </c>
      <c r="BB1" s="2">
        <v>2012.0</v>
      </c>
      <c r="BC1" s="2">
        <v>2013.0</v>
      </c>
      <c r="BD1" s="2">
        <v>2014.0</v>
      </c>
      <c r="BE1" s="2">
        <v>2015.0</v>
      </c>
      <c r="BF1" s="2">
        <v>2016.0</v>
      </c>
      <c r="BG1" s="2">
        <v>2017.0</v>
      </c>
      <c r="BH1" s="2">
        <v>2018.0</v>
      </c>
      <c r="BI1" s="2">
        <v>2019.0</v>
      </c>
      <c r="BJ1" s="2">
        <v>2020.0</v>
      </c>
      <c r="BK1" s="2">
        <v>2021.0</v>
      </c>
      <c r="BL1" s="2">
        <v>2022.0</v>
      </c>
      <c r="BM1" s="2">
        <v>2023.0</v>
      </c>
      <c r="BN1" s="2">
        <v>2024.0</v>
      </c>
      <c r="BO1" s="2" t="s">
        <v>431</v>
      </c>
    </row>
    <row r="2" ht="14.25" customHeight="1">
      <c r="A2" s="2" t="s">
        <v>22</v>
      </c>
      <c r="B2" s="2">
        <v>8.401</v>
      </c>
      <c r="C2" s="2">
        <v>8.684</v>
      </c>
      <c r="D2" s="2">
        <v>8.976</v>
      </c>
      <c r="E2" s="2">
        <v>9.276</v>
      </c>
      <c r="F2" s="2">
        <v>9.586</v>
      </c>
      <c r="G2" s="2">
        <v>9.904</v>
      </c>
      <c r="H2" s="2">
        <v>10.233</v>
      </c>
      <c r="I2" s="2">
        <v>10.57</v>
      </c>
      <c r="J2" s="2">
        <v>10.918</v>
      </c>
      <c r="K2" s="2">
        <v>11.275</v>
      </c>
      <c r="L2" s="2">
        <v>11.643</v>
      </c>
      <c r="M2" s="2">
        <v>12.021</v>
      </c>
      <c r="N2" s="2">
        <v>12.41</v>
      </c>
      <c r="O2" s="2">
        <v>12.809</v>
      </c>
      <c r="P2" s="2">
        <v>13.219</v>
      </c>
      <c r="Q2" s="2">
        <v>13.641</v>
      </c>
      <c r="R2" s="2">
        <v>14.074</v>
      </c>
      <c r="S2" s="2">
        <v>14.517</v>
      </c>
      <c r="T2" s="2">
        <v>14.973</v>
      </c>
      <c r="U2" s="2">
        <v>15.442</v>
      </c>
      <c r="V2" s="2">
        <v>15.995</v>
      </c>
      <c r="W2" s="2">
        <v>16.562</v>
      </c>
      <c r="X2" s="2">
        <v>17.147</v>
      </c>
      <c r="Y2" s="2">
        <v>17.747</v>
      </c>
      <c r="Z2" s="2">
        <v>18.365</v>
      </c>
      <c r="AA2" s="2">
        <v>18.997</v>
      </c>
      <c r="AB2" s="2">
        <v>19.647</v>
      </c>
      <c r="AC2" s="2">
        <v>20.314</v>
      </c>
      <c r="AD2" s="2">
        <v>20.998</v>
      </c>
      <c r="AE2" s="2">
        <v>21.088</v>
      </c>
      <c r="AF2" s="2">
        <v>21.177</v>
      </c>
      <c r="AG2" s="2">
        <v>21.266</v>
      </c>
      <c r="AH2" s="2">
        <v>21.355</v>
      </c>
      <c r="AI2" s="2">
        <v>21.444</v>
      </c>
      <c r="AJ2" s="2">
        <v>21.534</v>
      </c>
      <c r="AK2" s="2">
        <v>21.624</v>
      </c>
      <c r="AL2" s="2">
        <v>21.714</v>
      </c>
      <c r="AM2" s="2">
        <v>21.805</v>
      </c>
      <c r="AN2" s="2">
        <v>21.895</v>
      </c>
      <c r="AO2" s="2">
        <v>21.986</v>
      </c>
      <c r="AP2" s="2">
        <v>22.078</v>
      </c>
      <c r="AQ2" s="2">
        <v>22.169</v>
      </c>
      <c r="AR2" s="2">
        <v>22.261</v>
      </c>
      <c r="AS2" s="2">
        <v>22.353</v>
      </c>
      <c r="AT2" s="2">
        <v>22.5</v>
      </c>
      <c r="AU2" s="2">
        <v>22.703</v>
      </c>
      <c r="AV2" s="2">
        <v>22.907</v>
      </c>
      <c r="AW2" s="2">
        <v>23.113</v>
      </c>
      <c r="AX2" s="2">
        <v>23.32</v>
      </c>
      <c r="AY2" s="2">
        <v>23.528</v>
      </c>
      <c r="AZ2" s="2">
        <v>23.737</v>
      </c>
      <c r="BA2" s="2">
        <v>23.948</v>
      </c>
      <c r="BB2" s="2">
        <v>24.16</v>
      </c>
      <c r="BC2" s="2">
        <v>24.373</v>
      </c>
      <c r="BD2" s="2">
        <v>24.587</v>
      </c>
      <c r="BE2" s="2">
        <v>24.803</v>
      </c>
      <c r="BF2" s="2">
        <v>25.02</v>
      </c>
      <c r="BG2" s="2">
        <v>25.25</v>
      </c>
      <c r="BH2" s="2">
        <v>25.495</v>
      </c>
      <c r="BI2" s="2">
        <v>25.754</v>
      </c>
      <c r="BJ2" s="2">
        <v>26.026</v>
      </c>
      <c r="BK2" s="2">
        <v>26.314</v>
      </c>
      <c r="BL2" s="2">
        <v>26.616</v>
      </c>
      <c r="BM2" s="2">
        <v>26.933</v>
      </c>
      <c r="BN2" s="2">
        <v>27.265</v>
      </c>
      <c r="BO2" s="2">
        <v>1242.4450000000002</v>
      </c>
    </row>
    <row r="3" ht="14.25" customHeight="1">
      <c r="A3" s="2" t="s">
        <v>503</v>
      </c>
      <c r="B3" s="2">
        <v>14.5772523474248</v>
      </c>
      <c r="C3" s="2">
        <v>14.8251752460665</v>
      </c>
      <c r="D3" s="2">
        <v>15.0838015294908</v>
      </c>
      <c r="E3" s="2">
        <v>15.3630446382494</v>
      </c>
      <c r="F3" s="2">
        <v>15.6553833139662</v>
      </c>
      <c r="G3" s="2">
        <v>15.9559120897686</v>
      </c>
      <c r="H3" s="2">
        <v>16.269383849747</v>
      </c>
      <c r="I3" s="2">
        <v>16.58865660992</v>
      </c>
      <c r="J3" s="2">
        <v>16.9146492015161</v>
      </c>
      <c r="K3" s="2">
        <v>17.2513169529071</v>
      </c>
      <c r="L3" s="2">
        <v>17.5706605827479</v>
      </c>
      <c r="M3" s="2">
        <v>17.8951995132771</v>
      </c>
      <c r="N3" s="2">
        <v>18.2413899400974</v>
      </c>
      <c r="O3" s="2">
        <v>18.5837393625732</v>
      </c>
      <c r="P3" s="2">
        <v>18.8988335351985</v>
      </c>
      <c r="Q3" s="2">
        <v>19.2191926051592</v>
      </c>
      <c r="R3" s="2">
        <v>19.5400216133089</v>
      </c>
      <c r="S3" s="2">
        <v>19.8745750785636</v>
      </c>
      <c r="T3" s="2">
        <v>20.2273041497784</v>
      </c>
      <c r="U3" s="2">
        <v>20.5659562028732</v>
      </c>
      <c r="V3" s="2">
        <v>20.9004895991675</v>
      </c>
      <c r="W3" s="2">
        <v>21.2196276716721</v>
      </c>
      <c r="X3" s="2">
        <v>21.5313179734841</v>
      </c>
      <c r="Y3" s="2">
        <v>21.9034538790279</v>
      </c>
      <c r="Z3" s="2">
        <v>22.3333446629262</v>
      </c>
      <c r="AA3" s="2">
        <v>22.8005778147924</v>
      </c>
      <c r="AB3" s="2">
        <v>23.303935569084</v>
      </c>
      <c r="AC3" s="2">
        <v>23.8053386242273</v>
      </c>
      <c r="AD3" s="2">
        <v>24.3067250815347</v>
      </c>
      <c r="AE3" s="2">
        <v>24.8006061562844</v>
      </c>
      <c r="AF3" s="2">
        <v>25.3087143914042</v>
      </c>
      <c r="AG3" s="2">
        <v>25.7425655052444</v>
      </c>
      <c r="AH3" s="2">
        <v>26.1662941217509</v>
      </c>
      <c r="AI3" s="2">
        <v>26.6072939873979</v>
      </c>
      <c r="AJ3" s="2">
        <v>27.0375748984947</v>
      </c>
      <c r="AK3" s="2">
        <v>27.4082176893189</v>
      </c>
      <c r="AL3" s="2">
        <v>27.685697177495</v>
      </c>
      <c r="AM3" s="2">
        <v>27.9580826816113</v>
      </c>
      <c r="AN3" s="2">
        <v>28.2459208135898</v>
      </c>
      <c r="AO3" s="2">
        <v>28.5328930699046</v>
      </c>
      <c r="AP3" s="2">
        <v>28.81336082821</v>
      </c>
      <c r="AQ3" s="2">
        <v>29.110011172433</v>
      </c>
      <c r="AR3" s="2">
        <v>29.4238903158694</v>
      </c>
      <c r="AS3" s="2">
        <v>29.7348697219552</v>
      </c>
      <c r="AT3" s="2">
        <v>30.0480397812627</v>
      </c>
      <c r="AU3" s="2">
        <v>30.3809953392876</v>
      </c>
      <c r="AV3" s="2">
        <v>30.7040200238869</v>
      </c>
      <c r="AW3" s="2">
        <v>30.9582450271516</v>
      </c>
      <c r="AX3" s="2">
        <v>31.3627828804761</v>
      </c>
      <c r="AY3" s="2">
        <v>31.7742373050596</v>
      </c>
      <c r="AZ3" s="2">
        <v>32.195595347122</v>
      </c>
      <c r="BA3" s="2">
        <v>32.6280688229592</v>
      </c>
      <c r="BB3" s="2">
        <v>33.0527422233929</v>
      </c>
      <c r="BC3" s="2">
        <v>33.4965565572998</v>
      </c>
      <c r="BD3" s="2">
        <v>33.959633110123</v>
      </c>
      <c r="BE3" s="2">
        <v>34.4472807617475</v>
      </c>
      <c r="BF3" s="2">
        <v>34.9195443761507</v>
      </c>
      <c r="BG3" s="2">
        <v>35.3962894579202</v>
      </c>
      <c r="BH3" s="2">
        <v>35.893397926218</v>
      </c>
      <c r="BI3" s="2">
        <v>36.3842722878149</v>
      </c>
      <c r="BJ3" s="2">
        <v>36.8840344817358</v>
      </c>
      <c r="BK3" s="2">
        <v>37.3936325291716</v>
      </c>
      <c r="BL3" s="2">
        <v>37.9090120211831</v>
      </c>
      <c r="BM3" s="2">
        <v>38.4248980530256</v>
      </c>
      <c r="BN3" s="2">
        <v>38.9491140663563</v>
      </c>
      <c r="BO3" s="2">
        <v>1680.9446441488587</v>
      </c>
    </row>
    <row r="4" ht="14.25" customHeight="1">
      <c r="A4" s="2" t="s">
        <v>504</v>
      </c>
      <c r="B4" s="2">
        <v>14.7100056707646</v>
      </c>
      <c r="C4" s="2">
        <v>15.0944452002781</v>
      </c>
      <c r="D4" s="2">
        <v>15.4879321593092</v>
      </c>
      <c r="E4" s="2">
        <v>15.9006819021766</v>
      </c>
      <c r="F4" s="2">
        <v>16.3313191437528</v>
      </c>
      <c r="G4" s="2">
        <v>16.7797929666168</v>
      </c>
      <c r="H4" s="2">
        <v>17.20868200934</v>
      </c>
      <c r="I4" s="2">
        <v>17.6528039414976</v>
      </c>
      <c r="J4" s="2">
        <v>18.1108169631274</v>
      </c>
      <c r="K4" s="2">
        <v>18.581334166958</v>
      </c>
      <c r="L4" s="2">
        <v>19.0512294673345</v>
      </c>
      <c r="M4" s="2">
        <v>19.5904317059113</v>
      </c>
      <c r="N4" s="2">
        <v>20.1453722519044</v>
      </c>
      <c r="O4" s="2">
        <v>20.7104274724214</v>
      </c>
      <c r="P4" s="2">
        <v>21.2873960816603</v>
      </c>
      <c r="Q4" s="2">
        <v>21.8739650750027</v>
      </c>
      <c r="R4" s="2">
        <v>22.4761711992625</v>
      </c>
      <c r="S4" s="2">
        <v>23.0399110280138</v>
      </c>
      <c r="T4" s="2">
        <v>23.6047322338928</v>
      </c>
      <c r="U4" s="2">
        <v>24.0839185388597</v>
      </c>
      <c r="V4" s="2">
        <v>24.5684788743509</v>
      </c>
      <c r="W4" s="2">
        <v>25.1762519651617</v>
      </c>
      <c r="X4" s="2">
        <v>25.7820092982228</v>
      </c>
      <c r="Y4" s="2">
        <v>26.3932226254944</v>
      </c>
      <c r="Z4" s="2">
        <v>27.0345530315855</v>
      </c>
      <c r="AA4" s="2">
        <v>27.7167226341278</v>
      </c>
      <c r="AB4" s="2">
        <v>28.3913219271144</v>
      </c>
      <c r="AC4" s="2">
        <v>29.0577738093021</v>
      </c>
      <c r="AD4" s="2">
        <v>29.7131261047111</v>
      </c>
      <c r="AE4" s="2">
        <v>30.3535739546889</v>
      </c>
      <c r="AF4" s="2">
        <v>30.9600979459977</v>
      </c>
      <c r="AG4" s="2">
        <v>31.401176906494</v>
      </c>
      <c r="AH4" s="2">
        <v>31.829515746326</v>
      </c>
      <c r="AI4" s="2">
        <v>32.2525611054472</v>
      </c>
      <c r="AJ4" s="2">
        <v>32.6617186027522</v>
      </c>
      <c r="AK4" s="2">
        <v>33.0650904616738</v>
      </c>
      <c r="AL4" s="2">
        <v>33.4742231035265</v>
      </c>
      <c r="AM4" s="2">
        <v>33.9298608881715</v>
      </c>
      <c r="AN4" s="2">
        <v>34.3971425862883</v>
      </c>
      <c r="AO4" s="2">
        <v>34.8681686492181</v>
      </c>
      <c r="AP4" s="2">
        <v>35.3416982581812</v>
      </c>
      <c r="AQ4" s="2">
        <v>35.9510346012348</v>
      </c>
      <c r="AR4" s="2">
        <v>36.5627714477109</v>
      </c>
      <c r="AS4" s="2">
        <v>37.1831143920223</v>
      </c>
      <c r="AT4" s="2">
        <v>37.810952244318</v>
      </c>
      <c r="AU4" s="2">
        <v>38.448379365451</v>
      </c>
      <c r="AV4" s="2">
        <v>39.0946115629788</v>
      </c>
      <c r="AW4" s="2">
        <v>39.7385907099205</v>
      </c>
      <c r="AX4" s="2">
        <v>40.3795094007576</v>
      </c>
      <c r="AY4" s="2">
        <v>41.0233922174474</v>
      </c>
      <c r="AZ4" s="2">
        <v>41.6724226228925</v>
      </c>
      <c r="BA4" s="2">
        <v>42.3164260992184</v>
      </c>
      <c r="BB4" s="2">
        <v>42.9568375522775</v>
      </c>
      <c r="BC4" s="2">
        <v>43.5879525927349</v>
      </c>
      <c r="BD4" s="2">
        <v>44.2182784910462</v>
      </c>
      <c r="BE4" s="2">
        <v>44.8490994916973</v>
      </c>
      <c r="BF4" s="2">
        <v>45.4738502261529</v>
      </c>
      <c r="BG4" s="2">
        <v>46.0941365580819</v>
      </c>
      <c r="BH4" s="2">
        <v>46.7097526162216</v>
      </c>
      <c r="BI4" s="2">
        <v>47.3226173576125</v>
      </c>
      <c r="BJ4" s="2">
        <v>47.9310209575797</v>
      </c>
      <c r="BK4" s="2">
        <v>48.5319710590464</v>
      </c>
      <c r="BL4" s="2">
        <v>49.1298079868363</v>
      </c>
      <c r="BM4" s="2">
        <v>49.7111841247345</v>
      </c>
      <c r="BN4" s="2">
        <v>50.2809344109865</v>
      </c>
      <c r="BO4" s="2">
        <v>2057.0683057458814</v>
      </c>
    </row>
    <row r="5" ht="14.25" customHeight="1">
      <c r="A5" s="2" t="s">
        <v>23</v>
      </c>
      <c r="B5" s="2">
        <v>30.705</v>
      </c>
      <c r="C5" s="2">
        <v>30.943</v>
      </c>
      <c r="D5" s="2">
        <v>31.015</v>
      </c>
      <c r="E5" s="2">
        <v>31.086</v>
      </c>
      <c r="F5" s="2">
        <v>31.158</v>
      </c>
      <c r="G5" s="2">
        <v>31.23</v>
      </c>
      <c r="H5" s="2">
        <v>31.302</v>
      </c>
      <c r="I5" s="2">
        <v>31.374</v>
      </c>
      <c r="J5" s="2">
        <v>31.446</v>
      </c>
      <c r="K5" s="2">
        <v>31.548</v>
      </c>
      <c r="L5" s="2">
        <v>31.74</v>
      </c>
      <c r="M5" s="2">
        <v>31.933</v>
      </c>
      <c r="N5" s="2">
        <v>32.127</v>
      </c>
      <c r="O5" s="2">
        <v>32.321</v>
      </c>
      <c r="P5" s="2">
        <v>32.516</v>
      </c>
      <c r="Q5" s="2">
        <v>32.712</v>
      </c>
      <c r="R5" s="2">
        <v>32.908</v>
      </c>
      <c r="S5" s="2">
        <v>33.105</v>
      </c>
      <c r="T5" s="2">
        <v>33.302</v>
      </c>
      <c r="U5" s="2">
        <v>33.5</v>
      </c>
      <c r="V5" s="2">
        <v>33.762</v>
      </c>
      <c r="W5" s="2">
        <v>34.024</v>
      </c>
      <c r="X5" s="2">
        <v>34.287</v>
      </c>
      <c r="Y5" s="2">
        <v>34.552</v>
      </c>
      <c r="Z5" s="2">
        <v>34.817</v>
      </c>
      <c r="AA5" s="2">
        <v>35.083</v>
      </c>
      <c r="AB5" s="2">
        <v>35.35</v>
      </c>
      <c r="AC5" s="2">
        <v>35.619</v>
      </c>
      <c r="AD5" s="2">
        <v>35.888</v>
      </c>
      <c r="AE5" s="2">
        <v>36.158</v>
      </c>
      <c r="AF5" s="2">
        <v>36.428</v>
      </c>
      <c r="AG5" s="2">
        <v>36.7</v>
      </c>
      <c r="AH5" s="2">
        <v>37.249</v>
      </c>
      <c r="AI5" s="2">
        <v>37.799</v>
      </c>
      <c r="AJ5" s="2">
        <v>38.354</v>
      </c>
      <c r="AK5" s="2">
        <v>38.911</v>
      </c>
      <c r="AL5" s="2">
        <v>39.473</v>
      </c>
      <c r="AM5" s="2">
        <v>40.035</v>
      </c>
      <c r="AN5" s="2">
        <v>40.601</v>
      </c>
      <c r="AO5" s="2">
        <v>41.169</v>
      </c>
      <c r="AP5" s="2">
        <v>41.741</v>
      </c>
      <c r="AQ5" s="2">
        <v>42.435</v>
      </c>
      <c r="AR5" s="2">
        <v>43.501</v>
      </c>
      <c r="AS5" s="2">
        <v>44.573</v>
      </c>
      <c r="AT5" s="2">
        <v>45.651</v>
      </c>
      <c r="AU5" s="2">
        <v>46.731</v>
      </c>
      <c r="AV5" s="2">
        <v>47.815</v>
      </c>
      <c r="AW5" s="2">
        <v>48.902</v>
      </c>
      <c r="AX5" s="2">
        <v>49.991</v>
      </c>
      <c r="AY5" s="2">
        <v>51.076</v>
      </c>
      <c r="AZ5" s="2">
        <v>52.163</v>
      </c>
      <c r="BA5" s="2">
        <v>53.247</v>
      </c>
      <c r="BB5" s="2">
        <v>54.33</v>
      </c>
      <c r="BC5" s="2">
        <v>55.387</v>
      </c>
      <c r="BD5" s="2">
        <v>56.423</v>
      </c>
      <c r="BE5" s="2">
        <v>57.434</v>
      </c>
      <c r="BF5" s="2">
        <v>58.421</v>
      </c>
      <c r="BG5" s="2">
        <v>59.383</v>
      </c>
      <c r="BH5" s="2">
        <v>60.319</v>
      </c>
      <c r="BI5" s="2">
        <v>61.229</v>
      </c>
      <c r="BJ5" s="2">
        <v>62.112</v>
      </c>
      <c r="BK5" s="2">
        <v>62.969</v>
      </c>
      <c r="BL5" s="2">
        <v>63.799</v>
      </c>
      <c r="BM5" s="2">
        <v>64.603</v>
      </c>
      <c r="BN5" s="2">
        <v>65.38</v>
      </c>
      <c r="BO5" s="2">
        <v>2723.8450000000007</v>
      </c>
    </row>
    <row r="6" ht="14.25" customHeight="1">
      <c r="A6" s="2" t="s">
        <v>24</v>
      </c>
      <c r="B6" s="2">
        <v>30.51</v>
      </c>
      <c r="C6" s="2">
        <v>31.797</v>
      </c>
      <c r="D6" s="2">
        <v>33.214</v>
      </c>
      <c r="E6" s="2">
        <v>34.662</v>
      </c>
      <c r="F6" s="2">
        <v>36.141</v>
      </c>
      <c r="G6" s="2">
        <v>37.643</v>
      </c>
      <c r="H6" s="2">
        <v>38.84</v>
      </c>
      <c r="I6" s="2">
        <v>39.004</v>
      </c>
      <c r="J6" s="2">
        <v>39.169</v>
      </c>
      <c r="K6" s="2">
        <v>39.334</v>
      </c>
      <c r="L6" s="2">
        <v>39.5</v>
      </c>
      <c r="M6" s="2">
        <v>39.665</v>
      </c>
      <c r="N6" s="2">
        <v>39.831</v>
      </c>
      <c r="O6" s="2">
        <v>39.997</v>
      </c>
      <c r="P6" s="2">
        <v>40.163</v>
      </c>
      <c r="Q6" s="2">
        <v>40.33</v>
      </c>
      <c r="R6" s="2">
        <v>40.497</v>
      </c>
      <c r="S6" s="2">
        <v>40.928</v>
      </c>
      <c r="T6" s="2">
        <v>41.794</v>
      </c>
      <c r="U6" s="2">
        <v>42.665</v>
      </c>
      <c r="V6" s="2">
        <v>43.542</v>
      </c>
      <c r="W6" s="2">
        <v>44.42</v>
      </c>
      <c r="X6" s="2">
        <v>45.303</v>
      </c>
      <c r="Y6" s="2">
        <v>46.189</v>
      </c>
      <c r="Z6" s="2">
        <v>47.079</v>
      </c>
      <c r="AA6" s="2">
        <v>47.968</v>
      </c>
      <c r="AB6" s="2">
        <v>48.86</v>
      </c>
      <c r="AC6" s="2">
        <v>49.722</v>
      </c>
      <c r="AD6" s="2">
        <v>50.511</v>
      </c>
      <c r="AE6" s="2">
        <v>51.298</v>
      </c>
      <c r="AF6" s="2">
        <v>52.085</v>
      </c>
      <c r="AG6" s="2">
        <v>52.871</v>
      </c>
      <c r="AH6" s="2">
        <v>53.657</v>
      </c>
      <c r="AI6" s="2">
        <v>54.439</v>
      </c>
      <c r="AJ6" s="2">
        <v>55.219</v>
      </c>
      <c r="AK6" s="2">
        <v>55.997</v>
      </c>
      <c r="AL6" s="2">
        <v>56.774</v>
      </c>
      <c r="AM6" s="2">
        <v>57.544</v>
      </c>
      <c r="AN6" s="2">
        <v>58.313</v>
      </c>
      <c r="AO6" s="2">
        <v>59.118</v>
      </c>
      <c r="AP6" s="2">
        <v>59.919</v>
      </c>
      <c r="AQ6" s="2">
        <v>60.712</v>
      </c>
      <c r="AR6" s="2">
        <v>61.501</v>
      </c>
      <c r="AS6" s="2">
        <v>62.284</v>
      </c>
      <c r="AT6" s="2">
        <v>63.061</v>
      </c>
      <c r="AU6" s="2">
        <v>63.83</v>
      </c>
      <c r="AV6" s="2">
        <v>64.593</v>
      </c>
      <c r="AW6" s="2">
        <v>65.348</v>
      </c>
      <c r="AX6" s="2">
        <v>66.097</v>
      </c>
      <c r="AY6" s="2">
        <v>66.826</v>
      </c>
      <c r="AZ6" s="2">
        <v>67.54</v>
      </c>
      <c r="BA6" s="2">
        <v>68.236</v>
      </c>
      <c r="BB6" s="2">
        <v>68.915</v>
      </c>
      <c r="BC6" s="2">
        <v>69.576</v>
      </c>
      <c r="BD6" s="2">
        <v>70.221</v>
      </c>
      <c r="BE6" s="2">
        <v>70.848</v>
      </c>
      <c r="BF6" s="2">
        <v>71.459</v>
      </c>
      <c r="BG6" s="2">
        <v>72.052</v>
      </c>
      <c r="BH6" s="2">
        <v>72.629</v>
      </c>
      <c r="BI6" s="2">
        <v>73.189</v>
      </c>
      <c r="BJ6" s="2">
        <v>73.733</v>
      </c>
      <c r="BK6" s="2">
        <v>74.261</v>
      </c>
      <c r="BL6" s="2">
        <v>74.772</v>
      </c>
      <c r="BM6" s="2">
        <v>75.268</v>
      </c>
      <c r="BN6" s="2">
        <v>75.748</v>
      </c>
      <c r="BO6" s="2">
        <v>3509.211</v>
      </c>
    </row>
    <row r="7" ht="14.25" customHeight="1">
      <c r="A7" s="2" t="s">
        <v>505</v>
      </c>
      <c r="B7" s="2">
        <v>66.211</v>
      </c>
      <c r="C7" s="2">
        <v>66.641</v>
      </c>
      <c r="D7" s="2">
        <v>67.068</v>
      </c>
      <c r="E7" s="2">
        <v>67.493</v>
      </c>
      <c r="F7" s="2">
        <v>67.916</v>
      </c>
      <c r="G7" s="2">
        <v>68.334</v>
      </c>
      <c r="H7" s="2">
        <v>68.75</v>
      </c>
      <c r="I7" s="2">
        <v>69.163</v>
      </c>
      <c r="J7" s="2">
        <v>69.574</v>
      </c>
      <c r="K7" s="2">
        <v>69.98</v>
      </c>
      <c r="L7" s="2">
        <v>70.384</v>
      </c>
      <c r="M7" s="2">
        <v>70.784</v>
      </c>
      <c r="N7" s="2">
        <v>71.182</v>
      </c>
      <c r="O7" s="2">
        <v>71.576</v>
      </c>
      <c r="P7" s="2">
        <v>71.967</v>
      </c>
      <c r="Q7" s="2">
        <v>72.354</v>
      </c>
      <c r="R7" s="2">
        <v>72.739</v>
      </c>
      <c r="S7" s="2">
        <v>73.12</v>
      </c>
      <c r="T7" s="2">
        <v>73.497</v>
      </c>
      <c r="U7" s="2">
        <v>73.871</v>
      </c>
      <c r="V7" s="2">
        <v>74.33</v>
      </c>
      <c r="W7" s="2">
        <v>75.043</v>
      </c>
      <c r="X7" s="2">
        <v>75.743</v>
      </c>
      <c r="Y7" s="2">
        <v>76.429</v>
      </c>
      <c r="Z7" s="2">
        <v>77.103</v>
      </c>
      <c r="AA7" s="2">
        <v>77.762</v>
      </c>
      <c r="AB7" s="2">
        <v>78.408</v>
      </c>
      <c r="AC7" s="2">
        <v>79.04</v>
      </c>
      <c r="AD7" s="2">
        <v>79.659</v>
      </c>
      <c r="AE7" s="2">
        <v>80.263</v>
      </c>
      <c r="AF7" s="2">
        <v>80.948</v>
      </c>
      <c r="AG7" s="2">
        <v>81.886</v>
      </c>
      <c r="AH7" s="2">
        <v>82.789</v>
      </c>
      <c r="AI7" s="2">
        <v>83.654</v>
      </c>
      <c r="AJ7" s="2">
        <v>84.485</v>
      </c>
      <c r="AK7" s="2">
        <v>85.28</v>
      </c>
      <c r="AL7" s="2">
        <v>86.043</v>
      </c>
      <c r="AM7" s="2">
        <v>86.771</v>
      </c>
      <c r="AN7" s="2">
        <v>87.467</v>
      </c>
      <c r="AO7" s="2">
        <v>88.131</v>
      </c>
      <c r="AP7" s="2">
        <v>88.587</v>
      </c>
      <c r="AQ7" s="2">
        <v>88.491</v>
      </c>
      <c r="AR7" s="2">
        <v>88.394</v>
      </c>
      <c r="AS7" s="2">
        <v>88.297</v>
      </c>
      <c r="AT7" s="2">
        <v>88.198</v>
      </c>
      <c r="AU7" s="2">
        <v>88.1</v>
      </c>
      <c r="AV7" s="2">
        <v>88.0</v>
      </c>
      <c r="AW7" s="2">
        <v>87.9</v>
      </c>
      <c r="AX7" s="2">
        <v>87.799</v>
      </c>
      <c r="AY7" s="2">
        <v>87.697</v>
      </c>
      <c r="AZ7" s="2">
        <v>87.594</v>
      </c>
      <c r="BA7" s="2">
        <v>87.502</v>
      </c>
      <c r="BB7" s="2">
        <v>87.42</v>
      </c>
      <c r="BC7" s="2">
        <v>87.348</v>
      </c>
      <c r="BD7" s="2">
        <v>87.288</v>
      </c>
      <c r="BE7" s="2">
        <v>87.238</v>
      </c>
      <c r="BF7" s="2">
        <v>87.198</v>
      </c>
      <c r="BG7" s="2">
        <v>87.17</v>
      </c>
      <c r="BH7" s="2">
        <v>87.153</v>
      </c>
      <c r="BI7" s="2">
        <v>87.147</v>
      </c>
      <c r="BJ7" s="2">
        <v>87.153</v>
      </c>
      <c r="BK7" s="2">
        <v>87.169</v>
      </c>
      <c r="BL7" s="2">
        <v>87.196</v>
      </c>
      <c r="BM7" s="2">
        <v>87.235</v>
      </c>
      <c r="BN7" s="2">
        <v>87.284</v>
      </c>
      <c r="BO7" s="2">
        <v>5214.396</v>
      </c>
    </row>
    <row r="8" ht="14.25" customHeight="1">
      <c r="A8" s="2" t="s">
        <v>506</v>
      </c>
      <c r="B8" s="2">
        <v>58.45</v>
      </c>
      <c r="C8" s="2">
        <v>60.983</v>
      </c>
      <c r="D8" s="2">
        <v>63.462</v>
      </c>
      <c r="E8" s="2">
        <v>65.872</v>
      </c>
      <c r="F8" s="2">
        <v>68.205</v>
      </c>
      <c r="G8" s="2">
        <v>70.445</v>
      </c>
      <c r="H8" s="2">
        <v>72.593</v>
      </c>
      <c r="I8" s="2">
        <v>74.641</v>
      </c>
      <c r="J8" s="2">
        <v>76.588</v>
      </c>
      <c r="K8" s="2">
        <v>78.424</v>
      </c>
      <c r="L8" s="2">
        <v>80.155</v>
      </c>
      <c r="M8" s="2">
        <v>81.78</v>
      </c>
      <c r="N8" s="2">
        <v>83.301</v>
      </c>
      <c r="O8" s="2">
        <v>84.716</v>
      </c>
      <c r="P8" s="2">
        <v>86.032</v>
      </c>
      <c r="Q8" s="2">
        <v>87.252</v>
      </c>
      <c r="R8" s="2">
        <v>88.382</v>
      </c>
      <c r="S8" s="2">
        <v>89.42</v>
      </c>
      <c r="T8" s="2">
        <v>90.378</v>
      </c>
      <c r="U8" s="2">
        <v>91.257</v>
      </c>
      <c r="V8" s="2">
        <v>92.064</v>
      </c>
      <c r="W8" s="2">
        <v>92.8</v>
      </c>
      <c r="X8" s="2">
        <v>93.474</v>
      </c>
      <c r="Y8" s="2">
        <v>94.089</v>
      </c>
      <c r="Z8" s="2">
        <v>94.649</v>
      </c>
      <c r="AA8" s="2">
        <v>95.159</v>
      </c>
      <c r="AB8" s="2">
        <v>95.325</v>
      </c>
      <c r="AC8" s="2">
        <v>95.178</v>
      </c>
      <c r="AD8" s="2">
        <v>95.027</v>
      </c>
      <c r="AE8" s="2">
        <v>94.872</v>
      </c>
      <c r="AF8" s="2">
        <v>94.712</v>
      </c>
      <c r="AG8" s="2">
        <v>94.53</v>
      </c>
      <c r="AH8" s="2">
        <v>94.324</v>
      </c>
      <c r="AI8" s="2">
        <v>94.111</v>
      </c>
      <c r="AJ8" s="2">
        <v>93.89</v>
      </c>
      <c r="AK8" s="2">
        <v>93.661</v>
      </c>
      <c r="AL8" s="2">
        <v>93.425</v>
      </c>
      <c r="AM8" s="2">
        <v>93.18</v>
      </c>
      <c r="AN8" s="2">
        <v>92.927</v>
      </c>
      <c r="AO8" s="2">
        <v>92.666</v>
      </c>
      <c r="AP8" s="2">
        <v>92.395</v>
      </c>
      <c r="AQ8" s="2">
        <v>92.056</v>
      </c>
      <c r="AR8" s="2">
        <v>91.641</v>
      </c>
      <c r="AS8" s="2">
        <v>91.207</v>
      </c>
      <c r="AT8" s="2">
        <v>90.751</v>
      </c>
      <c r="AU8" s="2">
        <v>90.285</v>
      </c>
      <c r="AV8" s="2">
        <v>89.807</v>
      </c>
      <c r="AW8" s="2">
        <v>89.308</v>
      </c>
      <c r="AX8" s="2">
        <v>89.004</v>
      </c>
      <c r="AY8" s="2">
        <v>88.912</v>
      </c>
      <c r="AZ8" s="2">
        <v>88.819</v>
      </c>
      <c r="BA8" s="2">
        <v>88.726</v>
      </c>
      <c r="BB8" s="2">
        <v>88.631</v>
      </c>
      <c r="BC8" s="2">
        <v>88.537</v>
      </c>
      <c r="BD8" s="2">
        <v>88.441</v>
      </c>
      <c r="BE8" s="2">
        <v>88.345</v>
      </c>
      <c r="BF8" s="2">
        <v>88.248</v>
      </c>
      <c r="BG8" s="2">
        <v>88.15</v>
      </c>
      <c r="BH8" s="2">
        <v>88.062</v>
      </c>
      <c r="BI8" s="2">
        <v>87.984</v>
      </c>
      <c r="BJ8" s="2">
        <v>87.916</v>
      </c>
      <c r="BK8" s="2">
        <v>87.858</v>
      </c>
      <c r="BL8" s="2">
        <v>87.811</v>
      </c>
      <c r="BM8" s="2">
        <v>87.774</v>
      </c>
      <c r="BN8" s="2">
        <v>87.747</v>
      </c>
      <c r="BO8" s="2">
        <v>5660.814000000001</v>
      </c>
    </row>
    <row r="9" ht="14.25" customHeight="1">
      <c r="A9" s="2" t="s">
        <v>432</v>
      </c>
      <c r="B9" s="2">
        <v>10.435</v>
      </c>
      <c r="C9" s="2">
        <v>10.798</v>
      </c>
      <c r="D9" s="2">
        <v>11.204</v>
      </c>
      <c r="E9" s="2">
        <v>11.624</v>
      </c>
      <c r="F9" s="2">
        <v>12.058</v>
      </c>
      <c r="G9" s="2">
        <v>12.504</v>
      </c>
      <c r="H9" s="2">
        <v>12.965</v>
      </c>
      <c r="I9" s="2">
        <v>13.441</v>
      </c>
      <c r="J9" s="2">
        <v>13.932</v>
      </c>
      <c r="K9" s="2">
        <v>14.436</v>
      </c>
      <c r="L9" s="2">
        <v>14.957</v>
      </c>
      <c r="M9" s="2">
        <v>15.632</v>
      </c>
      <c r="N9" s="2">
        <v>16.455</v>
      </c>
      <c r="O9" s="2">
        <v>17.31</v>
      </c>
      <c r="P9" s="2">
        <v>18.202</v>
      </c>
      <c r="Q9" s="2">
        <v>19.128</v>
      </c>
      <c r="R9" s="2">
        <v>20.092</v>
      </c>
      <c r="S9" s="2">
        <v>21.088</v>
      </c>
      <c r="T9" s="2">
        <v>22.122</v>
      </c>
      <c r="U9" s="2">
        <v>23.192</v>
      </c>
      <c r="V9" s="2">
        <v>24.298</v>
      </c>
      <c r="W9" s="2">
        <v>25.437</v>
      </c>
      <c r="X9" s="2">
        <v>26.612</v>
      </c>
      <c r="Y9" s="2">
        <v>27.821</v>
      </c>
      <c r="Z9" s="2">
        <v>29.065</v>
      </c>
      <c r="AA9" s="2">
        <v>30.338</v>
      </c>
      <c r="AB9" s="2">
        <v>31.643</v>
      </c>
      <c r="AC9" s="2">
        <v>32.978</v>
      </c>
      <c r="AD9" s="2">
        <v>34.343</v>
      </c>
      <c r="AE9" s="2">
        <v>35.731</v>
      </c>
      <c r="AF9" s="2">
        <v>37.144</v>
      </c>
      <c r="AG9" s="2">
        <v>38.58</v>
      </c>
      <c r="AH9" s="2">
        <v>40.039</v>
      </c>
      <c r="AI9" s="2">
        <v>41.511</v>
      </c>
      <c r="AJ9" s="2">
        <v>43.0</v>
      </c>
      <c r="AK9" s="2">
        <v>44.169</v>
      </c>
      <c r="AL9" s="2">
        <v>45.346</v>
      </c>
      <c r="AM9" s="2">
        <v>46.525</v>
      </c>
      <c r="AN9" s="2">
        <v>47.71</v>
      </c>
      <c r="AO9" s="2">
        <v>48.897</v>
      </c>
      <c r="AP9" s="2">
        <v>50.087</v>
      </c>
      <c r="AQ9" s="2">
        <v>51.274</v>
      </c>
      <c r="AR9" s="2">
        <v>52.461</v>
      </c>
      <c r="AS9" s="2">
        <v>53.645</v>
      </c>
      <c r="AT9" s="2">
        <v>54.827</v>
      </c>
      <c r="AU9" s="2">
        <v>56.0</v>
      </c>
      <c r="AV9" s="2">
        <v>56.764</v>
      </c>
      <c r="AW9" s="2">
        <v>57.524</v>
      </c>
      <c r="AX9" s="2">
        <v>58.282</v>
      </c>
      <c r="AY9" s="2">
        <v>59.034</v>
      </c>
      <c r="AZ9" s="2">
        <v>59.783</v>
      </c>
      <c r="BA9" s="2">
        <v>60.528</v>
      </c>
      <c r="BB9" s="2">
        <v>61.268</v>
      </c>
      <c r="BC9" s="2">
        <v>62.002</v>
      </c>
      <c r="BD9" s="2">
        <v>62.731</v>
      </c>
      <c r="BE9" s="2">
        <v>63.446</v>
      </c>
      <c r="BF9" s="2">
        <v>64.149</v>
      </c>
      <c r="BG9" s="2">
        <v>64.839</v>
      </c>
      <c r="BH9" s="2">
        <v>65.514</v>
      </c>
      <c r="BI9" s="2">
        <v>66.177</v>
      </c>
      <c r="BJ9" s="2">
        <v>66.825</v>
      </c>
      <c r="BK9" s="2">
        <v>67.46</v>
      </c>
      <c r="BL9" s="2">
        <v>68.081</v>
      </c>
      <c r="BM9" s="2">
        <v>68.688</v>
      </c>
      <c r="BN9" s="2">
        <v>69.281</v>
      </c>
      <c r="BO9" s="2">
        <v>2563.4320000000002</v>
      </c>
    </row>
    <row r="10" ht="14.25" customHeight="1">
      <c r="A10" s="2" t="s">
        <v>507</v>
      </c>
      <c r="B10" s="2">
        <v>39.656</v>
      </c>
      <c r="C10" s="2">
        <v>39.04</v>
      </c>
      <c r="D10" s="2">
        <v>38.427</v>
      </c>
      <c r="E10" s="2">
        <v>37.817</v>
      </c>
      <c r="F10" s="2">
        <v>37.211</v>
      </c>
      <c r="G10" s="2">
        <v>36.61</v>
      </c>
      <c r="H10" s="2">
        <v>36.012</v>
      </c>
      <c r="I10" s="2">
        <v>35.418</v>
      </c>
      <c r="J10" s="2">
        <v>34.829</v>
      </c>
      <c r="K10" s="2">
        <v>34.245</v>
      </c>
      <c r="L10" s="2">
        <v>33.819</v>
      </c>
      <c r="M10" s="2">
        <v>33.898</v>
      </c>
      <c r="N10" s="2">
        <v>33.978</v>
      </c>
      <c r="O10" s="2">
        <v>34.057</v>
      </c>
      <c r="P10" s="2">
        <v>34.137</v>
      </c>
      <c r="Q10" s="2">
        <v>34.217</v>
      </c>
      <c r="R10" s="2">
        <v>34.297</v>
      </c>
      <c r="S10" s="2">
        <v>34.377</v>
      </c>
      <c r="T10" s="2">
        <v>34.457</v>
      </c>
      <c r="U10" s="2">
        <v>34.538</v>
      </c>
      <c r="V10" s="2">
        <v>34.618</v>
      </c>
      <c r="W10" s="2">
        <v>34.698</v>
      </c>
      <c r="X10" s="2">
        <v>34.779</v>
      </c>
      <c r="Y10" s="2">
        <v>34.86</v>
      </c>
      <c r="Z10" s="2">
        <v>34.94</v>
      </c>
      <c r="AA10" s="2">
        <v>35.021</v>
      </c>
      <c r="AB10" s="2">
        <v>35.102</v>
      </c>
      <c r="AC10" s="2">
        <v>35.183</v>
      </c>
      <c r="AD10" s="2">
        <v>35.264</v>
      </c>
      <c r="AE10" s="2">
        <v>35.345</v>
      </c>
      <c r="AF10" s="2">
        <v>35.426</v>
      </c>
      <c r="AG10" s="2">
        <v>35.465</v>
      </c>
      <c r="AH10" s="2">
        <v>35.085</v>
      </c>
      <c r="AI10" s="2">
        <v>34.709</v>
      </c>
      <c r="AJ10" s="2">
        <v>34.334</v>
      </c>
      <c r="AK10" s="2">
        <v>33.961</v>
      </c>
      <c r="AL10" s="2">
        <v>33.59</v>
      </c>
      <c r="AM10" s="2">
        <v>33.221</v>
      </c>
      <c r="AN10" s="2">
        <v>32.855</v>
      </c>
      <c r="AO10" s="2">
        <v>32.49</v>
      </c>
      <c r="AP10" s="2">
        <v>32.127</v>
      </c>
      <c r="AQ10" s="2">
        <v>31.74</v>
      </c>
      <c r="AR10" s="2">
        <v>31.098</v>
      </c>
      <c r="AS10" s="2">
        <v>30.464</v>
      </c>
      <c r="AT10" s="2">
        <v>29.837</v>
      </c>
      <c r="AU10" s="2">
        <v>29.218</v>
      </c>
      <c r="AV10" s="2">
        <v>28.606</v>
      </c>
      <c r="AW10" s="2">
        <v>28.002</v>
      </c>
      <c r="AX10" s="2">
        <v>27.405</v>
      </c>
      <c r="AY10" s="2">
        <v>26.818</v>
      </c>
      <c r="AZ10" s="2">
        <v>26.238</v>
      </c>
      <c r="BA10" s="2">
        <v>25.703</v>
      </c>
      <c r="BB10" s="2">
        <v>25.526</v>
      </c>
      <c r="BC10" s="2">
        <v>25.35</v>
      </c>
      <c r="BD10" s="2">
        <v>25.175</v>
      </c>
      <c r="BE10" s="2">
        <v>25.0</v>
      </c>
      <c r="BF10" s="2">
        <v>24.846</v>
      </c>
      <c r="BG10" s="2">
        <v>24.713</v>
      </c>
      <c r="BH10" s="2">
        <v>24.599</v>
      </c>
      <c r="BI10" s="2">
        <v>24.506</v>
      </c>
      <c r="BJ10" s="2">
        <v>24.433</v>
      </c>
      <c r="BK10" s="2">
        <v>24.38</v>
      </c>
      <c r="BL10" s="2">
        <v>24.346</v>
      </c>
      <c r="BM10" s="2">
        <v>24.332</v>
      </c>
      <c r="BN10" s="2">
        <v>24.338</v>
      </c>
      <c r="BO10" s="2">
        <v>2070.786</v>
      </c>
    </row>
    <row r="11" ht="14.25" customHeight="1">
      <c r="A11" s="2" t="s">
        <v>508</v>
      </c>
      <c r="B11" s="2">
        <v>31.0105359618617</v>
      </c>
      <c r="C11" s="2">
        <v>31.7271627316738</v>
      </c>
      <c r="D11" s="2">
        <v>32.4514422327757</v>
      </c>
      <c r="E11" s="2">
        <v>33.1943094437437</v>
      </c>
      <c r="F11" s="2">
        <v>33.9559924474804</v>
      </c>
      <c r="G11" s="2">
        <v>34.7551858431633</v>
      </c>
      <c r="H11" s="2">
        <v>35.5106015377774</v>
      </c>
      <c r="I11" s="2">
        <v>36.1563781524639</v>
      </c>
      <c r="J11" s="2">
        <v>36.8166015275796</v>
      </c>
      <c r="K11" s="2">
        <v>37.4874522853404</v>
      </c>
      <c r="L11" s="2">
        <v>38.1638269976051</v>
      </c>
      <c r="M11" s="2">
        <v>38.8161050815803</v>
      </c>
      <c r="N11" s="2">
        <v>39.4845095019616</v>
      </c>
      <c r="O11" s="2">
        <v>40.1313984518827</v>
      </c>
      <c r="P11" s="2">
        <v>40.7184372840399</v>
      </c>
      <c r="Q11" s="2">
        <v>41.3013639585172</v>
      </c>
      <c r="R11" s="2">
        <v>41.8719644244712</v>
      </c>
      <c r="S11" s="2">
        <v>42.4218609524877</v>
      </c>
      <c r="T11" s="2">
        <v>42.9389045772964</v>
      </c>
      <c r="U11" s="2">
        <v>43.4091946999385</v>
      </c>
      <c r="V11" s="2">
        <v>43.901802392722</v>
      </c>
      <c r="W11" s="2">
        <v>44.4365438497499</v>
      </c>
      <c r="X11" s="2">
        <v>44.9455470896803</v>
      </c>
      <c r="Y11" s="2">
        <v>45.4645043044695</v>
      </c>
      <c r="Z11" s="2">
        <v>46.0697109918685</v>
      </c>
      <c r="AA11" s="2">
        <v>46.6630039113435</v>
      </c>
      <c r="AB11" s="2">
        <v>47.2606511771604</v>
      </c>
      <c r="AC11" s="2">
        <v>47.8202887856005</v>
      </c>
      <c r="AD11" s="2">
        <v>48.3166909160034</v>
      </c>
      <c r="AE11" s="2">
        <v>48.7878360578099</v>
      </c>
      <c r="AF11" s="2">
        <v>49.2653255489429</v>
      </c>
      <c r="AG11" s="2">
        <v>49.6479428773217</v>
      </c>
      <c r="AH11" s="2">
        <v>50.1866641370332</v>
      </c>
      <c r="AI11" s="2">
        <v>50.6087943973716</v>
      </c>
      <c r="AJ11" s="2">
        <v>50.8912843416396</v>
      </c>
      <c r="AK11" s="2">
        <v>51.0994592831397</v>
      </c>
      <c r="AL11" s="2">
        <v>51.3083822593782</v>
      </c>
      <c r="AM11" s="2">
        <v>51.5511052201292</v>
      </c>
      <c r="AN11" s="2">
        <v>51.8038910629441</v>
      </c>
      <c r="AO11" s="2">
        <v>52.0579641108858</v>
      </c>
      <c r="AP11" s="2">
        <v>52.3262723083108</v>
      </c>
      <c r="AQ11" s="2">
        <v>52.6161793476524</v>
      </c>
      <c r="AR11" s="2">
        <v>52.9051617965407</v>
      </c>
      <c r="AS11" s="2">
        <v>53.2051293342865</v>
      </c>
      <c r="AT11" s="2">
        <v>53.5065936014142</v>
      </c>
      <c r="AU11" s="2">
        <v>53.8531371963038</v>
      </c>
      <c r="AV11" s="2">
        <v>54.2288759885801</v>
      </c>
      <c r="AW11" s="2">
        <v>54.4937880728368</v>
      </c>
      <c r="AX11" s="2">
        <v>54.9030113257958</v>
      </c>
      <c r="AY11" s="2">
        <v>55.2960382525499</v>
      </c>
      <c r="AZ11" s="2">
        <v>55.5654925471108</v>
      </c>
      <c r="BA11" s="2">
        <v>55.8725648894499</v>
      </c>
      <c r="BB11" s="2">
        <v>56.1657052407111</v>
      </c>
      <c r="BC11" s="2">
        <v>56.5495371540208</v>
      </c>
      <c r="BD11" s="2">
        <v>56.9048148917087</v>
      </c>
      <c r="BE11" s="2">
        <v>57.3250720145106</v>
      </c>
      <c r="BF11" s="2">
        <v>57.6531027450976</v>
      </c>
      <c r="BG11" s="2">
        <v>57.8627472124113</v>
      </c>
      <c r="BH11" s="2">
        <v>58.0104842292073</v>
      </c>
      <c r="BI11" s="2">
        <v>58.2045421060527</v>
      </c>
      <c r="BJ11" s="2">
        <v>58.4966741305088</v>
      </c>
      <c r="BK11" s="2">
        <v>58.662926602144</v>
      </c>
      <c r="BL11" s="2">
        <v>59.0542670171408</v>
      </c>
      <c r="BM11" s="2">
        <v>59.4670502958563</v>
      </c>
      <c r="BN11" s="2">
        <v>59.8836721544724</v>
      </c>
      <c r="BO11" s="2">
        <v>3127.4234612635078</v>
      </c>
    </row>
    <row r="12" ht="14.25" customHeight="1">
      <c r="A12" s="2" t="s">
        <v>25</v>
      </c>
      <c r="B12" s="2">
        <v>73.611</v>
      </c>
      <c r="C12" s="2">
        <v>74.217</v>
      </c>
      <c r="D12" s="2">
        <v>74.767</v>
      </c>
      <c r="E12" s="2">
        <v>75.309</v>
      </c>
      <c r="F12" s="2">
        <v>75.844</v>
      </c>
      <c r="G12" s="2">
        <v>76.369</v>
      </c>
      <c r="H12" s="2">
        <v>76.888</v>
      </c>
      <c r="I12" s="2">
        <v>77.398</v>
      </c>
      <c r="J12" s="2">
        <v>77.901</v>
      </c>
      <c r="K12" s="2">
        <v>78.394</v>
      </c>
      <c r="L12" s="2">
        <v>78.88</v>
      </c>
      <c r="M12" s="2">
        <v>79.321</v>
      </c>
      <c r="N12" s="2">
        <v>79.743</v>
      </c>
      <c r="O12" s="2">
        <v>80.158</v>
      </c>
      <c r="P12" s="2">
        <v>80.567</v>
      </c>
      <c r="Q12" s="2">
        <v>80.969</v>
      </c>
      <c r="R12" s="2">
        <v>81.366</v>
      </c>
      <c r="S12" s="2">
        <v>81.755</v>
      </c>
      <c r="T12" s="2">
        <v>82.139</v>
      </c>
      <c r="U12" s="2">
        <v>82.516</v>
      </c>
      <c r="V12" s="2">
        <v>82.887</v>
      </c>
      <c r="W12" s="2">
        <v>83.313</v>
      </c>
      <c r="X12" s="2">
        <v>83.759</v>
      </c>
      <c r="Y12" s="2">
        <v>84.194</v>
      </c>
      <c r="Z12" s="2">
        <v>84.621</v>
      </c>
      <c r="AA12" s="2">
        <v>85.038</v>
      </c>
      <c r="AB12" s="2">
        <v>85.445</v>
      </c>
      <c r="AC12" s="2">
        <v>85.843</v>
      </c>
      <c r="AD12" s="2">
        <v>86.233</v>
      </c>
      <c r="AE12" s="2">
        <v>86.613</v>
      </c>
      <c r="AF12" s="2">
        <v>86.984</v>
      </c>
      <c r="AG12" s="2">
        <v>87.328</v>
      </c>
      <c r="AH12" s="2">
        <v>87.542</v>
      </c>
      <c r="AI12" s="2">
        <v>87.752</v>
      </c>
      <c r="AJ12" s="2">
        <v>87.96</v>
      </c>
      <c r="AK12" s="2">
        <v>88.164</v>
      </c>
      <c r="AL12" s="2">
        <v>88.366</v>
      </c>
      <c r="AM12" s="2">
        <v>88.564</v>
      </c>
      <c r="AN12" s="2">
        <v>88.759</v>
      </c>
      <c r="AO12" s="2">
        <v>88.952</v>
      </c>
      <c r="AP12" s="2">
        <v>89.142</v>
      </c>
      <c r="AQ12" s="2">
        <v>89.329</v>
      </c>
      <c r="AR12" s="2">
        <v>89.51</v>
      </c>
      <c r="AS12" s="2">
        <v>89.686</v>
      </c>
      <c r="AT12" s="2">
        <v>89.86</v>
      </c>
      <c r="AU12" s="2">
        <v>90.031</v>
      </c>
      <c r="AV12" s="2">
        <v>90.2</v>
      </c>
      <c r="AW12" s="2">
        <v>90.366</v>
      </c>
      <c r="AX12" s="2">
        <v>90.53</v>
      </c>
      <c r="AY12" s="2">
        <v>90.691</v>
      </c>
      <c r="AZ12" s="2">
        <v>90.849</v>
      </c>
      <c r="BA12" s="2">
        <v>90.99</v>
      </c>
      <c r="BB12" s="2">
        <v>91.121</v>
      </c>
      <c r="BC12" s="2">
        <v>91.249</v>
      </c>
      <c r="BD12" s="2">
        <v>91.377</v>
      </c>
      <c r="BE12" s="2">
        <v>91.503</v>
      </c>
      <c r="BF12" s="2">
        <v>91.627</v>
      </c>
      <c r="BG12" s="2">
        <v>91.749</v>
      </c>
      <c r="BH12" s="2">
        <v>91.87</v>
      </c>
      <c r="BI12" s="2">
        <v>91.991</v>
      </c>
      <c r="BJ12" s="2">
        <v>92.111</v>
      </c>
      <c r="BK12" s="2">
        <v>92.229</v>
      </c>
      <c r="BL12" s="2">
        <v>92.347</v>
      </c>
      <c r="BM12" s="2">
        <v>92.463</v>
      </c>
      <c r="BN12" s="2">
        <v>92.579</v>
      </c>
      <c r="BO12" s="2">
        <v>5571.829</v>
      </c>
    </row>
    <row r="13" ht="14.25" customHeight="1">
      <c r="A13" s="2" t="s">
        <v>433</v>
      </c>
      <c r="B13" s="2">
        <v>51.275</v>
      </c>
      <c r="C13" s="2">
        <v>52.147</v>
      </c>
      <c r="D13" s="2">
        <v>53.019</v>
      </c>
      <c r="E13" s="2">
        <v>53.889</v>
      </c>
      <c r="F13" s="2">
        <v>54.758</v>
      </c>
      <c r="G13" s="2">
        <v>55.622</v>
      </c>
      <c r="H13" s="2">
        <v>56.483</v>
      </c>
      <c r="I13" s="2">
        <v>57.341</v>
      </c>
      <c r="J13" s="2">
        <v>58.195</v>
      </c>
      <c r="K13" s="2">
        <v>59.042</v>
      </c>
      <c r="L13" s="2">
        <v>59.864</v>
      </c>
      <c r="M13" s="2">
        <v>60.657</v>
      </c>
      <c r="N13" s="2">
        <v>61.445</v>
      </c>
      <c r="O13" s="2">
        <v>62.225</v>
      </c>
      <c r="P13" s="2">
        <v>63.0</v>
      </c>
      <c r="Q13" s="2">
        <v>63.611</v>
      </c>
      <c r="R13" s="2">
        <v>64.219</v>
      </c>
      <c r="S13" s="2">
        <v>64.821</v>
      </c>
      <c r="T13" s="2">
        <v>65.419</v>
      </c>
      <c r="U13" s="2">
        <v>65.839</v>
      </c>
      <c r="V13" s="2">
        <v>66.05</v>
      </c>
      <c r="W13" s="2">
        <v>66.259</v>
      </c>
      <c r="X13" s="2">
        <v>66.467</v>
      </c>
      <c r="Y13" s="2">
        <v>66.675</v>
      </c>
      <c r="Z13" s="2">
        <v>66.883</v>
      </c>
      <c r="AA13" s="2">
        <v>67.09</v>
      </c>
      <c r="AB13" s="2">
        <v>67.296</v>
      </c>
      <c r="AC13" s="2">
        <v>67.501</v>
      </c>
      <c r="AD13" s="2">
        <v>67.706</v>
      </c>
      <c r="AE13" s="2">
        <v>67.69</v>
      </c>
      <c r="AF13" s="2">
        <v>67.421</v>
      </c>
      <c r="AG13" s="2">
        <v>67.15</v>
      </c>
      <c r="AH13" s="2">
        <v>66.878</v>
      </c>
      <c r="AI13" s="2">
        <v>66.606</v>
      </c>
      <c r="AJ13" s="2">
        <v>66.332</v>
      </c>
      <c r="AK13" s="2">
        <v>66.057</v>
      </c>
      <c r="AL13" s="2">
        <v>65.781</v>
      </c>
      <c r="AM13" s="2">
        <v>65.504</v>
      </c>
      <c r="AN13" s="2">
        <v>65.226</v>
      </c>
      <c r="AO13" s="2">
        <v>64.947</v>
      </c>
      <c r="AP13" s="2">
        <v>64.666</v>
      </c>
      <c r="AQ13" s="2">
        <v>64.385</v>
      </c>
      <c r="AR13" s="2">
        <v>64.236</v>
      </c>
      <c r="AS13" s="2">
        <v>64.137</v>
      </c>
      <c r="AT13" s="2">
        <v>64.038</v>
      </c>
      <c r="AU13" s="2">
        <v>63.938</v>
      </c>
      <c r="AV13" s="2">
        <v>63.839</v>
      </c>
      <c r="AW13" s="2">
        <v>63.739</v>
      </c>
      <c r="AX13" s="2">
        <v>63.64</v>
      </c>
      <c r="AY13" s="2">
        <v>63.54</v>
      </c>
      <c r="AZ13" s="2">
        <v>63.44</v>
      </c>
      <c r="BA13" s="2">
        <v>63.34</v>
      </c>
      <c r="BB13" s="2">
        <v>63.24</v>
      </c>
      <c r="BC13" s="2">
        <v>63.164</v>
      </c>
      <c r="BD13" s="2">
        <v>63.112</v>
      </c>
      <c r="BE13" s="2">
        <v>63.085</v>
      </c>
      <c r="BF13" s="2">
        <v>63.082</v>
      </c>
      <c r="BG13" s="2">
        <v>63.103</v>
      </c>
      <c r="BH13" s="2">
        <v>63.149</v>
      </c>
      <c r="BI13" s="2">
        <v>63.219</v>
      </c>
      <c r="BJ13" s="2">
        <v>63.313</v>
      </c>
      <c r="BK13" s="2">
        <v>63.431</v>
      </c>
      <c r="BL13" s="2">
        <v>63.573</v>
      </c>
      <c r="BM13" s="2">
        <v>63.739</v>
      </c>
      <c r="BN13" s="2">
        <v>63.929</v>
      </c>
      <c r="BO13" s="2">
        <v>4104.467000000001</v>
      </c>
    </row>
    <row r="14" ht="14.25" customHeight="1">
      <c r="A14" s="2" t="s">
        <v>509</v>
      </c>
      <c r="B14" s="2">
        <v>50.776</v>
      </c>
      <c r="C14" s="2">
        <v>50.761</v>
      </c>
      <c r="D14" s="2">
        <v>50.746</v>
      </c>
      <c r="E14" s="2">
        <v>50.73</v>
      </c>
      <c r="F14" s="2">
        <v>50.715</v>
      </c>
      <c r="G14" s="2">
        <v>50.7</v>
      </c>
      <c r="H14" s="2">
        <v>50.685</v>
      </c>
      <c r="I14" s="2">
        <v>50.67</v>
      </c>
      <c r="J14" s="2">
        <v>50.654</v>
      </c>
      <c r="K14" s="2">
        <v>50.639</v>
      </c>
      <c r="L14" s="2">
        <v>50.624</v>
      </c>
      <c r="M14" s="2">
        <v>50.609</v>
      </c>
      <c r="N14" s="2">
        <v>50.593</v>
      </c>
      <c r="O14" s="2">
        <v>50.578</v>
      </c>
      <c r="P14" s="2">
        <v>50.563</v>
      </c>
      <c r="Q14" s="2">
        <v>50.548</v>
      </c>
      <c r="R14" s="2">
        <v>50.532</v>
      </c>
      <c r="S14" s="2">
        <v>50.517</v>
      </c>
      <c r="T14" s="2">
        <v>50.502</v>
      </c>
      <c r="U14" s="2">
        <v>50.487</v>
      </c>
      <c r="V14" s="2">
        <v>50.472</v>
      </c>
      <c r="W14" s="2">
        <v>50.456</v>
      </c>
      <c r="X14" s="2">
        <v>50.441</v>
      </c>
      <c r="Y14" s="2">
        <v>50.426</v>
      </c>
      <c r="Z14" s="2">
        <v>50.411</v>
      </c>
      <c r="AA14" s="2">
        <v>50.395</v>
      </c>
      <c r="AB14" s="2">
        <v>50.38</v>
      </c>
      <c r="AC14" s="2">
        <v>50.365</v>
      </c>
      <c r="AD14" s="2">
        <v>50.35</v>
      </c>
      <c r="AE14" s="2">
        <v>50.335</v>
      </c>
      <c r="AF14" s="2">
        <v>50.319</v>
      </c>
      <c r="AG14" s="2">
        <v>50.304</v>
      </c>
      <c r="AH14" s="2">
        <v>49.998</v>
      </c>
      <c r="AI14" s="2">
        <v>49.588</v>
      </c>
      <c r="AJ14" s="2">
        <v>49.177</v>
      </c>
      <c r="AK14" s="2">
        <v>48.767</v>
      </c>
      <c r="AL14" s="2">
        <v>48.356</v>
      </c>
      <c r="AM14" s="2">
        <v>47.946</v>
      </c>
      <c r="AN14" s="2">
        <v>47.536</v>
      </c>
      <c r="AO14" s="2">
        <v>47.127</v>
      </c>
      <c r="AP14" s="2">
        <v>46.717</v>
      </c>
      <c r="AQ14" s="2">
        <v>46.339</v>
      </c>
      <c r="AR14" s="2">
        <v>45.972</v>
      </c>
      <c r="AS14" s="2">
        <v>45.606</v>
      </c>
      <c r="AT14" s="2">
        <v>45.24</v>
      </c>
      <c r="AU14" s="2">
        <v>44.875</v>
      </c>
      <c r="AV14" s="2">
        <v>44.511</v>
      </c>
      <c r="AW14" s="2">
        <v>44.147</v>
      </c>
      <c r="AX14" s="2">
        <v>43.783</v>
      </c>
      <c r="AY14" s="2">
        <v>43.421</v>
      </c>
      <c r="AZ14" s="2">
        <v>43.059</v>
      </c>
      <c r="BA14" s="2">
        <v>42.94</v>
      </c>
      <c r="BB14" s="2">
        <v>42.957</v>
      </c>
      <c r="BC14" s="2">
        <v>42.99</v>
      </c>
      <c r="BD14" s="2">
        <v>43.041</v>
      </c>
      <c r="BE14" s="2">
        <v>43.108</v>
      </c>
      <c r="BF14" s="2">
        <v>43.192</v>
      </c>
      <c r="BG14" s="2">
        <v>43.293</v>
      </c>
      <c r="BH14" s="2">
        <v>43.411</v>
      </c>
      <c r="BI14" s="2">
        <v>43.546</v>
      </c>
      <c r="BJ14" s="2">
        <v>43.697</v>
      </c>
      <c r="BK14" s="2">
        <v>43.866</v>
      </c>
      <c r="BL14" s="2">
        <v>44.052</v>
      </c>
      <c r="BM14" s="2">
        <v>44.254</v>
      </c>
      <c r="BN14" s="2">
        <v>44.474</v>
      </c>
      <c r="BO14" s="2">
        <v>3108.2690000000002</v>
      </c>
    </row>
    <row r="15" ht="14.25" customHeight="1">
      <c r="A15" s="2" t="s">
        <v>26</v>
      </c>
      <c r="B15" s="2">
        <v>81.529</v>
      </c>
      <c r="C15" s="2">
        <v>81.941</v>
      </c>
      <c r="D15" s="2">
        <v>82.228</v>
      </c>
      <c r="E15" s="2">
        <v>82.511</v>
      </c>
      <c r="F15" s="2">
        <v>82.792</v>
      </c>
      <c r="G15" s="2">
        <v>83.068</v>
      </c>
      <c r="H15" s="2">
        <v>83.34</v>
      </c>
      <c r="I15" s="2">
        <v>83.507</v>
      </c>
      <c r="J15" s="2">
        <v>83.672</v>
      </c>
      <c r="K15" s="2">
        <v>83.836</v>
      </c>
      <c r="L15" s="2">
        <v>83.999</v>
      </c>
      <c r="M15" s="2">
        <v>84.16</v>
      </c>
      <c r="N15" s="2">
        <v>84.32</v>
      </c>
      <c r="O15" s="2">
        <v>84.478</v>
      </c>
      <c r="P15" s="2">
        <v>84.636</v>
      </c>
      <c r="Q15" s="2">
        <v>84.792</v>
      </c>
      <c r="R15" s="2">
        <v>84.947</v>
      </c>
      <c r="S15" s="2">
        <v>85.1</v>
      </c>
      <c r="T15" s="2">
        <v>85.252</v>
      </c>
      <c r="U15" s="2">
        <v>85.403</v>
      </c>
      <c r="V15" s="2">
        <v>85.552</v>
      </c>
      <c r="W15" s="2">
        <v>85.7</v>
      </c>
      <c r="X15" s="2">
        <v>85.67</v>
      </c>
      <c r="Y15" s="2">
        <v>85.641</v>
      </c>
      <c r="Z15" s="2">
        <v>85.611</v>
      </c>
      <c r="AA15" s="2">
        <v>85.582</v>
      </c>
      <c r="AB15" s="2">
        <v>85.552</v>
      </c>
      <c r="AC15" s="2">
        <v>85.522</v>
      </c>
      <c r="AD15" s="2">
        <v>85.493</v>
      </c>
      <c r="AE15" s="2">
        <v>85.463</v>
      </c>
      <c r="AF15" s="2">
        <v>85.433</v>
      </c>
      <c r="AG15" s="2">
        <v>85.403</v>
      </c>
      <c r="AH15" s="2">
        <v>85.285</v>
      </c>
      <c r="AI15" s="2">
        <v>85.157</v>
      </c>
      <c r="AJ15" s="2">
        <v>85.028</v>
      </c>
      <c r="AK15" s="2">
        <v>84.898</v>
      </c>
      <c r="AL15" s="2">
        <v>84.767</v>
      </c>
      <c r="AM15" s="2">
        <v>84.636</v>
      </c>
      <c r="AN15" s="2">
        <v>84.503</v>
      </c>
      <c r="AO15" s="2">
        <v>84.37</v>
      </c>
      <c r="AP15" s="2">
        <v>84.235</v>
      </c>
      <c r="AQ15" s="2">
        <v>84.1</v>
      </c>
      <c r="AR15" s="2">
        <v>84.222</v>
      </c>
      <c r="AS15" s="2">
        <v>84.343</v>
      </c>
      <c r="AT15" s="2">
        <v>84.463</v>
      </c>
      <c r="AU15" s="2">
        <v>84.582</v>
      </c>
      <c r="AV15" s="2">
        <v>84.7</v>
      </c>
      <c r="AW15" s="2">
        <v>84.822</v>
      </c>
      <c r="AX15" s="2">
        <v>84.943</v>
      </c>
      <c r="AY15" s="2">
        <v>85.063</v>
      </c>
      <c r="AZ15" s="2">
        <v>85.182</v>
      </c>
      <c r="BA15" s="2">
        <v>85.3</v>
      </c>
      <c r="BB15" s="2">
        <v>85.402</v>
      </c>
      <c r="BC15" s="2">
        <v>85.502</v>
      </c>
      <c r="BD15" s="2">
        <v>85.602</v>
      </c>
      <c r="BE15" s="2">
        <v>85.701</v>
      </c>
      <c r="BF15" s="2">
        <v>85.8</v>
      </c>
      <c r="BG15" s="2">
        <v>85.904</v>
      </c>
      <c r="BH15" s="2">
        <v>86.012</v>
      </c>
      <c r="BI15" s="2">
        <v>86.124</v>
      </c>
      <c r="BJ15" s="2">
        <v>86.241</v>
      </c>
      <c r="BK15" s="2">
        <v>86.362</v>
      </c>
      <c r="BL15" s="2">
        <v>86.488</v>
      </c>
      <c r="BM15" s="2">
        <v>86.617</v>
      </c>
      <c r="BN15" s="2">
        <v>86.75</v>
      </c>
      <c r="BO15" s="2">
        <v>5515.237</v>
      </c>
    </row>
    <row r="16" ht="14.25" customHeight="1">
      <c r="A16" s="2" t="s">
        <v>27</v>
      </c>
      <c r="B16" s="2">
        <v>64.72</v>
      </c>
      <c r="C16" s="2">
        <v>64.814</v>
      </c>
      <c r="D16" s="2">
        <v>64.863</v>
      </c>
      <c r="E16" s="2">
        <v>64.913</v>
      </c>
      <c r="F16" s="2">
        <v>64.962</v>
      </c>
      <c r="G16" s="2">
        <v>65.011</v>
      </c>
      <c r="H16" s="2">
        <v>65.061</v>
      </c>
      <c r="I16" s="2">
        <v>65.11</v>
      </c>
      <c r="J16" s="2">
        <v>65.159</v>
      </c>
      <c r="K16" s="2">
        <v>65.208</v>
      </c>
      <c r="L16" s="2">
        <v>65.258</v>
      </c>
      <c r="M16" s="2">
        <v>65.301</v>
      </c>
      <c r="N16" s="2">
        <v>65.311</v>
      </c>
      <c r="O16" s="2">
        <v>65.321</v>
      </c>
      <c r="P16" s="2">
        <v>65.331</v>
      </c>
      <c r="Q16" s="2">
        <v>65.341</v>
      </c>
      <c r="R16" s="2">
        <v>65.351</v>
      </c>
      <c r="S16" s="2">
        <v>65.361</v>
      </c>
      <c r="T16" s="2">
        <v>65.371</v>
      </c>
      <c r="U16" s="2">
        <v>65.381</v>
      </c>
      <c r="V16" s="2">
        <v>65.391</v>
      </c>
      <c r="W16" s="2">
        <v>65.364</v>
      </c>
      <c r="X16" s="2">
        <v>65.1</v>
      </c>
      <c r="Y16" s="2">
        <v>64.836</v>
      </c>
      <c r="Z16" s="2">
        <v>64.57</v>
      </c>
      <c r="AA16" s="2">
        <v>64.305</v>
      </c>
      <c r="AB16" s="2">
        <v>64.037</v>
      </c>
      <c r="AC16" s="2">
        <v>63.769</v>
      </c>
      <c r="AD16" s="2">
        <v>63.5</v>
      </c>
      <c r="AE16" s="2">
        <v>63.231</v>
      </c>
      <c r="AF16" s="2">
        <v>62.96</v>
      </c>
      <c r="AG16" s="2">
        <v>62.689</v>
      </c>
      <c r="AH16" s="2">
        <v>62.417</v>
      </c>
      <c r="AI16" s="2">
        <v>62.144</v>
      </c>
      <c r="AJ16" s="2">
        <v>61.87</v>
      </c>
      <c r="AK16" s="2">
        <v>61.596</v>
      </c>
      <c r="AL16" s="2">
        <v>61.32</v>
      </c>
      <c r="AM16" s="2">
        <v>61.045</v>
      </c>
      <c r="AN16" s="2">
        <v>60.768</v>
      </c>
      <c r="AO16" s="2">
        <v>60.491</v>
      </c>
      <c r="AP16" s="2">
        <v>60.213</v>
      </c>
      <c r="AQ16" s="2">
        <v>59.934</v>
      </c>
      <c r="AR16" s="2">
        <v>59.655</v>
      </c>
      <c r="AS16" s="2">
        <v>59.375</v>
      </c>
      <c r="AT16" s="2">
        <v>59.094</v>
      </c>
      <c r="AU16" s="2">
        <v>58.813</v>
      </c>
      <c r="AV16" s="2">
        <v>58.532</v>
      </c>
      <c r="AW16" s="2">
        <v>58.249</v>
      </c>
      <c r="AX16" s="2">
        <v>57.966</v>
      </c>
      <c r="AY16" s="2">
        <v>57.683</v>
      </c>
      <c r="AZ16" s="2">
        <v>57.399</v>
      </c>
      <c r="BA16" s="2">
        <v>57.115</v>
      </c>
      <c r="BB16" s="2">
        <v>57.147</v>
      </c>
      <c r="BC16" s="2">
        <v>57.336</v>
      </c>
      <c r="BD16" s="2">
        <v>57.526</v>
      </c>
      <c r="BE16" s="2">
        <v>57.715</v>
      </c>
      <c r="BF16" s="2">
        <v>57.905</v>
      </c>
      <c r="BG16" s="2">
        <v>58.094</v>
      </c>
      <c r="BH16" s="2">
        <v>58.297</v>
      </c>
      <c r="BI16" s="2">
        <v>58.515</v>
      </c>
      <c r="BJ16" s="2">
        <v>58.748</v>
      </c>
      <c r="BK16" s="2">
        <v>58.995</v>
      </c>
      <c r="BL16" s="2">
        <v>59.256</v>
      </c>
      <c r="BM16" s="2">
        <v>59.53</v>
      </c>
      <c r="BN16" s="2">
        <v>59.819</v>
      </c>
      <c r="BO16" s="2">
        <v>4027.4620000000004</v>
      </c>
    </row>
    <row r="17" ht="14.25" customHeight="1">
      <c r="A17" s="2" t="s">
        <v>434</v>
      </c>
      <c r="B17" s="2">
        <v>52.663</v>
      </c>
      <c r="C17" s="2">
        <v>52.364</v>
      </c>
      <c r="D17" s="2">
        <v>52.064</v>
      </c>
      <c r="E17" s="2">
        <v>51.764</v>
      </c>
      <c r="F17" s="2">
        <v>51.464</v>
      </c>
      <c r="G17" s="2">
        <v>51.164</v>
      </c>
      <c r="H17" s="2">
        <v>50.864</v>
      </c>
      <c r="I17" s="2">
        <v>50.564</v>
      </c>
      <c r="J17" s="2">
        <v>50.263</v>
      </c>
      <c r="K17" s="2">
        <v>49.963</v>
      </c>
      <c r="L17" s="2">
        <v>50.008</v>
      </c>
      <c r="M17" s="2">
        <v>50.462</v>
      </c>
      <c r="N17" s="2">
        <v>50.917</v>
      </c>
      <c r="O17" s="2">
        <v>51.371</v>
      </c>
      <c r="P17" s="2">
        <v>51.698</v>
      </c>
      <c r="Q17" s="2">
        <v>51.897</v>
      </c>
      <c r="R17" s="2">
        <v>52.096</v>
      </c>
      <c r="S17" s="2">
        <v>52.294</v>
      </c>
      <c r="T17" s="2">
        <v>52.492</v>
      </c>
      <c r="U17" s="2">
        <v>52.655</v>
      </c>
      <c r="V17" s="2">
        <v>52.777</v>
      </c>
      <c r="W17" s="2">
        <v>52.897</v>
      </c>
      <c r="X17" s="2">
        <v>53.018</v>
      </c>
      <c r="Y17" s="2">
        <v>53.139</v>
      </c>
      <c r="Z17" s="2">
        <v>53.299</v>
      </c>
      <c r="AA17" s="2">
        <v>53.498</v>
      </c>
      <c r="AB17" s="2">
        <v>53.697</v>
      </c>
      <c r="AC17" s="2">
        <v>53.895</v>
      </c>
      <c r="AD17" s="2">
        <v>54.094</v>
      </c>
      <c r="AE17" s="2">
        <v>54.057</v>
      </c>
      <c r="AF17" s="2">
        <v>53.749</v>
      </c>
      <c r="AG17" s="2">
        <v>53.441</v>
      </c>
      <c r="AH17" s="2">
        <v>53.132</v>
      </c>
      <c r="AI17" s="2">
        <v>52.824</v>
      </c>
      <c r="AJ17" s="2">
        <v>52.515</v>
      </c>
      <c r="AK17" s="2">
        <v>52.206</v>
      </c>
      <c r="AL17" s="2">
        <v>51.896</v>
      </c>
      <c r="AM17" s="2">
        <v>51.588</v>
      </c>
      <c r="AN17" s="2">
        <v>51.278</v>
      </c>
      <c r="AO17" s="2">
        <v>51.185</v>
      </c>
      <c r="AP17" s="2">
        <v>51.386</v>
      </c>
      <c r="AQ17" s="2">
        <v>51.587</v>
      </c>
      <c r="AR17" s="2">
        <v>51.787</v>
      </c>
      <c r="AS17" s="2">
        <v>51.988</v>
      </c>
      <c r="AT17" s="2">
        <v>52.189</v>
      </c>
      <c r="AU17" s="2">
        <v>52.389</v>
      </c>
      <c r="AV17" s="2">
        <v>52.589</v>
      </c>
      <c r="AW17" s="2">
        <v>52.79</v>
      </c>
      <c r="AX17" s="2">
        <v>52.99</v>
      </c>
      <c r="AY17" s="2">
        <v>53.19</v>
      </c>
      <c r="AZ17" s="2">
        <v>53.406</v>
      </c>
      <c r="BA17" s="2">
        <v>53.637</v>
      </c>
      <c r="BB17" s="2">
        <v>53.883</v>
      </c>
      <c r="BC17" s="2">
        <v>54.145</v>
      </c>
      <c r="BD17" s="2">
        <v>54.422</v>
      </c>
      <c r="BE17" s="2">
        <v>54.714</v>
      </c>
      <c r="BF17" s="2">
        <v>55.021</v>
      </c>
      <c r="BG17" s="2">
        <v>55.343</v>
      </c>
      <c r="BH17" s="2">
        <v>55.68</v>
      </c>
      <c r="BI17" s="2">
        <v>56.031</v>
      </c>
      <c r="BJ17" s="2">
        <v>56.397</v>
      </c>
      <c r="BK17" s="2">
        <v>56.776</v>
      </c>
      <c r="BL17" s="2">
        <v>57.17</v>
      </c>
      <c r="BM17" s="2">
        <v>57.577</v>
      </c>
      <c r="BN17" s="2">
        <v>57.997</v>
      </c>
      <c r="BO17" s="2">
        <v>3442.295999999999</v>
      </c>
    </row>
    <row r="18" ht="14.25" customHeight="1">
      <c r="A18" s="2" t="s">
        <v>510</v>
      </c>
      <c r="B18" s="2">
        <v>59.712</v>
      </c>
      <c r="C18" s="2">
        <v>60.454</v>
      </c>
      <c r="D18" s="2">
        <v>61.193</v>
      </c>
      <c r="E18" s="2">
        <v>61.926</v>
      </c>
      <c r="F18" s="2">
        <v>62.642</v>
      </c>
      <c r="G18" s="2">
        <v>63.343</v>
      </c>
      <c r="H18" s="2">
        <v>64.04</v>
      </c>
      <c r="I18" s="2">
        <v>64.73</v>
      </c>
      <c r="J18" s="2">
        <v>65.416</v>
      </c>
      <c r="K18" s="2">
        <v>66.093</v>
      </c>
      <c r="L18" s="2">
        <v>66.764</v>
      </c>
      <c r="M18" s="2">
        <v>67.429</v>
      </c>
      <c r="N18" s="2">
        <v>68.088</v>
      </c>
      <c r="O18" s="2">
        <v>68.738</v>
      </c>
      <c r="P18" s="2">
        <v>69.381</v>
      </c>
      <c r="Q18" s="2">
        <v>70.017</v>
      </c>
      <c r="R18" s="2">
        <v>70.647</v>
      </c>
      <c r="S18" s="2">
        <v>71.266</v>
      </c>
      <c r="T18" s="2">
        <v>71.879</v>
      </c>
      <c r="U18" s="2">
        <v>72.484</v>
      </c>
      <c r="V18" s="2">
        <v>73.102</v>
      </c>
      <c r="W18" s="2">
        <v>73.843</v>
      </c>
      <c r="X18" s="2">
        <v>74.571</v>
      </c>
      <c r="Y18" s="2">
        <v>75.285</v>
      </c>
      <c r="Z18" s="2">
        <v>75.987</v>
      </c>
      <c r="AA18" s="2">
        <v>76.674</v>
      </c>
      <c r="AB18" s="2">
        <v>77.347</v>
      </c>
      <c r="AC18" s="2">
        <v>78.007</v>
      </c>
      <c r="AD18" s="2">
        <v>78.654</v>
      </c>
      <c r="AE18" s="2">
        <v>79.284</v>
      </c>
      <c r="AF18" s="2">
        <v>79.838</v>
      </c>
      <c r="AG18" s="2">
        <v>80.067</v>
      </c>
      <c r="AH18" s="2">
        <v>80.293</v>
      </c>
      <c r="AI18" s="2">
        <v>80.518</v>
      </c>
      <c r="AJ18" s="2">
        <v>80.74</v>
      </c>
      <c r="AK18" s="2">
        <v>80.961</v>
      </c>
      <c r="AL18" s="2">
        <v>81.18</v>
      </c>
      <c r="AM18" s="2">
        <v>81.396</v>
      </c>
      <c r="AN18" s="2">
        <v>81.611</v>
      </c>
      <c r="AO18" s="2">
        <v>81.824</v>
      </c>
      <c r="AP18" s="2">
        <v>82.007</v>
      </c>
      <c r="AQ18" s="2">
        <v>82.049</v>
      </c>
      <c r="AR18" s="2">
        <v>82.092</v>
      </c>
      <c r="AS18" s="2">
        <v>82.134</v>
      </c>
      <c r="AT18" s="2">
        <v>82.176</v>
      </c>
      <c r="AU18" s="2">
        <v>82.218</v>
      </c>
      <c r="AV18" s="2">
        <v>82.26</v>
      </c>
      <c r="AW18" s="2">
        <v>82.302</v>
      </c>
      <c r="AX18" s="2">
        <v>82.343</v>
      </c>
      <c r="AY18" s="2">
        <v>82.385</v>
      </c>
      <c r="AZ18" s="2">
        <v>82.427</v>
      </c>
      <c r="BA18" s="2">
        <v>82.476</v>
      </c>
      <c r="BB18" s="2">
        <v>82.532</v>
      </c>
      <c r="BC18" s="2">
        <v>82.596</v>
      </c>
      <c r="BD18" s="2">
        <v>82.668</v>
      </c>
      <c r="BE18" s="2">
        <v>82.746</v>
      </c>
      <c r="BF18" s="2">
        <v>82.832</v>
      </c>
      <c r="BG18" s="2">
        <v>82.925</v>
      </c>
      <c r="BH18" s="2">
        <v>83.025</v>
      </c>
      <c r="BI18" s="2">
        <v>83.132</v>
      </c>
      <c r="BJ18" s="2">
        <v>83.245</v>
      </c>
      <c r="BK18" s="2">
        <v>83.365</v>
      </c>
      <c r="BL18" s="2">
        <v>83.492</v>
      </c>
      <c r="BM18" s="2">
        <v>83.625</v>
      </c>
      <c r="BN18" s="2">
        <v>83.764</v>
      </c>
      <c r="BO18" s="2">
        <v>4964.240000000001</v>
      </c>
    </row>
    <row r="19" ht="14.25" customHeight="1">
      <c r="A19" s="2" t="s">
        <v>435</v>
      </c>
      <c r="B19" s="2">
        <v>82.32</v>
      </c>
      <c r="C19" s="2">
        <v>82.337</v>
      </c>
      <c r="D19" s="2">
        <v>82.355</v>
      </c>
      <c r="E19" s="2">
        <v>82.372</v>
      </c>
      <c r="F19" s="2">
        <v>82.389</v>
      </c>
      <c r="G19" s="2">
        <v>82.5</v>
      </c>
      <c r="H19" s="2">
        <v>82.761</v>
      </c>
      <c r="I19" s="2">
        <v>83.019</v>
      </c>
      <c r="J19" s="2">
        <v>83.275</v>
      </c>
      <c r="K19" s="2">
        <v>83.526</v>
      </c>
      <c r="L19" s="2">
        <v>83.775</v>
      </c>
      <c r="M19" s="2">
        <v>84.021</v>
      </c>
      <c r="N19" s="2">
        <v>84.265</v>
      </c>
      <c r="O19" s="2">
        <v>84.504</v>
      </c>
      <c r="P19" s="2">
        <v>84.741</v>
      </c>
      <c r="Q19" s="2">
        <v>84.975</v>
      </c>
      <c r="R19" s="2">
        <v>85.206</v>
      </c>
      <c r="S19" s="2">
        <v>85.434</v>
      </c>
      <c r="T19" s="2">
        <v>85.659</v>
      </c>
      <c r="U19" s="2">
        <v>85.882</v>
      </c>
      <c r="V19" s="2">
        <v>86.101</v>
      </c>
      <c r="W19" s="2">
        <v>86.317</v>
      </c>
      <c r="X19" s="2">
        <v>86.531</v>
      </c>
      <c r="Y19" s="2">
        <v>86.742</v>
      </c>
      <c r="Z19" s="2">
        <v>86.95</v>
      </c>
      <c r="AA19" s="2">
        <v>87.155</v>
      </c>
      <c r="AB19" s="2">
        <v>87.357</v>
      </c>
      <c r="AC19" s="2">
        <v>87.557</v>
      </c>
      <c r="AD19" s="2">
        <v>87.754</v>
      </c>
      <c r="AE19" s="2">
        <v>87.949</v>
      </c>
      <c r="AF19" s="2">
        <v>88.14</v>
      </c>
      <c r="AG19" s="2">
        <v>88.329</v>
      </c>
      <c r="AH19" s="2">
        <v>88.398</v>
      </c>
      <c r="AI19" s="2">
        <v>88.395</v>
      </c>
      <c r="AJ19" s="2">
        <v>88.392</v>
      </c>
      <c r="AK19" s="2">
        <v>88.388</v>
      </c>
      <c r="AL19" s="2">
        <v>88.385</v>
      </c>
      <c r="AM19" s="2">
        <v>88.382</v>
      </c>
      <c r="AN19" s="2">
        <v>88.379</v>
      </c>
      <c r="AO19" s="2">
        <v>88.376</v>
      </c>
      <c r="AP19" s="2">
        <v>88.372</v>
      </c>
      <c r="AQ19" s="2">
        <v>88.369</v>
      </c>
      <c r="AR19" s="2">
        <v>88.373</v>
      </c>
      <c r="AS19" s="2">
        <v>88.383</v>
      </c>
      <c r="AT19" s="2">
        <v>88.399</v>
      </c>
      <c r="AU19" s="2">
        <v>88.422</v>
      </c>
      <c r="AV19" s="2">
        <v>88.452</v>
      </c>
      <c r="AW19" s="2">
        <v>88.488</v>
      </c>
      <c r="AX19" s="2">
        <v>88.53</v>
      </c>
      <c r="AY19" s="2">
        <v>88.579</v>
      </c>
      <c r="AZ19" s="2">
        <v>88.634</v>
      </c>
      <c r="BA19" s="2">
        <v>88.695</v>
      </c>
      <c r="BB19" s="2">
        <v>88.762</v>
      </c>
      <c r="BC19" s="2">
        <v>88.835</v>
      </c>
      <c r="BD19" s="2">
        <v>88.915</v>
      </c>
      <c r="BE19" s="2">
        <v>88.999</v>
      </c>
      <c r="BF19" s="2">
        <v>89.09</v>
      </c>
      <c r="BG19" s="2">
        <v>89.186</v>
      </c>
      <c r="BH19" s="2">
        <v>89.287</v>
      </c>
      <c r="BI19" s="2">
        <v>89.394</v>
      </c>
      <c r="BJ19" s="2">
        <v>89.506</v>
      </c>
      <c r="BK19" s="2">
        <v>89.622</v>
      </c>
      <c r="BL19" s="2">
        <v>89.743</v>
      </c>
      <c r="BM19" s="2">
        <v>89.869</v>
      </c>
      <c r="BN19" s="2">
        <v>89.999</v>
      </c>
      <c r="BO19" s="2">
        <v>5652.196</v>
      </c>
    </row>
    <row r="20" ht="14.25" customHeight="1">
      <c r="A20" s="2" t="s">
        <v>28</v>
      </c>
      <c r="B20" s="2">
        <v>5.135</v>
      </c>
      <c r="C20" s="2">
        <v>5.278</v>
      </c>
      <c r="D20" s="2">
        <v>5.498</v>
      </c>
      <c r="E20" s="2">
        <v>5.727</v>
      </c>
      <c r="F20" s="2">
        <v>5.964</v>
      </c>
      <c r="G20" s="2">
        <v>6.211</v>
      </c>
      <c r="H20" s="2">
        <v>6.467</v>
      </c>
      <c r="I20" s="2">
        <v>6.733</v>
      </c>
      <c r="J20" s="2">
        <v>7.009</v>
      </c>
      <c r="K20" s="2">
        <v>7.296</v>
      </c>
      <c r="L20" s="2">
        <v>7.593</v>
      </c>
      <c r="M20" s="2">
        <v>7.901</v>
      </c>
      <c r="N20" s="2">
        <v>8.221</v>
      </c>
      <c r="O20" s="2">
        <v>8.553</v>
      </c>
      <c r="P20" s="2">
        <v>9.034</v>
      </c>
      <c r="Q20" s="2">
        <v>9.836</v>
      </c>
      <c r="R20" s="2">
        <v>10.701</v>
      </c>
      <c r="S20" s="2">
        <v>11.63</v>
      </c>
      <c r="T20" s="2">
        <v>12.629</v>
      </c>
      <c r="U20" s="2">
        <v>13.701</v>
      </c>
      <c r="V20" s="2">
        <v>14.851</v>
      </c>
      <c r="W20" s="2">
        <v>15.801</v>
      </c>
      <c r="X20" s="2">
        <v>16.212</v>
      </c>
      <c r="Y20" s="2">
        <v>16.631</v>
      </c>
      <c r="Z20" s="2">
        <v>17.06</v>
      </c>
      <c r="AA20" s="2">
        <v>17.496</v>
      </c>
      <c r="AB20" s="2">
        <v>17.941</v>
      </c>
      <c r="AC20" s="2">
        <v>18.395</v>
      </c>
      <c r="AD20" s="2">
        <v>18.859</v>
      </c>
      <c r="AE20" s="2">
        <v>19.33</v>
      </c>
      <c r="AF20" s="2">
        <v>19.811</v>
      </c>
      <c r="AG20" s="2">
        <v>20.257</v>
      </c>
      <c r="AH20" s="2">
        <v>20.61</v>
      </c>
      <c r="AI20" s="2">
        <v>20.966</v>
      </c>
      <c r="AJ20" s="2">
        <v>21.328</v>
      </c>
      <c r="AK20" s="2">
        <v>21.693</v>
      </c>
      <c r="AL20" s="2">
        <v>22.064</v>
      </c>
      <c r="AM20" s="2">
        <v>22.438</v>
      </c>
      <c r="AN20" s="2">
        <v>22.818</v>
      </c>
      <c r="AO20" s="2">
        <v>23.202</v>
      </c>
      <c r="AP20" s="2">
        <v>23.59</v>
      </c>
      <c r="AQ20" s="2">
        <v>24.096</v>
      </c>
      <c r="AR20" s="2">
        <v>24.756</v>
      </c>
      <c r="AS20" s="2">
        <v>25.429</v>
      </c>
      <c r="AT20" s="2">
        <v>26.114</v>
      </c>
      <c r="AU20" s="2">
        <v>26.809</v>
      </c>
      <c r="AV20" s="2">
        <v>27.517</v>
      </c>
      <c r="AW20" s="2">
        <v>28.237</v>
      </c>
      <c r="AX20" s="2">
        <v>28.968</v>
      </c>
      <c r="AY20" s="2">
        <v>29.709</v>
      </c>
      <c r="AZ20" s="2">
        <v>30.462</v>
      </c>
      <c r="BA20" s="2">
        <v>31.225</v>
      </c>
      <c r="BB20" s="2">
        <v>31.993</v>
      </c>
      <c r="BC20" s="2">
        <v>32.762</v>
      </c>
      <c r="BD20" s="2">
        <v>33.535</v>
      </c>
      <c r="BE20" s="2">
        <v>34.308</v>
      </c>
      <c r="BF20" s="2">
        <v>35.083</v>
      </c>
      <c r="BG20" s="2">
        <v>35.858</v>
      </c>
      <c r="BH20" s="2">
        <v>36.632</v>
      </c>
      <c r="BI20" s="2">
        <v>37.405</v>
      </c>
      <c r="BJ20" s="2">
        <v>38.177</v>
      </c>
      <c r="BK20" s="2">
        <v>38.946</v>
      </c>
      <c r="BL20" s="2">
        <v>39.711</v>
      </c>
      <c r="BM20" s="2">
        <v>40.473</v>
      </c>
      <c r="BN20" s="2">
        <v>41.23</v>
      </c>
      <c r="BO20" s="2">
        <v>1351.9049999999995</v>
      </c>
    </row>
    <row r="21" ht="14.25" customHeight="1">
      <c r="A21" s="2" t="s">
        <v>29</v>
      </c>
      <c r="B21" s="2">
        <v>36.777</v>
      </c>
      <c r="C21" s="2">
        <v>36.849</v>
      </c>
      <c r="D21" s="2">
        <v>36.922</v>
      </c>
      <c r="E21" s="2">
        <v>36.995</v>
      </c>
      <c r="F21" s="2">
        <v>37.068</v>
      </c>
      <c r="G21" s="2">
        <v>37.141</v>
      </c>
      <c r="H21" s="2">
        <v>37.214</v>
      </c>
      <c r="I21" s="2">
        <v>37.287</v>
      </c>
      <c r="J21" s="2">
        <v>37.36</v>
      </c>
      <c r="K21" s="2">
        <v>37.433</v>
      </c>
      <c r="L21" s="2">
        <v>37.55</v>
      </c>
      <c r="M21" s="2">
        <v>37.809</v>
      </c>
      <c r="N21" s="2">
        <v>38.07</v>
      </c>
      <c r="O21" s="2">
        <v>38.331</v>
      </c>
      <c r="P21" s="2">
        <v>38.592</v>
      </c>
      <c r="Q21" s="2">
        <v>38.855</v>
      </c>
      <c r="R21" s="2">
        <v>39.118</v>
      </c>
      <c r="S21" s="2">
        <v>39.381</v>
      </c>
      <c r="T21" s="2">
        <v>39.646</v>
      </c>
      <c r="U21" s="2">
        <v>39.91</v>
      </c>
      <c r="V21" s="2">
        <v>40.102</v>
      </c>
      <c r="W21" s="2">
        <v>39.828</v>
      </c>
      <c r="X21" s="2">
        <v>39.554</v>
      </c>
      <c r="Y21" s="2">
        <v>39.28</v>
      </c>
      <c r="Z21" s="2">
        <v>39.007</v>
      </c>
      <c r="AA21" s="2">
        <v>38.736</v>
      </c>
      <c r="AB21" s="2">
        <v>38.464</v>
      </c>
      <c r="AC21" s="2">
        <v>38.194</v>
      </c>
      <c r="AD21" s="2">
        <v>37.923</v>
      </c>
      <c r="AE21" s="2">
        <v>37.654</v>
      </c>
      <c r="AF21" s="2">
        <v>37.37</v>
      </c>
      <c r="AG21" s="2">
        <v>37.006</v>
      </c>
      <c r="AH21" s="2">
        <v>36.643</v>
      </c>
      <c r="AI21" s="2">
        <v>36.283</v>
      </c>
      <c r="AJ21" s="2">
        <v>35.924</v>
      </c>
      <c r="AK21" s="2">
        <v>35.566</v>
      </c>
      <c r="AL21" s="2">
        <v>35.21</v>
      </c>
      <c r="AM21" s="2">
        <v>34.856</v>
      </c>
      <c r="AN21" s="2">
        <v>34.503</v>
      </c>
      <c r="AO21" s="2">
        <v>34.152</v>
      </c>
      <c r="AP21" s="2">
        <v>33.827</v>
      </c>
      <c r="AQ21" s="2">
        <v>33.629</v>
      </c>
      <c r="AR21" s="2">
        <v>33.431</v>
      </c>
      <c r="AS21" s="2">
        <v>33.234</v>
      </c>
      <c r="AT21" s="2">
        <v>33.037</v>
      </c>
      <c r="AU21" s="2">
        <v>32.841</v>
      </c>
      <c r="AV21" s="2">
        <v>32.646</v>
      </c>
      <c r="AW21" s="2">
        <v>32.451</v>
      </c>
      <c r="AX21" s="2">
        <v>32.256</v>
      </c>
      <c r="AY21" s="2">
        <v>32.063</v>
      </c>
      <c r="AZ21" s="2">
        <v>31.87</v>
      </c>
      <c r="BA21" s="2">
        <v>31.7</v>
      </c>
      <c r="BB21" s="2">
        <v>31.553</v>
      </c>
      <c r="BC21" s="2">
        <v>31.429</v>
      </c>
      <c r="BD21" s="2">
        <v>31.328</v>
      </c>
      <c r="BE21" s="2">
        <v>31.249</v>
      </c>
      <c r="BF21" s="2">
        <v>31.193</v>
      </c>
      <c r="BG21" s="2">
        <v>31.159</v>
      </c>
      <c r="BH21" s="2">
        <v>31.147</v>
      </c>
      <c r="BI21" s="2">
        <v>31.158</v>
      </c>
      <c r="BJ21" s="2">
        <v>31.191</v>
      </c>
      <c r="BK21" s="2">
        <v>31.246</v>
      </c>
      <c r="BL21" s="2">
        <v>31.324</v>
      </c>
      <c r="BM21" s="2">
        <v>31.425</v>
      </c>
      <c r="BN21" s="2">
        <v>31.548</v>
      </c>
      <c r="BO21" s="2">
        <v>2304.4979999999996</v>
      </c>
    </row>
    <row r="22" ht="14.25" customHeight="1">
      <c r="A22" s="2" t="s">
        <v>436</v>
      </c>
      <c r="B22" s="2">
        <v>32.401</v>
      </c>
      <c r="C22" s="2">
        <v>33.522</v>
      </c>
      <c r="D22" s="2">
        <v>34.663</v>
      </c>
      <c r="E22" s="2">
        <v>35.822</v>
      </c>
      <c r="F22" s="2">
        <v>37.0</v>
      </c>
      <c r="G22" s="2">
        <v>38.127</v>
      </c>
      <c r="H22" s="2">
        <v>39.269</v>
      </c>
      <c r="I22" s="2">
        <v>40.422</v>
      </c>
      <c r="J22" s="2">
        <v>41.588</v>
      </c>
      <c r="K22" s="2">
        <v>42.76</v>
      </c>
      <c r="L22" s="2">
        <v>44.01</v>
      </c>
      <c r="M22" s="2">
        <v>45.349</v>
      </c>
      <c r="N22" s="2">
        <v>46.697</v>
      </c>
      <c r="O22" s="2">
        <v>48.046</v>
      </c>
      <c r="P22" s="2">
        <v>49.4</v>
      </c>
      <c r="Q22" s="2">
        <v>50.614</v>
      </c>
      <c r="R22" s="2">
        <v>51.829</v>
      </c>
      <c r="S22" s="2">
        <v>53.039</v>
      </c>
      <c r="T22" s="2">
        <v>54.247</v>
      </c>
      <c r="U22" s="2">
        <v>55.402</v>
      </c>
      <c r="V22" s="2">
        <v>56.498</v>
      </c>
      <c r="W22" s="2">
        <v>57.584</v>
      </c>
      <c r="X22" s="2">
        <v>58.664</v>
      </c>
      <c r="Y22" s="2">
        <v>59.736</v>
      </c>
      <c r="Z22" s="2">
        <v>60.8</v>
      </c>
      <c r="AA22" s="2">
        <v>61.833</v>
      </c>
      <c r="AB22" s="2">
        <v>62.857</v>
      </c>
      <c r="AC22" s="2">
        <v>63.87</v>
      </c>
      <c r="AD22" s="2">
        <v>64.872</v>
      </c>
      <c r="AE22" s="2">
        <v>65.585</v>
      </c>
      <c r="AF22" s="2">
        <v>65.981</v>
      </c>
      <c r="AG22" s="2">
        <v>66.374</v>
      </c>
      <c r="AH22" s="2">
        <v>66.766</v>
      </c>
      <c r="AI22" s="2">
        <v>67.155</v>
      </c>
      <c r="AJ22" s="2">
        <v>67.541</v>
      </c>
      <c r="AK22" s="2">
        <v>67.926</v>
      </c>
      <c r="AL22" s="2">
        <v>68.308</v>
      </c>
      <c r="AM22" s="2">
        <v>68.687</v>
      </c>
      <c r="AN22" s="2">
        <v>69.064</v>
      </c>
      <c r="AO22" s="2">
        <v>69.482</v>
      </c>
      <c r="AP22" s="2">
        <v>69.973</v>
      </c>
      <c r="AQ22" s="2">
        <v>70.458</v>
      </c>
      <c r="AR22" s="2">
        <v>70.939</v>
      </c>
      <c r="AS22" s="2">
        <v>71.415</v>
      </c>
      <c r="AT22" s="2">
        <v>71.887</v>
      </c>
      <c r="AU22" s="2">
        <v>72.354</v>
      </c>
      <c r="AV22" s="2">
        <v>72.816</v>
      </c>
      <c r="AW22" s="2">
        <v>73.273</v>
      </c>
      <c r="AX22" s="2">
        <v>73.726</v>
      </c>
      <c r="AY22" s="2">
        <v>74.172</v>
      </c>
      <c r="AZ22" s="2">
        <v>74.672</v>
      </c>
      <c r="BA22" s="2">
        <v>75.188</v>
      </c>
      <c r="BB22" s="2">
        <v>75.697</v>
      </c>
      <c r="BC22" s="2">
        <v>76.199</v>
      </c>
      <c r="BD22" s="2">
        <v>76.693</v>
      </c>
      <c r="BE22" s="2">
        <v>77.181</v>
      </c>
      <c r="BF22" s="2">
        <v>77.661</v>
      </c>
      <c r="BG22" s="2">
        <v>78.134</v>
      </c>
      <c r="BH22" s="2">
        <v>78.595</v>
      </c>
      <c r="BI22" s="2">
        <v>79.044</v>
      </c>
      <c r="BJ22" s="2">
        <v>79.483</v>
      </c>
      <c r="BK22" s="2">
        <v>79.91</v>
      </c>
      <c r="BL22" s="2">
        <v>80.326</v>
      </c>
      <c r="BM22" s="2">
        <v>80.731</v>
      </c>
      <c r="BN22" s="2">
        <v>81.125</v>
      </c>
      <c r="BO22" s="2">
        <v>4055.442</v>
      </c>
    </row>
    <row r="23" ht="14.25" customHeight="1">
      <c r="A23" s="2" t="s">
        <v>30</v>
      </c>
      <c r="B23" s="2">
        <v>92.46</v>
      </c>
      <c r="C23" s="2">
        <v>92.554</v>
      </c>
      <c r="D23" s="2">
        <v>92.679</v>
      </c>
      <c r="E23" s="2">
        <v>92.835</v>
      </c>
      <c r="F23" s="2">
        <v>92.988</v>
      </c>
      <c r="G23" s="2">
        <v>93.137</v>
      </c>
      <c r="H23" s="2">
        <v>93.284</v>
      </c>
      <c r="I23" s="2">
        <v>93.428</v>
      </c>
      <c r="J23" s="2">
        <v>93.569</v>
      </c>
      <c r="K23" s="2">
        <v>93.707</v>
      </c>
      <c r="L23" s="2">
        <v>93.843</v>
      </c>
      <c r="M23" s="2">
        <v>93.976</v>
      </c>
      <c r="N23" s="2">
        <v>94.106</v>
      </c>
      <c r="O23" s="2">
        <v>94.233</v>
      </c>
      <c r="P23" s="2">
        <v>94.358</v>
      </c>
      <c r="Q23" s="2">
        <v>94.48</v>
      </c>
      <c r="R23" s="2">
        <v>94.6</v>
      </c>
      <c r="S23" s="2">
        <v>94.806</v>
      </c>
      <c r="T23" s="2">
        <v>95.005</v>
      </c>
      <c r="U23" s="2">
        <v>95.196</v>
      </c>
      <c r="V23" s="2">
        <v>95.381</v>
      </c>
      <c r="W23" s="2">
        <v>95.535</v>
      </c>
      <c r="X23" s="2">
        <v>95.637</v>
      </c>
      <c r="Y23" s="2">
        <v>95.737</v>
      </c>
      <c r="Z23" s="2">
        <v>95.835</v>
      </c>
      <c r="AA23" s="2">
        <v>95.93</v>
      </c>
      <c r="AB23" s="2">
        <v>96.023</v>
      </c>
      <c r="AC23" s="2">
        <v>96.115</v>
      </c>
      <c r="AD23" s="2">
        <v>96.204</v>
      </c>
      <c r="AE23" s="2">
        <v>96.292</v>
      </c>
      <c r="AF23" s="2">
        <v>96.377</v>
      </c>
      <c r="AG23" s="2">
        <v>96.461</v>
      </c>
      <c r="AH23" s="2">
        <v>96.542</v>
      </c>
      <c r="AI23" s="2">
        <v>96.622</v>
      </c>
      <c r="AJ23" s="2">
        <v>96.7</v>
      </c>
      <c r="AK23" s="2">
        <v>96.777</v>
      </c>
      <c r="AL23" s="2">
        <v>96.851</v>
      </c>
      <c r="AM23" s="2">
        <v>96.924</v>
      </c>
      <c r="AN23" s="2">
        <v>96.996</v>
      </c>
      <c r="AO23" s="2">
        <v>97.065</v>
      </c>
      <c r="AP23" s="2">
        <v>97.129</v>
      </c>
      <c r="AQ23" s="2">
        <v>97.186</v>
      </c>
      <c r="AR23" s="2">
        <v>97.241</v>
      </c>
      <c r="AS23" s="2">
        <v>97.296</v>
      </c>
      <c r="AT23" s="2">
        <v>97.35</v>
      </c>
      <c r="AU23" s="2">
        <v>97.403</v>
      </c>
      <c r="AV23" s="2">
        <v>97.454</v>
      </c>
      <c r="AW23" s="2">
        <v>97.505</v>
      </c>
      <c r="AX23" s="2">
        <v>97.555</v>
      </c>
      <c r="AY23" s="2">
        <v>97.603</v>
      </c>
      <c r="AZ23" s="2">
        <v>97.651</v>
      </c>
      <c r="BA23" s="2">
        <v>97.698</v>
      </c>
      <c r="BB23" s="2">
        <v>97.744</v>
      </c>
      <c r="BC23" s="2">
        <v>97.789</v>
      </c>
      <c r="BD23" s="2">
        <v>97.833</v>
      </c>
      <c r="BE23" s="2">
        <v>97.876</v>
      </c>
      <c r="BF23" s="2">
        <v>97.919</v>
      </c>
      <c r="BG23" s="2">
        <v>97.961</v>
      </c>
      <c r="BH23" s="2">
        <v>98.001</v>
      </c>
      <c r="BI23" s="2">
        <v>98.041</v>
      </c>
      <c r="BJ23" s="2">
        <v>98.079</v>
      </c>
      <c r="BK23" s="2">
        <v>98.117</v>
      </c>
      <c r="BL23" s="2">
        <v>98.153</v>
      </c>
      <c r="BM23" s="2">
        <v>98.189</v>
      </c>
      <c r="BN23" s="2">
        <v>98.224</v>
      </c>
      <c r="BO23" s="2">
        <v>6244.245000000001</v>
      </c>
    </row>
    <row r="24" ht="14.25" customHeight="1">
      <c r="A24" s="2" t="s">
        <v>413</v>
      </c>
      <c r="B24" s="2">
        <v>54.028</v>
      </c>
      <c r="C24" s="2">
        <v>53.72</v>
      </c>
      <c r="D24" s="2">
        <v>53.41</v>
      </c>
      <c r="E24" s="2">
        <v>53.101</v>
      </c>
      <c r="F24" s="2">
        <v>52.79</v>
      </c>
      <c r="G24" s="2">
        <v>52.481</v>
      </c>
      <c r="H24" s="2">
        <v>52.17</v>
      </c>
      <c r="I24" s="2">
        <v>51.86</v>
      </c>
      <c r="J24" s="2">
        <v>51.549</v>
      </c>
      <c r="K24" s="2">
        <v>51.238</v>
      </c>
      <c r="L24" s="2">
        <v>50.963</v>
      </c>
      <c r="M24" s="2">
        <v>50.805</v>
      </c>
      <c r="N24" s="2">
        <v>50.646</v>
      </c>
      <c r="O24" s="2">
        <v>50.488</v>
      </c>
      <c r="P24" s="2">
        <v>50.329</v>
      </c>
      <c r="Q24" s="2">
        <v>50.171</v>
      </c>
      <c r="R24" s="2">
        <v>50.012</v>
      </c>
      <c r="S24" s="2">
        <v>49.854</v>
      </c>
      <c r="T24" s="2">
        <v>49.695</v>
      </c>
      <c r="U24" s="2">
        <v>49.537</v>
      </c>
      <c r="V24" s="2">
        <v>49.374</v>
      </c>
      <c r="W24" s="2">
        <v>49.183</v>
      </c>
      <c r="X24" s="2">
        <v>48.992</v>
      </c>
      <c r="Y24" s="2">
        <v>48.801</v>
      </c>
      <c r="Z24" s="2">
        <v>48.61</v>
      </c>
      <c r="AA24" s="2">
        <v>48.419</v>
      </c>
      <c r="AB24" s="2">
        <v>48.228</v>
      </c>
      <c r="AC24" s="2">
        <v>48.037</v>
      </c>
      <c r="AD24" s="2">
        <v>47.846</v>
      </c>
      <c r="AE24" s="2">
        <v>47.655</v>
      </c>
      <c r="AF24" s="2">
        <v>47.465</v>
      </c>
      <c r="AG24" s="2">
        <v>47.271</v>
      </c>
      <c r="AH24" s="2">
        <v>47.059</v>
      </c>
      <c r="AI24" s="2">
        <v>46.848</v>
      </c>
      <c r="AJ24" s="2">
        <v>46.637</v>
      </c>
      <c r="AK24" s="2">
        <v>46.425</v>
      </c>
      <c r="AL24" s="2">
        <v>46.214</v>
      </c>
      <c r="AM24" s="2">
        <v>46.003</v>
      </c>
      <c r="AN24" s="2">
        <v>45.793</v>
      </c>
      <c r="AO24" s="2">
        <v>45.582</v>
      </c>
      <c r="AP24" s="2">
        <v>45.398</v>
      </c>
      <c r="AQ24" s="2">
        <v>45.381</v>
      </c>
      <c r="AR24" s="2">
        <v>45.364</v>
      </c>
      <c r="AS24" s="2">
        <v>45.347</v>
      </c>
      <c r="AT24" s="2">
        <v>45.33</v>
      </c>
      <c r="AU24" s="2">
        <v>45.313</v>
      </c>
      <c r="AV24" s="2">
        <v>45.296</v>
      </c>
      <c r="AW24" s="2">
        <v>45.279</v>
      </c>
      <c r="AX24" s="2">
        <v>45.262</v>
      </c>
      <c r="AY24" s="2">
        <v>45.245</v>
      </c>
      <c r="AZ24" s="2">
        <v>45.228</v>
      </c>
      <c r="BA24" s="2">
        <v>45.228</v>
      </c>
      <c r="BB24" s="2">
        <v>45.246</v>
      </c>
      <c r="BC24" s="2">
        <v>45.282</v>
      </c>
      <c r="BD24" s="2">
        <v>45.335</v>
      </c>
      <c r="BE24" s="2">
        <v>45.406</v>
      </c>
      <c r="BF24" s="2">
        <v>45.495</v>
      </c>
      <c r="BG24" s="2">
        <v>45.601</v>
      </c>
      <c r="BH24" s="2">
        <v>45.724</v>
      </c>
      <c r="BI24" s="2">
        <v>45.866</v>
      </c>
      <c r="BJ24" s="2">
        <v>46.025</v>
      </c>
      <c r="BK24" s="2">
        <v>46.201</v>
      </c>
      <c r="BL24" s="2">
        <v>46.396</v>
      </c>
      <c r="BM24" s="2">
        <v>46.608</v>
      </c>
      <c r="BN24" s="2">
        <v>46.838</v>
      </c>
      <c r="BO24" s="2">
        <v>3118.9830000000006</v>
      </c>
    </row>
    <row r="25" ht="14.25" customHeight="1">
      <c r="A25" s="2" t="s">
        <v>31</v>
      </c>
      <c r="B25" s="2">
        <v>9.275</v>
      </c>
      <c r="C25" s="2">
        <v>9.856</v>
      </c>
      <c r="D25" s="2">
        <v>10.47</v>
      </c>
      <c r="E25" s="2">
        <v>11.118</v>
      </c>
      <c r="F25" s="2">
        <v>11.801</v>
      </c>
      <c r="G25" s="2">
        <v>12.519</v>
      </c>
      <c r="H25" s="2">
        <v>13.275</v>
      </c>
      <c r="I25" s="2">
        <v>14.069</v>
      </c>
      <c r="J25" s="2">
        <v>14.903</v>
      </c>
      <c r="K25" s="2">
        <v>15.776</v>
      </c>
      <c r="L25" s="2">
        <v>16.691</v>
      </c>
      <c r="M25" s="2">
        <v>17.647</v>
      </c>
      <c r="N25" s="2">
        <v>18.648</v>
      </c>
      <c r="O25" s="2">
        <v>19.689</v>
      </c>
      <c r="P25" s="2">
        <v>20.775</v>
      </c>
      <c r="Q25" s="2">
        <v>21.904</v>
      </c>
      <c r="R25" s="2">
        <v>23.079</v>
      </c>
      <c r="S25" s="2">
        <v>24.293</v>
      </c>
      <c r="T25" s="2">
        <v>25.552</v>
      </c>
      <c r="U25" s="2">
        <v>26.676</v>
      </c>
      <c r="V25" s="2">
        <v>27.339</v>
      </c>
      <c r="W25" s="2">
        <v>28.01</v>
      </c>
      <c r="X25" s="2">
        <v>28.692</v>
      </c>
      <c r="Y25" s="2">
        <v>29.384</v>
      </c>
      <c r="Z25" s="2">
        <v>30.086</v>
      </c>
      <c r="AA25" s="2">
        <v>30.796</v>
      </c>
      <c r="AB25" s="2">
        <v>31.517</v>
      </c>
      <c r="AC25" s="2">
        <v>32.246</v>
      </c>
      <c r="AD25" s="2">
        <v>32.985</v>
      </c>
      <c r="AE25" s="2">
        <v>33.73</v>
      </c>
      <c r="AF25" s="2">
        <v>34.485</v>
      </c>
      <c r="AG25" s="2">
        <v>35.247</v>
      </c>
      <c r="AH25" s="2">
        <v>35.827</v>
      </c>
      <c r="AI25" s="2">
        <v>36.136</v>
      </c>
      <c r="AJ25" s="2">
        <v>36.447</v>
      </c>
      <c r="AK25" s="2">
        <v>36.758</v>
      </c>
      <c r="AL25" s="2">
        <v>37.071</v>
      </c>
      <c r="AM25" s="2">
        <v>37.385</v>
      </c>
      <c r="AN25" s="2">
        <v>37.699</v>
      </c>
      <c r="AO25" s="2">
        <v>38.015</v>
      </c>
      <c r="AP25" s="2">
        <v>38.333</v>
      </c>
      <c r="AQ25" s="2">
        <v>38.65</v>
      </c>
      <c r="AR25" s="2">
        <v>39.036</v>
      </c>
      <c r="AS25" s="2">
        <v>39.536</v>
      </c>
      <c r="AT25" s="2">
        <v>40.039</v>
      </c>
      <c r="AU25" s="2">
        <v>40.543</v>
      </c>
      <c r="AV25" s="2">
        <v>41.049</v>
      </c>
      <c r="AW25" s="2">
        <v>41.558</v>
      </c>
      <c r="AX25" s="2">
        <v>42.069</v>
      </c>
      <c r="AY25" s="2">
        <v>42.58</v>
      </c>
      <c r="AZ25" s="2">
        <v>43.093</v>
      </c>
      <c r="BA25" s="2">
        <v>43.608</v>
      </c>
      <c r="BB25" s="2">
        <v>44.125</v>
      </c>
      <c r="BC25" s="2">
        <v>44.642</v>
      </c>
      <c r="BD25" s="2">
        <v>45.166</v>
      </c>
      <c r="BE25" s="2">
        <v>45.695</v>
      </c>
      <c r="BF25" s="2">
        <v>46.229</v>
      </c>
      <c r="BG25" s="2">
        <v>46.768</v>
      </c>
      <c r="BH25" s="2">
        <v>47.312</v>
      </c>
      <c r="BI25" s="2">
        <v>47.861</v>
      </c>
      <c r="BJ25" s="2">
        <v>48.415</v>
      </c>
      <c r="BK25" s="2">
        <v>48.972</v>
      </c>
      <c r="BL25" s="2">
        <v>49.534</v>
      </c>
      <c r="BM25" s="2">
        <v>50.1</v>
      </c>
      <c r="BN25" s="2">
        <v>50.669</v>
      </c>
      <c r="BO25" s="2">
        <v>2113.453</v>
      </c>
    </row>
    <row r="26" ht="14.25" customHeight="1">
      <c r="A26" s="2" t="s">
        <v>511</v>
      </c>
      <c r="B26" s="2">
        <v>100.0</v>
      </c>
      <c r="C26" s="2">
        <v>100.0</v>
      </c>
      <c r="D26" s="2">
        <v>100.0</v>
      </c>
      <c r="E26" s="2">
        <v>100.0</v>
      </c>
      <c r="F26" s="2">
        <v>100.0</v>
      </c>
      <c r="G26" s="2">
        <v>100.0</v>
      </c>
      <c r="H26" s="2">
        <v>100.0</v>
      </c>
      <c r="I26" s="2">
        <v>100.0</v>
      </c>
      <c r="J26" s="2">
        <v>100.0</v>
      </c>
      <c r="K26" s="2">
        <v>100.0</v>
      </c>
      <c r="L26" s="2">
        <v>100.0</v>
      </c>
      <c r="M26" s="2">
        <v>100.0</v>
      </c>
      <c r="N26" s="2">
        <v>100.0</v>
      </c>
      <c r="O26" s="2">
        <v>100.0</v>
      </c>
      <c r="P26" s="2">
        <v>100.0</v>
      </c>
      <c r="Q26" s="2">
        <v>100.0</v>
      </c>
      <c r="R26" s="2">
        <v>100.0</v>
      </c>
      <c r="S26" s="2">
        <v>100.0</v>
      </c>
      <c r="T26" s="2">
        <v>100.0</v>
      </c>
      <c r="U26" s="2">
        <v>100.0</v>
      </c>
      <c r="V26" s="2">
        <v>100.0</v>
      </c>
      <c r="W26" s="2">
        <v>100.0</v>
      </c>
      <c r="X26" s="2">
        <v>100.0</v>
      </c>
      <c r="Y26" s="2">
        <v>100.0</v>
      </c>
      <c r="Z26" s="2">
        <v>100.0</v>
      </c>
      <c r="AA26" s="2">
        <v>100.0</v>
      </c>
      <c r="AB26" s="2">
        <v>100.0</v>
      </c>
      <c r="AC26" s="2">
        <v>100.0</v>
      </c>
      <c r="AD26" s="2">
        <v>100.0</v>
      </c>
      <c r="AE26" s="2">
        <v>100.0</v>
      </c>
      <c r="AF26" s="2">
        <v>100.0</v>
      </c>
      <c r="AG26" s="2">
        <v>100.0</v>
      </c>
      <c r="AH26" s="2">
        <v>100.0</v>
      </c>
      <c r="AI26" s="2">
        <v>100.0</v>
      </c>
      <c r="AJ26" s="2">
        <v>100.0</v>
      </c>
      <c r="AK26" s="2">
        <v>100.0</v>
      </c>
      <c r="AL26" s="2">
        <v>100.0</v>
      </c>
      <c r="AM26" s="2">
        <v>100.0</v>
      </c>
      <c r="AN26" s="2">
        <v>100.0</v>
      </c>
      <c r="AO26" s="2">
        <v>100.0</v>
      </c>
      <c r="AP26" s="2">
        <v>100.0</v>
      </c>
      <c r="AQ26" s="2">
        <v>100.0</v>
      </c>
      <c r="AR26" s="2">
        <v>100.0</v>
      </c>
      <c r="AS26" s="2">
        <v>100.0</v>
      </c>
      <c r="AT26" s="2">
        <v>100.0</v>
      </c>
      <c r="AU26" s="2">
        <v>100.0</v>
      </c>
      <c r="AV26" s="2">
        <v>100.0</v>
      </c>
      <c r="AW26" s="2">
        <v>100.0</v>
      </c>
      <c r="AX26" s="2">
        <v>100.0</v>
      </c>
      <c r="AY26" s="2">
        <v>100.0</v>
      </c>
      <c r="AZ26" s="2">
        <v>100.0</v>
      </c>
      <c r="BA26" s="2">
        <v>100.0</v>
      </c>
      <c r="BB26" s="2">
        <v>100.0</v>
      </c>
      <c r="BC26" s="2">
        <v>100.0</v>
      </c>
      <c r="BD26" s="2">
        <v>100.0</v>
      </c>
      <c r="BE26" s="2">
        <v>100.0</v>
      </c>
      <c r="BF26" s="2">
        <v>100.0</v>
      </c>
      <c r="BG26" s="2">
        <v>100.0</v>
      </c>
      <c r="BH26" s="2">
        <v>100.0</v>
      </c>
      <c r="BI26" s="2">
        <v>100.0</v>
      </c>
      <c r="BJ26" s="2">
        <v>100.0</v>
      </c>
      <c r="BK26" s="2">
        <v>100.0</v>
      </c>
      <c r="BL26" s="2">
        <v>100.0</v>
      </c>
      <c r="BM26" s="2">
        <v>100.0</v>
      </c>
      <c r="BN26" s="2">
        <v>100.0</v>
      </c>
      <c r="BO26" s="2">
        <v>6500.0</v>
      </c>
    </row>
    <row r="27" ht="14.25" customHeight="1">
      <c r="A27" s="2" t="s">
        <v>437</v>
      </c>
      <c r="B27" s="2">
        <v>3.596</v>
      </c>
      <c r="C27" s="2">
        <v>3.792</v>
      </c>
      <c r="D27" s="2">
        <v>3.999</v>
      </c>
      <c r="E27" s="2">
        <v>4.217</v>
      </c>
      <c r="F27" s="2">
        <v>4.446</v>
      </c>
      <c r="G27" s="2">
        <v>4.687</v>
      </c>
      <c r="H27" s="2">
        <v>4.94</v>
      </c>
      <c r="I27" s="2">
        <v>5.207</v>
      </c>
      <c r="J27" s="2">
        <v>5.487</v>
      </c>
      <c r="K27" s="2">
        <v>5.781</v>
      </c>
      <c r="L27" s="2">
        <v>6.089</v>
      </c>
      <c r="M27" s="2">
        <v>6.413</v>
      </c>
      <c r="N27" s="2">
        <v>6.754</v>
      </c>
      <c r="O27" s="2">
        <v>7.11</v>
      </c>
      <c r="P27" s="2">
        <v>7.484</v>
      </c>
      <c r="Q27" s="2">
        <v>7.876</v>
      </c>
      <c r="R27" s="2">
        <v>8.288</v>
      </c>
      <c r="S27" s="2">
        <v>8.717</v>
      </c>
      <c r="T27" s="2">
        <v>9.168</v>
      </c>
      <c r="U27" s="2">
        <v>9.639</v>
      </c>
      <c r="V27" s="2">
        <v>10.132</v>
      </c>
      <c r="W27" s="2">
        <v>10.646</v>
      </c>
      <c r="X27" s="2">
        <v>11.184</v>
      </c>
      <c r="Y27" s="2">
        <v>11.745</v>
      </c>
      <c r="Z27" s="2">
        <v>12.332</v>
      </c>
      <c r="AA27" s="2">
        <v>12.941</v>
      </c>
      <c r="AB27" s="2">
        <v>13.577</v>
      </c>
      <c r="AC27" s="2">
        <v>14.24</v>
      </c>
      <c r="AD27" s="2">
        <v>14.929</v>
      </c>
      <c r="AE27" s="2">
        <v>15.645</v>
      </c>
      <c r="AF27" s="2">
        <v>16.388</v>
      </c>
      <c r="AG27" s="2">
        <v>17.161</v>
      </c>
      <c r="AH27" s="2">
        <v>17.962</v>
      </c>
      <c r="AI27" s="2">
        <v>18.791</v>
      </c>
      <c r="AJ27" s="2">
        <v>19.649</v>
      </c>
      <c r="AK27" s="2">
        <v>20.537</v>
      </c>
      <c r="AL27" s="2">
        <v>21.456</v>
      </c>
      <c r="AM27" s="2">
        <v>22.401</v>
      </c>
      <c r="AN27" s="2">
        <v>23.377</v>
      </c>
      <c r="AO27" s="2">
        <v>24.383</v>
      </c>
      <c r="AP27" s="2">
        <v>25.418</v>
      </c>
      <c r="AQ27" s="2">
        <v>26.48</v>
      </c>
      <c r="AR27" s="2">
        <v>27.57</v>
      </c>
      <c r="AS27" s="2">
        <v>28.688</v>
      </c>
      <c r="AT27" s="2">
        <v>29.835</v>
      </c>
      <c r="AU27" s="2">
        <v>30.965</v>
      </c>
      <c r="AV27" s="2">
        <v>31.712</v>
      </c>
      <c r="AW27" s="2">
        <v>32.469</v>
      </c>
      <c r="AX27" s="2">
        <v>33.236</v>
      </c>
      <c r="AY27" s="2">
        <v>34.01</v>
      </c>
      <c r="AZ27" s="2">
        <v>34.793</v>
      </c>
      <c r="BA27" s="2">
        <v>35.585</v>
      </c>
      <c r="BB27" s="2">
        <v>36.371</v>
      </c>
      <c r="BC27" s="2">
        <v>37.149</v>
      </c>
      <c r="BD27" s="2">
        <v>37.918</v>
      </c>
      <c r="BE27" s="2">
        <v>38.678</v>
      </c>
      <c r="BF27" s="2">
        <v>39.428</v>
      </c>
      <c r="BG27" s="2">
        <v>40.167</v>
      </c>
      <c r="BH27" s="2">
        <v>40.895</v>
      </c>
      <c r="BI27" s="2">
        <v>41.612</v>
      </c>
      <c r="BJ27" s="2">
        <v>42.316</v>
      </c>
      <c r="BK27" s="2">
        <v>43.008</v>
      </c>
      <c r="BL27" s="2">
        <v>43.686</v>
      </c>
      <c r="BM27" s="2">
        <v>44.35</v>
      </c>
      <c r="BN27" s="2">
        <v>45.0</v>
      </c>
      <c r="BO27" s="2">
        <v>1354.505</v>
      </c>
    </row>
    <row r="28" ht="14.25" customHeight="1">
      <c r="A28" s="2" t="s">
        <v>32</v>
      </c>
      <c r="B28" s="2">
        <v>36.762</v>
      </c>
      <c r="C28" s="2">
        <v>37.059</v>
      </c>
      <c r="D28" s="2">
        <v>37.357</v>
      </c>
      <c r="E28" s="2">
        <v>37.656</v>
      </c>
      <c r="F28" s="2">
        <v>37.957</v>
      </c>
      <c r="G28" s="2">
        <v>38.257</v>
      </c>
      <c r="H28" s="2">
        <v>38.559</v>
      </c>
      <c r="I28" s="2">
        <v>38.862</v>
      </c>
      <c r="J28" s="2">
        <v>39.166</v>
      </c>
      <c r="K28" s="2">
        <v>39.47</v>
      </c>
      <c r="L28" s="2">
        <v>39.776</v>
      </c>
      <c r="M28" s="2">
        <v>40.082</v>
      </c>
      <c r="N28" s="2">
        <v>40.389</v>
      </c>
      <c r="O28" s="2">
        <v>40.696</v>
      </c>
      <c r="P28" s="2">
        <v>41.004</v>
      </c>
      <c r="Q28" s="2">
        <v>41.314</v>
      </c>
      <c r="R28" s="2">
        <v>41.624</v>
      </c>
      <c r="S28" s="2">
        <v>42.446</v>
      </c>
      <c r="T28" s="2">
        <v>43.442</v>
      </c>
      <c r="U28" s="2">
        <v>44.443</v>
      </c>
      <c r="V28" s="2">
        <v>45.451</v>
      </c>
      <c r="W28" s="2">
        <v>46.459</v>
      </c>
      <c r="X28" s="2">
        <v>47.472</v>
      </c>
      <c r="Y28" s="2">
        <v>48.486</v>
      </c>
      <c r="Z28" s="2">
        <v>49.504</v>
      </c>
      <c r="AA28" s="2">
        <v>50.519</v>
      </c>
      <c r="AB28" s="2">
        <v>51.535</v>
      </c>
      <c r="AC28" s="2">
        <v>52.549</v>
      </c>
      <c r="AD28" s="2">
        <v>53.563</v>
      </c>
      <c r="AE28" s="2">
        <v>54.571</v>
      </c>
      <c r="AF28" s="2">
        <v>55.577</v>
      </c>
      <c r="AG28" s="2">
        <v>56.579</v>
      </c>
      <c r="AH28" s="2">
        <v>57.541</v>
      </c>
      <c r="AI28" s="2">
        <v>58.079</v>
      </c>
      <c r="AJ28" s="2">
        <v>58.615</v>
      </c>
      <c r="AK28" s="2">
        <v>59.15</v>
      </c>
      <c r="AL28" s="2">
        <v>59.682</v>
      </c>
      <c r="AM28" s="2">
        <v>60.212</v>
      </c>
      <c r="AN28" s="2">
        <v>60.739</v>
      </c>
      <c r="AO28" s="2">
        <v>61.264</v>
      </c>
      <c r="AP28" s="2">
        <v>61.787</v>
      </c>
      <c r="AQ28" s="2">
        <v>62.306</v>
      </c>
      <c r="AR28" s="2">
        <v>62.783</v>
      </c>
      <c r="AS28" s="2">
        <v>63.248</v>
      </c>
      <c r="AT28" s="2">
        <v>63.711</v>
      </c>
      <c r="AU28" s="2">
        <v>64.17</v>
      </c>
      <c r="AV28" s="2">
        <v>64.628</v>
      </c>
      <c r="AW28" s="2">
        <v>65.082</v>
      </c>
      <c r="AX28" s="2">
        <v>65.535</v>
      </c>
      <c r="AY28" s="2">
        <v>65.984</v>
      </c>
      <c r="AZ28" s="2">
        <v>66.43</v>
      </c>
      <c r="BA28" s="2">
        <v>66.874</v>
      </c>
      <c r="BB28" s="2">
        <v>67.315</v>
      </c>
      <c r="BC28" s="2">
        <v>67.699</v>
      </c>
      <c r="BD28" s="2">
        <v>68.047</v>
      </c>
      <c r="BE28" s="2">
        <v>68.393</v>
      </c>
      <c r="BF28" s="2">
        <v>68.738</v>
      </c>
      <c r="BG28" s="2">
        <v>69.08</v>
      </c>
      <c r="BH28" s="2">
        <v>69.425</v>
      </c>
      <c r="BI28" s="2">
        <v>69.773</v>
      </c>
      <c r="BJ28" s="2">
        <v>70.123</v>
      </c>
      <c r="BK28" s="2">
        <v>70.475</v>
      </c>
      <c r="BL28" s="2">
        <v>70.83</v>
      </c>
      <c r="BM28" s="2">
        <v>71.186</v>
      </c>
      <c r="BN28" s="2">
        <v>71.545</v>
      </c>
      <c r="BO28" s="2">
        <v>3559.035</v>
      </c>
    </row>
    <row r="29" ht="14.25" customHeight="1">
      <c r="A29" s="2" t="s">
        <v>438</v>
      </c>
      <c r="B29" s="2">
        <v>19.04</v>
      </c>
      <c r="C29" s="2">
        <v>19.686</v>
      </c>
      <c r="D29" s="2">
        <v>20.437</v>
      </c>
      <c r="E29" s="2">
        <v>21.209</v>
      </c>
      <c r="F29" s="2">
        <v>22.004</v>
      </c>
      <c r="G29" s="2">
        <v>22.817</v>
      </c>
      <c r="H29" s="2">
        <v>23.652</v>
      </c>
      <c r="I29" s="2">
        <v>24.509</v>
      </c>
      <c r="J29" s="2">
        <v>25.387</v>
      </c>
      <c r="K29" s="2">
        <v>26.283</v>
      </c>
      <c r="L29" s="2">
        <v>27.201</v>
      </c>
      <c r="M29" s="2">
        <v>28.094</v>
      </c>
      <c r="N29" s="2">
        <v>28.875</v>
      </c>
      <c r="O29" s="2">
        <v>29.666</v>
      </c>
      <c r="P29" s="2">
        <v>30.471</v>
      </c>
      <c r="Q29" s="2">
        <v>31.288</v>
      </c>
      <c r="R29" s="2">
        <v>32.118</v>
      </c>
      <c r="S29" s="2">
        <v>32.957</v>
      </c>
      <c r="T29" s="2">
        <v>33.808</v>
      </c>
      <c r="U29" s="2">
        <v>34.67</v>
      </c>
      <c r="V29" s="2">
        <v>35.543</v>
      </c>
      <c r="W29" s="2">
        <v>36.282</v>
      </c>
      <c r="X29" s="2">
        <v>36.607</v>
      </c>
      <c r="Y29" s="2">
        <v>36.933</v>
      </c>
      <c r="Z29" s="2">
        <v>37.261</v>
      </c>
      <c r="AA29" s="2">
        <v>37.589</v>
      </c>
      <c r="AB29" s="2">
        <v>37.919</v>
      </c>
      <c r="AC29" s="2">
        <v>38.25</v>
      </c>
      <c r="AD29" s="2">
        <v>38.583</v>
      </c>
      <c r="AE29" s="2">
        <v>38.915</v>
      </c>
      <c r="AF29" s="2">
        <v>39.249</v>
      </c>
      <c r="AG29" s="2">
        <v>39.578</v>
      </c>
      <c r="AH29" s="2">
        <v>39.887</v>
      </c>
      <c r="AI29" s="2">
        <v>40.196</v>
      </c>
      <c r="AJ29" s="2">
        <v>40.506</v>
      </c>
      <c r="AK29" s="2">
        <v>40.817</v>
      </c>
      <c r="AL29" s="2">
        <v>41.13</v>
      </c>
      <c r="AM29" s="2">
        <v>41.442</v>
      </c>
      <c r="AN29" s="2">
        <v>41.755</v>
      </c>
      <c r="AO29" s="2">
        <v>42.069</v>
      </c>
      <c r="AP29" s="2">
        <v>42.384</v>
      </c>
      <c r="AQ29" s="2">
        <v>42.698</v>
      </c>
      <c r="AR29" s="2">
        <v>43.014</v>
      </c>
      <c r="AS29" s="2">
        <v>43.33</v>
      </c>
      <c r="AT29" s="2">
        <v>43.648</v>
      </c>
      <c r="AU29" s="2">
        <v>43.965</v>
      </c>
      <c r="AV29" s="2">
        <v>44.282</v>
      </c>
      <c r="AW29" s="2">
        <v>44.601</v>
      </c>
      <c r="AX29" s="2">
        <v>44.92</v>
      </c>
      <c r="AY29" s="2">
        <v>45.239</v>
      </c>
      <c r="AZ29" s="2">
        <v>45.558</v>
      </c>
      <c r="BA29" s="2">
        <v>45.878</v>
      </c>
      <c r="BB29" s="2">
        <v>46.199</v>
      </c>
      <c r="BC29" s="2">
        <v>46.519</v>
      </c>
      <c r="BD29" s="2">
        <v>46.84</v>
      </c>
      <c r="BE29" s="2">
        <v>47.173</v>
      </c>
      <c r="BF29" s="2">
        <v>47.518</v>
      </c>
      <c r="BG29" s="2">
        <v>47.876</v>
      </c>
      <c r="BH29" s="2">
        <v>48.245</v>
      </c>
      <c r="BI29" s="2">
        <v>48.626</v>
      </c>
      <c r="BJ29" s="2">
        <v>49.02</v>
      </c>
      <c r="BK29" s="2">
        <v>49.425</v>
      </c>
      <c r="BL29" s="2">
        <v>49.841</v>
      </c>
      <c r="BM29" s="2">
        <v>50.269</v>
      </c>
      <c r="BN29" s="2">
        <v>50.708</v>
      </c>
      <c r="BO29" s="2">
        <v>2472.459</v>
      </c>
    </row>
    <row r="30" ht="14.25" customHeight="1">
      <c r="A30" s="2" t="s">
        <v>439</v>
      </c>
      <c r="B30" s="2">
        <v>3.06</v>
      </c>
      <c r="C30" s="2">
        <v>3.097</v>
      </c>
      <c r="D30" s="2">
        <v>3.134</v>
      </c>
      <c r="E30" s="2">
        <v>3.171</v>
      </c>
      <c r="F30" s="2">
        <v>3.318</v>
      </c>
      <c r="G30" s="2">
        <v>3.839</v>
      </c>
      <c r="H30" s="2">
        <v>4.437</v>
      </c>
      <c r="I30" s="2">
        <v>5.124</v>
      </c>
      <c r="J30" s="2">
        <v>5.912</v>
      </c>
      <c r="K30" s="2">
        <v>6.81</v>
      </c>
      <c r="L30" s="2">
        <v>7.834</v>
      </c>
      <c r="M30" s="2">
        <v>8.998</v>
      </c>
      <c r="N30" s="2">
        <v>9.695</v>
      </c>
      <c r="O30" s="2">
        <v>10.381</v>
      </c>
      <c r="P30" s="2">
        <v>11.11</v>
      </c>
      <c r="Q30" s="2">
        <v>11.884</v>
      </c>
      <c r="R30" s="2">
        <v>12.705</v>
      </c>
      <c r="S30" s="2">
        <v>13.572</v>
      </c>
      <c r="T30" s="2">
        <v>14.489</v>
      </c>
      <c r="U30" s="2">
        <v>15.457</v>
      </c>
      <c r="V30" s="2">
        <v>16.479</v>
      </c>
      <c r="W30" s="2">
        <v>17.552</v>
      </c>
      <c r="X30" s="2">
        <v>19.489</v>
      </c>
      <c r="Y30" s="2">
        <v>21.723</v>
      </c>
      <c r="Z30" s="2">
        <v>24.139</v>
      </c>
      <c r="AA30" s="2">
        <v>26.724</v>
      </c>
      <c r="AB30" s="2">
        <v>29.483</v>
      </c>
      <c r="AC30" s="2">
        <v>32.401</v>
      </c>
      <c r="AD30" s="2">
        <v>35.467</v>
      </c>
      <c r="AE30" s="2">
        <v>38.648</v>
      </c>
      <c r="AF30" s="2">
        <v>41.933</v>
      </c>
      <c r="AG30" s="2">
        <v>45.292</v>
      </c>
      <c r="AH30" s="2">
        <v>46.443</v>
      </c>
      <c r="AI30" s="2">
        <v>47.286</v>
      </c>
      <c r="AJ30" s="2">
        <v>48.133</v>
      </c>
      <c r="AK30" s="2">
        <v>48.981</v>
      </c>
      <c r="AL30" s="2">
        <v>49.83</v>
      </c>
      <c r="AM30" s="2">
        <v>50.677</v>
      </c>
      <c r="AN30" s="2">
        <v>51.525</v>
      </c>
      <c r="AO30" s="2">
        <v>52.372</v>
      </c>
      <c r="AP30" s="2">
        <v>53.219</v>
      </c>
      <c r="AQ30" s="2">
        <v>54.062</v>
      </c>
      <c r="AR30" s="2">
        <v>54.57</v>
      </c>
      <c r="AS30" s="2">
        <v>55.029</v>
      </c>
      <c r="AT30" s="2">
        <v>55.488</v>
      </c>
      <c r="AU30" s="2">
        <v>55.944</v>
      </c>
      <c r="AV30" s="2">
        <v>56.4</v>
      </c>
      <c r="AW30" s="2">
        <v>57.928</v>
      </c>
      <c r="AX30" s="2">
        <v>59.444</v>
      </c>
      <c r="AY30" s="2">
        <v>60.937</v>
      </c>
      <c r="AZ30" s="2">
        <v>62.412</v>
      </c>
      <c r="BA30" s="2">
        <v>63.865</v>
      </c>
      <c r="BB30" s="2">
        <v>64.768</v>
      </c>
      <c r="BC30" s="2">
        <v>65.572</v>
      </c>
      <c r="BD30" s="2">
        <v>66.368</v>
      </c>
      <c r="BE30" s="2">
        <v>67.155</v>
      </c>
      <c r="BF30" s="2">
        <v>67.933</v>
      </c>
      <c r="BG30" s="2">
        <v>68.7</v>
      </c>
      <c r="BH30" s="2">
        <v>69.446</v>
      </c>
      <c r="BI30" s="2">
        <v>70.172</v>
      </c>
      <c r="BJ30" s="2">
        <v>70.877</v>
      </c>
      <c r="BK30" s="2">
        <v>71.56</v>
      </c>
      <c r="BL30" s="2">
        <v>72.224</v>
      </c>
      <c r="BM30" s="2">
        <v>72.867</v>
      </c>
      <c r="BN30" s="2">
        <v>73.49</v>
      </c>
      <c r="BO30" s="2">
        <v>2493.034</v>
      </c>
    </row>
    <row r="31" ht="14.25" customHeight="1">
      <c r="A31" s="2" t="s">
        <v>414</v>
      </c>
      <c r="B31" s="2">
        <v>46.139</v>
      </c>
      <c r="C31" s="2">
        <v>47.122</v>
      </c>
      <c r="D31" s="2">
        <v>48.099</v>
      </c>
      <c r="E31" s="2">
        <v>49.078</v>
      </c>
      <c r="F31" s="2">
        <v>50.059</v>
      </c>
      <c r="G31" s="2">
        <v>51.037</v>
      </c>
      <c r="H31" s="2">
        <v>52.016</v>
      </c>
      <c r="I31" s="2">
        <v>52.993</v>
      </c>
      <c r="J31" s="2">
        <v>53.97</v>
      </c>
      <c r="K31" s="2">
        <v>54.94</v>
      </c>
      <c r="L31" s="2">
        <v>55.909</v>
      </c>
      <c r="M31" s="2">
        <v>56.894</v>
      </c>
      <c r="N31" s="2">
        <v>57.879</v>
      </c>
      <c r="O31" s="2">
        <v>58.855</v>
      </c>
      <c r="P31" s="2">
        <v>59.826</v>
      </c>
      <c r="Q31" s="2">
        <v>60.789</v>
      </c>
      <c r="R31" s="2">
        <v>61.745</v>
      </c>
      <c r="S31" s="2">
        <v>62.689</v>
      </c>
      <c r="T31" s="2">
        <v>63.625</v>
      </c>
      <c r="U31" s="2">
        <v>64.551</v>
      </c>
      <c r="V31" s="2">
        <v>65.468</v>
      </c>
      <c r="W31" s="2">
        <v>66.37</v>
      </c>
      <c r="X31" s="2">
        <v>67.262</v>
      </c>
      <c r="Y31" s="2">
        <v>68.142</v>
      </c>
      <c r="Z31" s="2">
        <v>69.01</v>
      </c>
      <c r="AA31" s="2">
        <v>69.862</v>
      </c>
      <c r="AB31" s="2">
        <v>70.703</v>
      </c>
      <c r="AC31" s="2">
        <v>71.529</v>
      </c>
      <c r="AD31" s="2">
        <v>72.342</v>
      </c>
      <c r="AE31" s="2">
        <v>73.139</v>
      </c>
      <c r="AF31" s="2">
        <v>73.922</v>
      </c>
      <c r="AG31" s="2">
        <v>74.69</v>
      </c>
      <c r="AH31" s="2">
        <v>75.444</v>
      </c>
      <c r="AI31" s="2">
        <v>76.181</v>
      </c>
      <c r="AJ31" s="2">
        <v>76.903</v>
      </c>
      <c r="AK31" s="2">
        <v>77.61</v>
      </c>
      <c r="AL31" s="2">
        <v>78.302</v>
      </c>
      <c r="AM31" s="2">
        <v>79.048</v>
      </c>
      <c r="AN31" s="2">
        <v>79.781</v>
      </c>
      <c r="AO31" s="2">
        <v>80.496</v>
      </c>
      <c r="AP31" s="2">
        <v>81.192</v>
      </c>
      <c r="AQ31" s="2">
        <v>81.553</v>
      </c>
      <c r="AR31" s="2">
        <v>81.88</v>
      </c>
      <c r="AS31" s="2">
        <v>82.203</v>
      </c>
      <c r="AT31" s="2">
        <v>82.521</v>
      </c>
      <c r="AU31" s="2">
        <v>82.834</v>
      </c>
      <c r="AV31" s="2">
        <v>83.143</v>
      </c>
      <c r="AW31" s="2">
        <v>83.448</v>
      </c>
      <c r="AX31" s="2">
        <v>83.749</v>
      </c>
      <c r="AY31" s="2">
        <v>84.044</v>
      </c>
      <c r="AZ31" s="2">
        <v>84.335</v>
      </c>
      <c r="BA31" s="2">
        <v>84.631</v>
      </c>
      <c r="BB31" s="2">
        <v>84.923</v>
      </c>
      <c r="BC31" s="2">
        <v>85.209</v>
      </c>
      <c r="BD31" s="2">
        <v>85.492</v>
      </c>
      <c r="BE31" s="2">
        <v>85.77</v>
      </c>
      <c r="BF31" s="2">
        <v>86.042</v>
      </c>
      <c r="BG31" s="2">
        <v>86.309</v>
      </c>
      <c r="BH31" s="2">
        <v>86.569</v>
      </c>
      <c r="BI31" s="2">
        <v>86.824</v>
      </c>
      <c r="BJ31" s="2">
        <v>87.073</v>
      </c>
      <c r="BK31" s="2">
        <v>87.317</v>
      </c>
      <c r="BL31" s="2">
        <v>87.555</v>
      </c>
      <c r="BM31" s="2">
        <v>87.788</v>
      </c>
      <c r="BN31" s="2">
        <v>88.016</v>
      </c>
      <c r="BO31" s="2">
        <v>4694.839</v>
      </c>
    </row>
    <row r="32" ht="14.25" customHeight="1">
      <c r="A32" s="2" t="s">
        <v>512</v>
      </c>
      <c r="B32" s="2">
        <v>12.228</v>
      </c>
      <c r="C32" s="2">
        <v>12.618</v>
      </c>
      <c r="D32" s="2">
        <v>13.019</v>
      </c>
      <c r="E32" s="2">
        <v>13.43</v>
      </c>
      <c r="F32" s="2">
        <v>13.854</v>
      </c>
      <c r="G32" s="2">
        <v>14.287</v>
      </c>
      <c r="H32" s="2">
        <v>14.732</v>
      </c>
      <c r="I32" s="2">
        <v>15.188</v>
      </c>
      <c r="J32" s="2">
        <v>15.657</v>
      </c>
      <c r="K32" s="2">
        <v>16.135</v>
      </c>
      <c r="L32" s="2">
        <v>16.635</v>
      </c>
      <c r="M32" s="2">
        <v>17.174</v>
      </c>
      <c r="N32" s="2">
        <v>17.728</v>
      </c>
      <c r="O32" s="2">
        <v>18.294</v>
      </c>
      <c r="P32" s="2">
        <v>18.875</v>
      </c>
      <c r="Q32" s="2">
        <v>19.47</v>
      </c>
      <c r="R32" s="2">
        <v>20.081</v>
      </c>
      <c r="S32" s="2">
        <v>20.703</v>
      </c>
      <c r="T32" s="2">
        <v>21.34</v>
      </c>
      <c r="U32" s="2">
        <v>21.992</v>
      </c>
      <c r="V32" s="2">
        <v>22.741</v>
      </c>
      <c r="W32" s="2">
        <v>24.039</v>
      </c>
      <c r="X32" s="2">
        <v>25.389</v>
      </c>
      <c r="Y32" s="2">
        <v>26.788</v>
      </c>
      <c r="Z32" s="2">
        <v>28.237</v>
      </c>
      <c r="AA32" s="2">
        <v>29.728</v>
      </c>
      <c r="AB32" s="2">
        <v>31.266</v>
      </c>
      <c r="AC32" s="2">
        <v>32.846</v>
      </c>
      <c r="AD32" s="2">
        <v>34.468</v>
      </c>
      <c r="AE32" s="2">
        <v>36.123</v>
      </c>
      <c r="AF32" s="2">
        <v>37.814</v>
      </c>
      <c r="AG32" s="2">
        <v>39.334</v>
      </c>
      <c r="AH32" s="2">
        <v>39.603</v>
      </c>
      <c r="AI32" s="2">
        <v>39.872</v>
      </c>
      <c r="AJ32" s="2">
        <v>40.142</v>
      </c>
      <c r="AK32" s="2">
        <v>40.413</v>
      </c>
      <c r="AL32" s="2">
        <v>40.684</v>
      </c>
      <c r="AM32" s="2">
        <v>40.955</v>
      </c>
      <c r="AN32" s="2">
        <v>41.228</v>
      </c>
      <c r="AO32" s="2">
        <v>41.5</v>
      </c>
      <c r="AP32" s="2">
        <v>41.774</v>
      </c>
      <c r="AQ32" s="2">
        <v>42.048</v>
      </c>
      <c r="AR32" s="2">
        <v>42.328</v>
      </c>
      <c r="AS32" s="2">
        <v>42.615</v>
      </c>
      <c r="AT32" s="2">
        <v>42.909</v>
      </c>
      <c r="AU32" s="2">
        <v>43.21</v>
      </c>
      <c r="AV32" s="2">
        <v>43.517</v>
      </c>
      <c r="AW32" s="2">
        <v>43.831</v>
      </c>
      <c r="AX32" s="2">
        <v>44.152</v>
      </c>
      <c r="AY32" s="2">
        <v>44.479</v>
      </c>
      <c r="AZ32" s="2">
        <v>44.814</v>
      </c>
      <c r="BA32" s="2">
        <v>45.154</v>
      </c>
      <c r="BB32" s="2">
        <v>45.502</v>
      </c>
      <c r="BC32" s="2">
        <v>45.856</v>
      </c>
      <c r="BD32" s="2">
        <v>46.216</v>
      </c>
      <c r="BE32" s="2">
        <v>46.583</v>
      </c>
      <c r="BF32" s="2">
        <v>46.957</v>
      </c>
      <c r="BG32" s="2">
        <v>47.337</v>
      </c>
      <c r="BH32" s="2">
        <v>47.723</v>
      </c>
      <c r="BI32" s="2">
        <v>48.116</v>
      </c>
      <c r="BJ32" s="2">
        <v>48.515</v>
      </c>
      <c r="BK32" s="2">
        <v>48.92</v>
      </c>
      <c r="BL32" s="2">
        <v>49.331</v>
      </c>
      <c r="BM32" s="2">
        <v>49.748</v>
      </c>
      <c r="BN32" s="2">
        <v>50.171</v>
      </c>
      <c r="BO32" s="2">
        <v>2168.416</v>
      </c>
    </row>
    <row r="33" ht="14.25" customHeight="1">
      <c r="A33" s="2" t="s">
        <v>513</v>
      </c>
      <c r="B33" s="2">
        <v>43.401</v>
      </c>
      <c r="C33" s="2">
        <v>45.228</v>
      </c>
      <c r="D33" s="2">
        <v>47.07</v>
      </c>
      <c r="E33" s="2">
        <v>48.92</v>
      </c>
      <c r="F33" s="2">
        <v>50.776</v>
      </c>
      <c r="G33" s="2">
        <v>52.625</v>
      </c>
      <c r="H33" s="2">
        <v>54.469</v>
      </c>
      <c r="I33" s="2">
        <v>56.3</v>
      </c>
      <c r="J33" s="2">
        <v>58.118</v>
      </c>
      <c r="K33" s="2">
        <v>59.908</v>
      </c>
      <c r="L33" s="2">
        <v>61.675</v>
      </c>
      <c r="M33" s="2">
        <v>63.412</v>
      </c>
      <c r="N33" s="2">
        <v>63.736</v>
      </c>
      <c r="O33" s="2">
        <v>63.889</v>
      </c>
      <c r="P33" s="2">
        <v>64.041</v>
      </c>
      <c r="Q33" s="2">
        <v>64.193</v>
      </c>
      <c r="R33" s="2">
        <v>64.345</v>
      </c>
      <c r="S33" s="2">
        <v>64.496</v>
      </c>
      <c r="T33" s="2">
        <v>64.647</v>
      </c>
      <c r="U33" s="2">
        <v>64.798</v>
      </c>
      <c r="V33" s="2">
        <v>64.949</v>
      </c>
      <c r="W33" s="2">
        <v>65.099</v>
      </c>
      <c r="X33" s="2">
        <v>65.249</v>
      </c>
      <c r="Y33" s="2">
        <v>65.399</v>
      </c>
      <c r="Z33" s="2">
        <v>65.548</v>
      </c>
      <c r="AA33" s="2">
        <v>65.697</v>
      </c>
      <c r="AB33" s="2">
        <v>65.846</v>
      </c>
      <c r="AC33" s="2">
        <v>65.994</v>
      </c>
      <c r="AD33" s="2">
        <v>66.143</v>
      </c>
      <c r="AE33" s="2">
        <v>66.29</v>
      </c>
      <c r="AF33" s="2">
        <v>66.438</v>
      </c>
      <c r="AG33" s="2">
        <v>66.585</v>
      </c>
      <c r="AH33" s="2">
        <v>67.078</v>
      </c>
      <c r="AI33" s="2">
        <v>67.604</v>
      </c>
      <c r="AJ33" s="2">
        <v>68.126</v>
      </c>
      <c r="AK33" s="2">
        <v>68.644</v>
      </c>
      <c r="AL33" s="2">
        <v>69.158</v>
      </c>
      <c r="AM33" s="2">
        <v>69.666</v>
      </c>
      <c r="AN33" s="2">
        <v>70.17</v>
      </c>
      <c r="AO33" s="2">
        <v>70.669</v>
      </c>
      <c r="AP33" s="2">
        <v>71.164</v>
      </c>
      <c r="AQ33" s="2">
        <v>71.652</v>
      </c>
      <c r="AR33" s="2">
        <v>72.046</v>
      </c>
      <c r="AS33" s="2">
        <v>72.421</v>
      </c>
      <c r="AT33" s="2">
        <v>72.794</v>
      </c>
      <c r="AU33" s="2">
        <v>73.163</v>
      </c>
      <c r="AV33" s="2">
        <v>73.529</v>
      </c>
      <c r="AW33" s="2">
        <v>73.892</v>
      </c>
      <c r="AX33" s="2">
        <v>74.252</v>
      </c>
      <c r="AY33" s="2">
        <v>74.608</v>
      </c>
      <c r="AZ33" s="2">
        <v>74.961</v>
      </c>
      <c r="BA33" s="2">
        <v>75.31</v>
      </c>
      <c r="BB33" s="2">
        <v>75.656</v>
      </c>
      <c r="BC33" s="2">
        <v>75.997</v>
      </c>
      <c r="BD33" s="2">
        <v>76.332</v>
      </c>
      <c r="BE33" s="2">
        <v>76.663</v>
      </c>
      <c r="BF33" s="2">
        <v>76.99</v>
      </c>
      <c r="BG33" s="2">
        <v>77.312</v>
      </c>
      <c r="BH33" s="2">
        <v>77.629</v>
      </c>
      <c r="BI33" s="2">
        <v>77.942</v>
      </c>
      <c r="BJ33" s="2">
        <v>78.25</v>
      </c>
      <c r="BK33" s="2">
        <v>78.554</v>
      </c>
      <c r="BL33" s="2">
        <v>78.854</v>
      </c>
      <c r="BM33" s="2">
        <v>79.149</v>
      </c>
      <c r="BN33" s="2">
        <v>79.439</v>
      </c>
      <c r="BO33" s="2">
        <v>4384.958</v>
      </c>
    </row>
    <row r="34" ht="14.25" customHeight="1">
      <c r="A34" s="2" t="s">
        <v>33</v>
      </c>
      <c r="B34" s="2">
        <v>37.1</v>
      </c>
      <c r="C34" s="2">
        <v>38.782</v>
      </c>
      <c r="D34" s="2">
        <v>40.494</v>
      </c>
      <c r="E34" s="2">
        <v>42.23</v>
      </c>
      <c r="F34" s="2">
        <v>43.987</v>
      </c>
      <c r="G34" s="2">
        <v>45.755</v>
      </c>
      <c r="H34" s="2">
        <v>47.233</v>
      </c>
      <c r="I34" s="2">
        <v>48.499</v>
      </c>
      <c r="J34" s="2">
        <v>49.768</v>
      </c>
      <c r="K34" s="2">
        <v>51.034</v>
      </c>
      <c r="L34" s="2">
        <v>52.3</v>
      </c>
      <c r="M34" s="2">
        <v>53.36</v>
      </c>
      <c r="N34" s="2">
        <v>54.419</v>
      </c>
      <c r="O34" s="2">
        <v>55.471</v>
      </c>
      <c r="P34" s="2">
        <v>56.519</v>
      </c>
      <c r="Q34" s="2">
        <v>57.562</v>
      </c>
      <c r="R34" s="2">
        <v>58.526</v>
      </c>
      <c r="S34" s="2">
        <v>59.428</v>
      </c>
      <c r="T34" s="2">
        <v>60.326</v>
      </c>
      <c r="U34" s="2">
        <v>61.216</v>
      </c>
      <c r="V34" s="2">
        <v>62.1</v>
      </c>
      <c r="W34" s="2">
        <v>62.603</v>
      </c>
      <c r="X34" s="2">
        <v>63.104</v>
      </c>
      <c r="Y34" s="2">
        <v>63.603</v>
      </c>
      <c r="Z34" s="2">
        <v>64.099</v>
      </c>
      <c r="AA34" s="2">
        <v>64.59</v>
      </c>
      <c r="AB34" s="2">
        <v>64.999</v>
      </c>
      <c r="AC34" s="2">
        <v>65.346</v>
      </c>
      <c r="AD34" s="2">
        <v>65.692</v>
      </c>
      <c r="AE34" s="2">
        <v>66.035</v>
      </c>
      <c r="AF34" s="2">
        <v>66.377</v>
      </c>
      <c r="AG34" s="2">
        <v>66.717</v>
      </c>
      <c r="AH34" s="2">
        <v>67.056</v>
      </c>
      <c r="AI34" s="2">
        <v>67.33</v>
      </c>
      <c r="AJ34" s="2">
        <v>67.557</v>
      </c>
      <c r="AK34" s="2">
        <v>67.782</v>
      </c>
      <c r="AL34" s="2">
        <v>68.007</v>
      </c>
      <c r="AM34" s="2">
        <v>68.231</v>
      </c>
      <c r="AN34" s="2">
        <v>68.454</v>
      </c>
      <c r="AO34" s="2">
        <v>68.677</v>
      </c>
      <c r="AP34" s="2">
        <v>68.899</v>
      </c>
      <c r="AQ34" s="2">
        <v>69.166</v>
      </c>
      <c r="AR34" s="2">
        <v>69.524</v>
      </c>
      <c r="AS34" s="2">
        <v>69.879</v>
      </c>
      <c r="AT34" s="2">
        <v>70.233</v>
      </c>
      <c r="AU34" s="2">
        <v>70.584</v>
      </c>
      <c r="AV34" s="2">
        <v>70.932</v>
      </c>
      <c r="AW34" s="2">
        <v>71.278</v>
      </c>
      <c r="AX34" s="2">
        <v>71.622</v>
      </c>
      <c r="AY34" s="2">
        <v>71.963</v>
      </c>
      <c r="AZ34" s="2">
        <v>72.302</v>
      </c>
      <c r="BA34" s="2">
        <v>72.638</v>
      </c>
      <c r="BB34" s="2">
        <v>72.975</v>
      </c>
      <c r="BC34" s="2">
        <v>73.313</v>
      </c>
      <c r="BD34" s="2">
        <v>73.651</v>
      </c>
      <c r="BE34" s="2">
        <v>73.99</v>
      </c>
      <c r="BF34" s="2">
        <v>74.329</v>
      </c>
      <c r="BG34" s="2">
        <v>74.669</v>
      </c>
      <c r="BH34" s="2">
        <v>75.008</v>
      </c>
      <c r="BI34" s="2">
        <v>75.347</v>
      </c>
      <c r="BJ34" s="2">
        <v>75.686</v>
      </c>
      <c r="BK34" s="2">
        <v>76.025</v>
      </c>
      <c r="BL34" s="2">
        <v>76.363</v>
      </c>
      <c r="BM34" s="2">
        <v>76.701</v>
      </c>
      <c r="BN34" s="2">
        <v>77.037</v>
      </c>
      <c r="BO34" s="2">
        <v>4156.482</v>
      </c>
    </row>
    <row r="35" ht="14.25" customHeight="1">
      <c r="A35" s="2" t="s">
        <v>440</v>
      </c>
      <c r="B35" s="2">
        <v>4.7</v>
      </c>
      <c r="C35" s="2">
        <v>4.796</v>
      </c>
      <c r="D35" s="2">
        <v>4.893</v>
      </c>
      <c r="E35" s="2">
        <v>4.993</v>
      </c>
      <c r="F35" s="2">
        <v>5.095</v>
      </c>
      <c r="G35" s="2">
        <v>5.198</v>
      </c>
      <c r="H35" s="2">
        <v>5.303</v>
      </c>
      <c r="I35" s="2">
        <v>5.411</v>
      </c>
      <c r="J35" s="2">
        <v>5.52</v>
      </c>
      <c r="K35" s="2">
        <v>5.632</v>
      </c>
      <c r="L35" s="2">
        <v>5.746</v>
      </c>
      <c r="M35" s="2">
        <v>5.861</v>
      </c>
      <c r="N35" s="2">
        <v>5.98</v>
      </c>
      <c r="O35" s="2">
        <v>6.1</v>
      </c>
      <c r="P35" s="2">
        <v>6.222</v>
      </c>
      <c r="Q35" s="2">
        <v>6.347</v>
      </c>
      <c r="R35" s="2">
        <v>6.668</v>
      </c>
      <c r="S35" s="2">
        <v>7.151</v>
      </c>
      <c r="T35" s="2">
        <v>7.668</v>
      </c>
      <c r="U35" s="2">
        <v>8.218</v>
      </c>
      <c r="V35" s="2">
        <v>8.805</v>
      </c>
      <c r="W35" s="2">
        <v>9.428</v>
      </c>
      <c r="X35" s="2">
        <v>10.091</v>
      </c>
      <c r="Y35" s="2">
        <v>10.796</v>
      </c>
      <c r="Z35" s="2">
        <v>11.544</v>
      </c>
      <c r="AA35" s="2">
        <v>12.334</v>
      </c>
      <c r="AB35" s="2">
        <v>12.832</v>
      </c>
      <c r="AC35" s="2">
        <v>13.072</v>
      </c>
      <c r="AD35" s="2">
        <v>13.316</v>
      </c>
      <c r="AE35" s="2">
        <v>13.563</v>
      </c>
      <c r="AF35" s="2">
        <v>13.815</v>
      </c>
      <c r="AG35" s="2">
        <v>14.07</v>
      </c>
      <c r="AH35" s="2">
        <v>14.33</v>
      </c>
      <c r="AI35" s="2">
        <v>14.593</v>
      </c>
      <c r="AJ35" s="2">
        <v>14.86</v>
      </c>
      <c r="AK35" s="2">
        <v>15.131</v>
      </c>
      <c r="AL35" s="2">
        <v>15.407</v>
      </c>
      <c r="AM35" s="2">
        <v>15.875</v>
      </c>
      <c r="AN35" s="2">
        <v>16.51</v>
      </c>
      <c r="AO35" s="2">
        <v>17.166</v>
      </c>
      <c r="AP35" s="2">
        <v>17.844</v>
      </c>
      <c r="AQ35" s="2">
        <v>18.54</v>
      </c>
      <c r="AR35" s="2">
        <v>19.258</v>
      </c>
      <c r="AS35" s="2">
        <v>19.996</v>
      </c>
      <c r="AT35" s="2">
        <v>20.757</v>
      </c>
      <c r="AU35" s="2">
        <v>21.537</v>
      </c>
      <c r="AV35" s="2">
        <v>22.339</v>
      </c>
      <c r="AW35" s="2">
        <v>22.996</v>
      </c>
      <c r="AX35" s="2">
        <v>23.534</v>
      </c>
      <c r="AY35" s="2">
        <v>24.079</v>
      </c>
      <c r="AZ35" s="2">
        <v>24.633</v>
      </c>
      <c r="BA35" s="2">
        <v>25.196</v>
      </c>
      <c r="BB35" s="2">
        <v>25.767</v>
      </c>
      <c r="BC35" s="2">
        <v>26.346</v>
      </c>
      <c r="BD35" s="2">
        <v>26.934</v>
      </c>
      <c r="BE35" s="2">
        <v>27.53</v>
      </c>
      <c r="BF35" s="2">
        <v>28.134</v>
      </c>
      <c r="BG35" s="2">
        <v>28.743</v>
      </c>
      <c r="BH35" s="2">
        <v>29.358</v>
      </c>
      <c r="BI35" s="2">
        <v>29.98</v>
      </c>
      <c r="BJ35" s="2">
        <v>30.607</v>
      </c>
      <c r="BK35" s="2">
        <v>31.24</v>
      </c>
      <c r="BL35" s="2">
        <v>31.877</v>
      </c>
      <c r="BM35" s="2">
        <v>32.52</v>
      </c>
      <c r="BN35" s="2">
        <v>33.166</v>
      </c>
      <c r="BO35" s="2">
        <v>1027.9509999999998</v>
      </c>
    </row>
    <row r="36" ht="14.25" customHeight="1">
      <c r="A36" s="2" t="s">
        <v>441</v>
      </c>
      <c r="B36" s="2">
        <v>2.077</v>
      </c>
      <c r="C36" s="2">
        <v>2.115</v>
      </c>
      <c r="D36" s="2">
        <v>2.154</v>
      </c>
      <c r="E36" s="2">
        <v>2.193</v>
      </c>
      <c r="F36" s="2">
        <v>2.233</v>
      </c>
      <c r="G36" s="2">
        <v>2.294</v>
      </c>
      <c r="H36" s="2">
        <v>2.395</v>
      </c>
      <c r="I36" s="2">
        <v>2.501</v>
      </c>
      <c r="J36" s="2">
        <v>2.611</v>
      </c>
      <c r="K36" s="2">
        <v>2.726</v>
      </c>
      <c r="L36" s="2">
        <v>2.845</v>
      </c>
      <c r="M36" s="2">
        <v>2.97</v>
      </c>
      <c r="N36" s="2">
        <v>3.101</v>
      </c>
      <c r="O36" s="2">
        <v>3.236</v>
      </c>
      <c r="P36" s="2">
        <v>3.377</v>
      </c>
      <c r="Q36" s="2">
        <v>3.525</v>
      </c>
      <c r="R36" s="2">
        <v>3.678</v>
      </c>
      <c r="S36" s="2">
        <v>3.838</v>
      </c>
      <c r="T36" s="2">
        <v>4.005</v>
      </c>
      <c r="U36" s="2">
        <v>4.178</v>
      </c>
      <c r="V36" s="2">
        <v>4.339</v>
      </c>
      <c r="W36" s="2">
        <v>4.503</v>
      </c>
      <c r="X36" s="2">
        <v>4.674</v>
      </c>
      <c r="Y36" s="2">
        <v>4.85</v>
      </c>
      <c r="Z36" s="2">
        <v>5.033</v>
      </c>
      <c r="AA36" s="2">
        <v>5.221</v>
      </c>
      <c r="AB36" s="2">
        <v>5.417</v>
      </c>
      <c r="AC36" s="2">
        <v>5.62</v>
      </c>
      <c r="AD36" s="2">
        <v>5.83</v>
      </c>
      <c r="AE36" s="2">
        <v>6.047</v>
      </c>
      <c r="AF36" s="2">
        <v>6.271</v>
      </c>
      <c r="AG36" s="2">
        <v>6.455</v>
      </c>
      <c r="AH36" s="2">
        <v>6.637</v>
      </c>
      <c r="AI36" s="2">
        <v>6.823</v>
      </c>
      <c r="AJ36" s="2">
        <v>7.014</v>
      </c>
      <c r="AK36" s="2">
        <v>7.211</v>
      </c>
      <c r="AL36" s="2">
        <v>7.412</v>
      </c>
      <c r="AM36" s="2">
        <v>7.618</v>
      </c>
      <c r="AN36" s="2">
        <v>7.83</v>
      </c>
      <c r="AO36" s="2">
        <v>8.036</v>
      </c>
      <c r="AP36" s="2">
        <v>8.246</v>
      </c>
      <c r="AQ36" s="2">
        <v>8.461</v>
      </c>
      <c r="AR36" s="2">
        <v>8.682</v>
      </c>
      <c r="AS36" s="2">
        <v>8.908</v>
      </c>
      <c r="AT36" s="2">
        <v>9.139</v>
      </c>
      <c r="AU36" s="2">
        <v>9.375</v>
      </c>
      <c r="AV36" s="2">
        <v>9.617</v>
      </c>
      <c r="AW36" s="2">
        <v>9.864</v>
      </c>
      <c r="AX36" s="2">
        <v>10.118</v>
      </c>
      <c r="AY36" s="2">
        <v>10.376</v>
      </c>
      <c r="AZ36" s="2">
        <v>10.642</v>
      </c>
      <c r="BA36" s="2">
        <v>10.915</v>
      </c>
      <c r="BB36" s="2">
        <v>11.194</v>
      </c>
      <c r="BC36" s="2">
        <v>11.482</v>
      </c>
      <c r="BD36" s="2">
        <v>11.776</v>
      </c>
      <c r="BE36" s="2">
        <v>12.078</v>
      </c>
      <c r="BF36" s="2">
        <v>12.388</v>
      </c>
      <c r="BG36" s="2">
        <v>12.706</v>
      </c>
      <c r="BH36" s="2">
        <v>13.032</v>
      </c>
      <c r="BI36" s="2">
        <v>13.366</v>
      </c>
      <c r="BJ36" s="2">
        <v>13.708</v>
      </c>
      <c r="BK36" s="2">
        <v>14.058</v>
      </c>
      <c r="BL36" s="2">
        <v>14.417</v>
      </c>
      <c r="BM36" s="2">
        <v>14.784</v>
      </c>
      <c r="BN36" s="2">
        <v>15.16</v>
      </c>
      <c r="BO36" s="2">
        <v>465.385</v>
      </c>
    </row>
    <row r="37" ht="14.25" customHeight="1">
      <c r="A37" s="2" t="s">
        <v>442</v>
      </c>
      <c r="B37" s="2">
        <v>16.679</v>
      </c>
      <c r="C37" s="2">
        <v>16.948</v>
      </c>
      <c r="D37" s="2">
        <v>17.224</v>
      </c>
      <c r="E37" s="2">
        <v>17.503</v>
      </c>
      <c r="F37" s="2">
        <v>17.787</v>
      </c>
      <c r="G37" s="2">
        <v>18.073</v>
      </c>
      <c r="H37" s="2">
        <v>18.363</v>
      </c>
      <c r="I37" s="2">
        <v>18.657</v>
      </c>
      <c r="J37" s="2">
        <v>18.954</v>
      </c>
      <c r="K37" s="2">
        <v>19.255</v>
      </c>
      <c r="L37" s="2">
        <v>19.559</v>
      </c>
      <c r="M37" s="2">
        <v>19.9</v>
      </c>
      <c r="N37" s="2">
        <v>20.272</v>
      </c>
      <c r="O37" s="2">
        <v>20.649</v>
      </c>
      <c r="P37" s="2">
        <v>21.031</v>
      </c>
      <c r="Q37" s="2">
        <v>21.419</v>
      </c>
      <c r="R37" s="2">
        <v>21.812</v>
      </c>
      <c r="S37" s="2">
        <v>22.209</v>
      </c>
      <c r="T37" s="2">
        <v>22.612</v>
      </c>
      <c r="U37" s="2">
        <v>23.02</v>
      </c>
      <c r="V37" s="2">
        <v>23.518</v>
      </c>
      <c r="W37" s="2">
        <v>24.995</v>
      </c>
      <c r="X37" s="2">
        <v>26.535</v>
      </c>
      <c r="Y37" s="2">
        <v>28.133</v>
      </c>
      <c r="Z37" s="2">
        <v>29.792</v>
      </c>
      <c r="AA37" s="2">
        <v>31.5</v>
      </c>
      <c r="AB37" s="2">
        <v>33.885</v>
      </c>
      <c r="AC37" s="2">
        <v>36.355</v>
      </c>
      <c r="AD37" s="2">
        <v>38.902</v>
      </c>
      <c r="AE37" s="2">
        <v>41.504</v>
      </c>
      <c r="AF37" s="2">
        <v>44.12</v>
      </c>
      <c r="AG37" s="2">
        <v>45.044</v>
      </c>
      <c r="AH37" s="2">
        <v>45.973</v>
      </c>
      <c r="AI37" s="2">
        <v>46.902</v>
      </c>
      <c r="AJ37" s="2">
        <v>47.834</v>
      </c>
      <c r="AK37" s="2">
        <v>48.768</v>
      </c>
      <c r="AL37" s="2">
        <v>49.704</v>
      </c>
      <c r="AM37" s="2">
        <v>50.637</v>
      </c>
      <c r="AN37" s="2">
        <v>51.572</v>
      </c>
      <c r="AO37" s="2">
        <v>52.505</v>
      </c>
      <c r="AP37" s="2">
        <v>53.435</v>
      </c>
      <c r="AQ37" s="2">
        <v>54.291</v>
      </c>
      <c r="AR37" s="2">
        <v>55.146</v>
      </c>
      <c r="AS37" s="2">
        <v>55.997</v>
      </c>
      <c r="AT37" s="2">
        <v>56.846</v>
      </c>
      <c r="AU37" s="2">
        <v>57.689</v>
      </c>
      <c r="AV37" s="2">
        <v>58.529</v>
      </c>
      <c r="AW37" s="2">
        <v>59.363</v>
      </c>
      <c r="AX37" s="2">
        <v>60.194</v>
      </c>
      <c r="AY37" s="2">
        <v>61.016</v>
      </c>
      <c r="AZ37" s="2">
        <v>61.821</v>
      </c>
      <c r="BA37" s="2">
        <v>62.322</v>
      </c>
      <c r="BB37" s="2">
        <v>62.821</v>
      </c>
      <c r="BC37" s="2">
        <v>63.317</v>
      </c>
      <c r="BD37" s="2">
        <v>63.81</v>
      </c>
      <c r="BE37" s="2">
        <v>64.3</v>
      </c>
      <c r="BF37" s="2">
        <v>64.784</v>
      </c>
      <c r="BG37" s="2">
        <v>65.261</v>
      </c>
      <c r="BH37" s="2">
        <v>65.732</v>
      </c>
      <c r="BI37" s="2">
        <v>66.195</v>
      </c>
      <c r="BJ37" s="2">
        <v>66.652</v>
      </c>
      <c r="BK37" s="2">
        <v>67.102</v>
      </c>
      <c r="BL37" s="2">
        <v>67.545</v>
      </c>
      <c r="BM37" s="2">
        <v>67.982</v>
      </c>
      <c r="BN37" s="2">
        <v>68.412</v>
      </c>
      <c r="BO37" s="2">
        <v>2740.666</v>
      </c>
    </row>
    <row r="38" ht="14.25" customHeight="1">
      <c r="A38" s="2" t="s">
        <v>34</v>
      </c>
      <c r="B38" s="2">
        <v>10.285</v>
      </c>
      <c r="C38" s="2">
        <v>10.293</v>
      </c>
      <c r="D38" s="2">
        <v>10.333</v>
      </c>
      <c r="E38" s="2">
        <v>10.497</v>
      </c>
      <c r="F38" s="2">
        <v>10.662</v>
      </c>
      <c r="G38" s="2">
        <v>10.83</v>
      </c>
      <c r="H38" s="2">
        <v>11.0</v>
      </c>
      <c r="I38" s="2">
        <v>12.098</v>
      </c>
      <c r="J38" s="2">
        <v>13.291</v>
      </c>
      <c r="K38" s="2">
        <v>14.579</v>
      </c>
      <c r="L38" s="2">
        <v>15.97</v>
      </c>
      <c r="M38" s="2">
        <v>18.717</v>
      </c>
      <c r="N38" s="2">
        <v>21.818</v>
      </c>
      <c r="O38" s="2">
        <v>25.263</v>
      </c>
      <c r="P38" s="2">
        <v>29.055</v>
      </c>
      <c r="Q38" s="2">
        <v>4.477</v>
      </c>
      <c r="R38" s="2">
        <v>4.82</v>
      </c>
      <c r="S38" s="2">
        <v>5.186</v>
      </c>
      <c r="T38" s="2">
        <v>5.578</v>
      </c>
      <c r="U38" s="2">
        <v>5.999</v>
      </c>
      <c r="V38" s="2">
        <v>9.898</v>
      </c>
      <c r="W38" s="2">
        <v>12.742</v>
      </c>
      <c r="X38" s="2">
        <v>13.031</v>
      </c>
      <c r="Y38" s="2">
        <v>13.325</v>
      </c>
      <c r="Z38" s="2">
        <v>13.626</v>
      </c>
      <c r="AA38" s="2">
        <v>13.931</v>
      </c>
      <c r="AB38" s="2">
        <v>14.242</v>
      </c>
      <c r="AC38" s="2">
        <v>14.559</v>
      </c>
      <c r="AD38" s="2">
        <v>14.883</v>
      </c>
      <c r="AE38" s="2">
        <v>15.211</v>
      </c>
      <c r="AF38" s="2">
        <v>15.546</v>
      </c>
      <c r="AG38" s="2">
        <v>15.887</v>
      </c>
      <c r="AH38" s="2">
        <v>16.234</v>
      </c>
      <c r="AI38" s="2">
        <v>16.587</v>
      </c>
      <c r="AJ38" s="2">
        <v>16.946</v>
      </c>
      <c r="AK38" s="2">
        <v>17.311</v>
      </c>
      <c r="AL38" s="2">
        <v>17.683</v>
      </c>
      <c r="AM38" s="2">
        <v>18.06</v>
      </c>
      <c r="AN38" s="2">
        <v>18.355</v>
      </c>
      <c r="AO38" s="2">
        <v>18.47</v>
      </c>
      <c r="AP38" s="2">
        <v>18.586</v>
      </c>
      <c r="AQ38" s="2">
        <v>18.703</v>
      </c>
      <c r="AR38" s="2">
        <v>18.82</v>
      </c>
      <c r="AS38" s="2">
        <v>18.937</v>
      </c>
      <c r="AT38" s="2">
        <v>19.055</v>
      </c>
      <c r="AU38" s="2">
        <v>19.174</v>
      </c>
      <c r="AV38" s="2">
        <v>19.293</v>
      </c>
      <c r="AW38" s="2">
        <v>19.413</v>
      </c>
      <c r="AX38" s="2">
        <v>19.571</v>
      </c>
      <c r="AY38" s="2">
        <v>19.93</v>
      </c>
      <c r="AZ38" s="2">
        <v>20.294</v>
      </c>
      <c r="BA38" s="2">
        <v>20.663</v>
      </c>
      <c r="BB38" s="2">
        <v>21.037</v>
      </c>
      <c r="BC38" s="2">
        <v>21.415</v>
      </c>
      <c r="BD38" s="2">
        <v>21.799</v>
      </c>
      <c r="BE38" s="2">
        <v>22.188</v>
      </c>
      <c r="BF38" s="2">
        <v>22.582</v>
      </c>
      <c r="BG38" s="2">
        <v>22.98</v>
      </c>
      <c r="BH38" s="2">
        <v>23.388</v>
      </c>
      <c r="BI38" s="2">
        <v>23.805</v>
      </c>
      <c r="BJ38" s="2">
        <v>24.232</v>
      </c>
      <c r="BK38" s="2">
        <v>24.668</v>
      </c>
      <c r="BL38" s="2">
        <v>25.114</v>
      </c>
      <c r="BM38" s="2">
        <v>25.57</v>
      </c>
      <c r="BN38" s="2">
        <v>26.035</v>
      </c>
      <c r="BO38" s="2">
        <v>1094.53</v>
      </c>
    </row>
    <row r="39" ht="14.25" customHeight="1">
      <c r="A39" s="2" t="s">
        <v>35</v>
      </c>
      <c r="B39" s="2">
        <v>13.937</v>
      </c>
      <c r="C39" s="2">
        <v>14.488</v>
      </c>
      <c r="D39" s="2">
        <v>15.058</v>
      </c>
      <c r="E39" s="2">
        <v>15.647</v>
      </c>
      <c r="F39" s="2">
        <v>16.255</v>
      </c>
      <c r="G39" s="2">
        <v>16.88</v>
      </c>
      <c r="H39" s="2">
        <v>17.525</v>
      </c>
      <c r="I39" s="2">
        <v>18.19</v>
      </c>
      <c r="J39" s="2">
        <v>18.875</v>
      </c>
      <c r="K39" s="2">
        <v>19.577</v>
      </c>
      <c r="L39" s="2">
        <v>20.3</v>
      </c>
      <c r="M39" s="2">
        <v>21.584</v>
      </c>
      <c r="N39" s="2">
        <v>22.927</v>
      </c>
      <c r="O39" s="2">
        <v>24.324</v>
      </c>
      <c r="P39" s="2">
        <v>25.78</v>
      </c>
      <c r="Q39" s="2">
        <v>27.292</v>
      </c>
      <c r="R39" s="2">
        <v>28.678</v>
      </c>
      <c r="S39" s="2">
        <v>29.469</v>
      </c>
      <c r="T39" s="2">
        <v>30.274</v>
      </c>
      <c r="U39" s="2">
        <v>31.091</v>
      </c>
      <c r="V39" s="2">
        <v>31.921</v>
      </c>
      <c r="W39" s="2">
        <v>32.761</v>
      </c>
      <c r="X39" s="2">
        <v>33.613</v>
      </c>
      <c r="Y39" s="2">
        <v>34.476</v>
      </c>
      <c r="Z39" s="2">
        <v>35.35</v>
      </c>
      <c r="AA39" s="2">
        <v>36.232</v>
      </c>
      <c r="AB39" s="2">
        <v>37.124</v>
      </c>
      <c r="AC39" s="2">
        <v>37.941</v>
      </c>
      <c r="AD39" s="2">
        <v>38.511</v>
      </c>
      <c r="AE39" s="2">
        <v>39.082</v>
      </c>
      <c r="AF39" s="2">
        <v>39.657</v>
      </c>
      <c r="AG39" s="2">
        <v>40.235</v>
      </c>
      <c r="AH39" s="2">
        <v>40.817</v>
      </c>
      <c r="AI39" s="2">
        <v>41.399</v>
      </c>
      <c r="AJ39" s="2">
        <v>41.985</v>
      </c>
      <c r="AK39" s="2">
        <v>42.573</v>
      </c>
      <c r="AL39" s="2">
        <v>43.164</v>
      </c>
      <c r="AM39" s="2">
        <v>43.755</v>
      </c>
      <c r="AN39" s="2">
        <v>44.348</v>
      </c>
      <c r="AO39" s="2">
        <v>44.944</v>
      </c>
      <c r="AP39" s="2">
        <v>45.542</v>
      </c>
      <c r="AQ39" s="2">
        <v>46.139</v>
      </c>
      <c r="AR39" s="2">
        <v>46.738</v>
      </c>
      <c r="AS39" s="2">
        <v>47.338</v>
      </c>
      <c r="AT39" s="2">
        <v>47.94</v>
      </c>
      <c r="AU39" s="2">
        <v>48.541</v>
      </c>
      <c r="AV39" s="2">
        <v>49.143</v>
      </c>
      <c r="AW39" s="2">
        <v>49.746</v>
      </c>
      <c r="AX39" s="2">
        <v>50.35</v>
      </c>
      <c r="AY39" s="2">
        <v>50.954</v>
      </c>
      <c r="AZ39" s="2">
        <v>51.559</v>
      </c>
      <c r="BA39" s="2">
        <v>52.164</v>
      </c>
      <c r="BB39" s="2">
        <v>52.769</v>
      </c>
      <c r="BC39" s="2">
        <v>53.373</v>
      </c>
      <c r="BD39" s="2">
        <v>53.976</v>
      </c>
      <c r="BE39" s="2">
        <v>54.578</v>
      </c>
      <c r="BF39" s="2">
        <v>55.179</v>
      </c>
      <c r="BG39" s="2">
        <v>55.777</v>
      </c>
      <c r="BH39" s="2">
        <v>56.374</v>
      </c>
      <c r="BI39" s="2">
        <v>56.968</v>
      </c>
      <c r="BJ39" s="2">
        <v>57.56</v>
      </c>
      <c r="BK39" s="2">
        <v>58.148</v>
      </c>
      <c r="BL39" s="2">
        <v>58.733</v>
      </c>
      <c r="BM39" s="2">
        <v>59.315</v>
      </c>
      <c r="BN39" s="2">
        <v>59.892</v>
      </c>
      <c r="BO39" s="2">
        <v>2526.835</v>
      </c>
    </row>
    <row r="40" ht="14.25" customHeight="1">
      <c r="A40" s="2" t="s">
        <v>36</v>
      </c>
      <c r="B40" s="2">
        <v>69.061</v>
      </c>
      <c r="C40" s="2">
        <v>69.668</v>
      </c>
      <c r="D40" s="2">
        <v>70.494</v>
      </c>
      <c r="E40" s="2">
        <v>71.307</v>
      </c>
      <c r="F40" s="2">
        <v>72.107</v>
      </c>
      <c r="G40" s="2">
        <v>72.892</v>
      </c>
      <c r="H40" s="2">
        <v>73.642</v>
      </c>
      <c r="I40" s="2">
        <v>74.155</v>
      </c>
      <c r="J40" s="2">
        <v>74.662</v>
      </c>
      <c r="K40" s="2">
        <v>75.161</v>
      </c>
      <c r="L40" s="2">
        <v>75.654</v>
      </c>
      <c r="M40" s="2">
        <v>76.09</v>
      </c>
      <c r="N40" s="2">
        <v>75.971</v>
      </c>
      <c r="O40" s="2">
        <v>75.851</v>
      </c>
      <c r="P40" s="2">
        <v>75.731</v>
      </c>
      <c r="Q40" s="2">
        <v>75.611</v>
      </c>
      <c r="R40" s="2">
        <v>75.503</v>
      </c>
      <c r="S40" s="2">
        <v>75.543</v>
      </c>
      <c r="T40" s="2">
        <v>75.583</v>
      </c>
      <c r="U40" s="2">
        <v>75.623</v>
      </c>
      <c r="V40" s="2">
        <v>75.663</v>
      </c>
      <c r="W40" s="2">
        <v>75.712</v>
      </c>
      <c r="X40" s="2">
        <v>75.874</v>
      </c>
      <c r="Y40" s="2">
        <v>76.035</v>
      </c>
      <c r="Z40" s="2">
        <v>76.195</v>
      </c>
      <c r="AA40" s="2">
        <v>76.354</v>
      </c>
      <c r="AB40" s="2">
        <v>76.502</v>
      </c>
      <c r="AC40" s="2">
        <v>76.522</v>
      </c>
      <c r="AD40" s="2">
        <v>76.542</v>
      </c>
      <c r="AE40" s="2">
        <v>76.562</v>
      </c>
      <c r="AF40" s="2">
        <v>76.582</v>
      </c>
      <c r="AG40" s="2">
        <v>76.62</v>
      </c>
      <c r="AH40" s="2">
        <v>76.887</v>
      </c>
      <c r="AI40" s="2">
        <v>77.152</v>
      </c>
      <c r="AJ40" s="2">
        <v>77.414</v>
      </c>
      <c r="AK40" s="2">
        <v>77.675</v>
      </c>
      <c r="AL40" s="2">
        <v>77.951</v>
      </c>
      <c r="AM40" s="2">
        <v>78.34</v>
      </c>
      <c r="AN40" s="2">
        <v>78.724</v>
      </c>
      <c r="AO40" s="2">
        <v>79.103</v>
      </c>
      <c r="AP40" s="2">
        <v>79.478</v>
      </c>
      <c r="AQ40" s="2">
        <v>79.81</v>
      </c>
      <c r="AR40" s="2">
        <v>79.888</v>
      </c>
      <c r="AS40" s="2">
        <v>79.967</v>
      </c>
      <c r="AT40" s="2">
        <v>80.045</v>
      </c>
      <c r="AU40" s="2">
        <v>80.122</v>
      </c>
      <c r="AV40" s="2">
        <v>80.213</v>
      </c>
      <c r="AW40" s="2">
        <v>80.396</v>
      </c>
      <c r="AX40" s="2">
        <v>80.578</v>
      </c>
      <c r="AY40" s="2">
        <v>80.758</v>
      </c>
      <c r="AZ40" s="2">
        <v>80.937</v>
      </c>
      <c r="BA40" s="2">
        <v>81.096</v>
      </c>
      <c r="BB40" s="2">
        <v>81.137</v>
      </c>
      <c r="BC40" s="2">
        <v>81.178</v>
      </c>
      <c r="BD40" s="2">
        <v>81.218</v>
      </c>
      <c r="BE40" s="2">
        <v>81.259</v>
      </c>
      <c r="BF40" s="2">
        <v>81.3</v>
      </c>
      <c r="BG40" s="2">
        <v>81.35</v>
      </c>
      <c r="BH40" s="2">
        <v>81.411</v>
      </c>
      <c r="BI40" s="2">
        <v>81.482</v>
      </c>
      <c r="BJ40" s="2">
        <v>81.562</v>
      </c>
      <c r="BK40" s="2">
        <v>81.653</v>
      </c>
      <c r="BL40" s="2">
        <v>81.752</v>
      </c>
      <c r="BM40" s="2">
        <v>81.862</v>
      </c>
      <c r="BN40" s="2">
        <v>81.98</v>
      </c>
      <c r="BO40" s="2">
        <v>5041.1500000000015</v>
      </c>
    </row>
    <row r="41" ht="14.25" customHeight="1">
      <c r="A41" s="2" t="s">
        <v>514</v>
      </c>
      <c r="B41" s="2">
        <v>35.6623804740402</v>
      </c>
      <c r="C41" s="2">
        <v>36.0736117873599</v>
      </c>
      <c r="D41" s="2">
        <v>36.5037158596008</v>
      </c>
      <c r="E41" s="2">
        <v>36.9466392633008</v>
      </c>
      <c r="F41" s="2">
        <v>37.3767440466187</v>
      </c>
      <c r="G41" s="2">
        <v>37.7788927544407</v>
      </c>
      <c r="H41" s="2">
        <v>38.1851047793438</v>
      </c>
      <c r="I41" s="2">
        <v>38.5938093204632</v>
      </c>
      <c r="J41" s="2">
        <v>39.0030518571753</v>
      </c>
      <c r="K41" s="2">
        <v>39.4068764770077</v>
      </c>
      <c r="L41" s="2">
        <v>39.8153191851452</v>
      </c>
      <c r="M41" s="2">
        <v>40.2576622033564</v>
      </c>
      <c r="N41" s="2">
        <v>40.844847563596</v>
      </c>
      <c r="O41" s="2">
        <v>41.5755257354222</v>
      </c>
      <c r="P41" s="2">
        <v>42.3027708254247</v>
      </c>
      <c r="Q41" s="2">
        <v>43.0268330655744</v>
      </c>
      <c r="R41" s="2">
        <v>43.7472768454166</v>
      </c>
      <c r="S41" s="2">
        <v>44.4591533549902</v>
      </c>
      <c r="T41" s="2">
        <v>45.1639050172232</v>
      </c>
      <c r="U41" s="2">
        <v>45.8589997456452</v>
      </c>
      <c r="V41" s="2">
        <v>46.5105279438272</v>
      </c>
      <c r="W41" s="2">
        <v>46.6664552317804</v>
      </c>
      <c r="X41" s="2">
        <v>46.8459185776443</v>
      </c>
      <c r="Y41" s="2">
        <v>47.0346375722288</v>
      </c>
      <c r="Z41" s="2">
        <v>47.2347435346095</v>
      </c>
      <c r="AA41" s="2">
        <v>47.4493547240247</v>
      </c>
      <c r="AB41" s="2">
        <v>47.6727122734819</v>
      </c>
      <c r="AC41" s="2">
        <v>47.8926166352204</v>
      </c>
      <c r="AD41" s="2">
        <v>48.1173400714394</v>
      </c>
      <c r="AE41" s="2">
        <v>48.3479661771693</v>
      </c>
      <c r="AF41" s="2">
        <v>48.5611244422288</v>
      </c>
      <c r="AG41" s="2">
        <v>48.7082335744671</v>
      </c>
      <c r="AH41" s="2">
        <v>48.7806367849329</v>
      </c>
      <c r="AI41" s="2">
        <v>48.8442665869912</v>
      </c>
      <c r="AJ41" s="2">
        <v>48.910295720874</v>
      </c>
      <c r="AK41" s="2">
        <v>48.9915135091204</v>
      </c>
      <c r="AL41" s="2">
        <v>49.0802544607415</v>
      </c>
      <c r="AM41" s="2">
        <v>49.1662802176673</v>
      </c>
      <c r="AN41" s="2">
        <v>49.2516633156923</v>
      </c>
      <c r="AO41" s="2">
        <v>49.3364920398274</v>
      </c>
      <c r="AP41" s="2">
        <v>49.4118251124998</v>
      </c>
      <c r="AQ41" s="2">
        <v>49.386469177121</v>
      </c>
      <c r="AR41" s="2">
        <v>49.3209060019468</v>
      </c>
      <c r="AS41" s="2">
        <v>49.2353900046655</v>
      </c>
      <c r="AT41" s="2">
        <v>49.1376927029049</v>
      </c>
      <c r="AU41" s="2">
        <v>48.9362817686175</v>
      </c>
      <c r="AV41" s="2">
        <v>48.8230709727569</v>
      </c>
      <c r="AW41" s="2">
        <v>48.7196540194761</v>
      </c>
      <c r="AX41" s="2">
        <v>48.6177371493486</v>
      </c>
      <c r="AY41" s="2">
        <v>48.5133312024237</v>
      </c>
      <c r="AZ41" s="2">
        <v>48.4287004395764</v>
      </c>
      <c r="BA41" s="2">
        <v>48.3838117896068</v>
      </c>
      <c r="BB41" s="2">
        <v>48.3739174351327</v>
      </c>
      <c r="BC41" s="2">
        <v>48.3569432367189</v>
      </c>
      <c r="BD41" s="2">
        <v>48.3537213917685</v>
      </c>
      <c r="BE41" s="2">
        <v>48.3596419249866</v>
      </c>
      <c r="BF41" s="2">
        <v>48.3751733912141</v>
      </c>
      <c r="BG41" s="2">
        <v>48.4023208037305</v>
      </c>
      <c r="BH41" s="2">
        <v>48.3598060566405</v>
      </c>
      <c r="BI41" s="2">
        <v>48.3740566861138</v>
      </c>
      <c r="BJ41" s="2">
        <v>48.4789384076252</v>
      </c>
      <c r="BK41" s="2">
        <v>48.5521210245119</v>
      </c>
      <c r="BL41" s="2">
        <v>48.6529372671663</v>
      </c>
      <c r="BM41" s="2">
        <v>48.7879139879962</v>
      </c>
      <c r="BN41" s="2">
        <v>48.9393849292584</v>
      </c>
      <c r="BO41" s="2">
        <v>2983.267900438921</v>
      </c>
    </row>
    <row r="42" ht="14.25" customHeight="1">
      <c r="A42" s="2" t="s">
        <v>515</v>
      </c>
      <c r="B42" s="2">
        <v>100.0</v>
      </c>
      <c r="C42" s="2">
        <v>100.0</v>
      </c>
      <c r="D42" s="2">
        <v>100.0</v>
      </c>
      <c r="E42" s="2">
        <v>100.0</v>
      </c>
      <c r="F42" s="2">
        <v>100.0</v>
      </c>
      <c r="G42" s="2">
        <v>100.0</v>
      </c>
      <c r="H42" s="2">
        <v>100.0</v>
      </c>
      <c r="I42" s="2">
        <v>100.0</v>
      </c>
      <c r="J42" s="2">
        <v>100.0</v>
      </c>
      <c r="K42" s="2">
        <v>100.0</v>
      </c>
      <c r="L42" s="2">
        <v>100.0</v>
      </c>
      <c r="M42" s="2">
        <v>100.0</v>
      </c>
      <c r="N42" s="2">
        <v>100.0</v>
      </c>
      <c r="O42" s="2">
        <v>100.0</v>
      </c>
      <c r="P42" s="2">
        <v>100.0</v>
      </c>
      <c r="Q42" s="2">
        <v>100.0</v>
      </c>
      <c r="R42" s="2">
        <v>100.0</v>
      </c>
      <c r="S42" s="2">
        <v>100.0</v>
      </c>
      <c r="T42" s="2">
        <v>100.0</v>
      </c>
      <c r="U42" s="2">
        <v>100.0</v>
      </c>
      <c r="V42" s="2">
        <v>100.0</v>
      </c>
      <c r="W42" s="2">
        <v>100.0</v>
      </c>
      <c r="X42" s="2">
        <v>100.0</v>
      </c>
      <c r="Y42" s="2">
        <v>100.0</v>
      </c>
      <c r="Z42" s="2">
        <v>100.0</v>
      </c>
      <c r="AA42" s="2">
        <v>100.0</v>
      </c>
      <c r="AB42" s="2">
        <v>100.0</v>
      </c>
      <c r="AC42" s="2">
        <v>100.0</v>
      </c>
      <c r="AD42" s="2">
        <v>100.0</v>
      </c>
      <c r="AE42" s="2">
        <v>100.0</v>
      </c>
      <c r="AF42" s="2">
        <v>100.0</v>
      </c>
      <c r="AG42" s="2">
        <v>100.0</v>
      </c>
      <c r="AH42" s="2">
        <v>100.0</v>
      </c>
      <c r="AI42" s="2">
        <v>100.0</v>
      </c>
      <c r="AJ42" s="2">
        <v>100.0</v>
      </c>
      <c r="AK42" s="2">
        <v>100.0</v>
      </c>
      <c r="AL42" s="2">
        <v>100.0</v>
      </c>
      <c r="AM42" s="2">
        <v>100.0</v>
      </c>
      <c r="AN42" s="2">
        <v>100.0</v>
      </c>
      <c r="AO42" s="2">
        <v>100.0</v>
      </c>
      <c r="AP42" s="2">
        <v>100.0</v>
      </c>
      <c r="AQ42" s="2">
        <v>100.0</v>
      </c>
      <c r="AR42" s="2">
        <v>100.0</v>
      </c>
      <c r="AS42" s="2">
        <v>100.0</v>
      </c>
      <c r="AT42" s="2">
        <v>100.0</v>
      </c>
      <c r="AU42" s="2">
        <v>100.0</v>
      </c>
      <c r="AV42" s="2">
        <v>100.0</v>
      </c>
      <c r="AW42" s="2">
        <v>100.0</v>
      </c>
      <c r="AX42" s="2">
        <v>100.0</v>
      </c>
      <c r="AY42" s="2">
        <v>100.0</v>
      </c>
      <c r="AZ42" s="2">
        <v>100.0</v>
      </c>
      <c r="BA42" s="2">
        <v>100.0</v>
      </c>
      <c r="BB42" s="2">
        <v>100.0</v>
      </c>
      <c r="BC42" s="2">
        <v>100.0</v>
      </c>
      <c r="BD42" s="2">
        <v>100.0</v>
      </c>
      <c r="BE42" s="2">
        <v>100.0</v>
      </c>
      <c r="BF42" s="2">
        <v>100.0</v>
      </c>
      <c r="BG42" s="2">
        <v>100.0</v>
      </c>
      <c r="BH42" s="2">
        <v>100.0</v>
      </c>
      <c r="BI42" s="2">
        <v>100.0</v>
      </c>
      <c r="BJ42" s="2">
        <v>100.0</v>
      </c>
      <c r="BK42" s="2">
        <v>100.0</v>
      </c>
      <c r="BL42" s="2">
        <v>100.0</v>
      </c>
      <c r="BM42" s="2">
        <v>100.0</v>
      </c>
      <c r="BN42" s="2">
        <v>100.0</v>
      </c>
      <c r="BO42" s="2">
        <v>6500.0</v>
      </c>
    </row>
    <row r="43" ht="14.25" customHeight="1">
      <c r="A43" s="2" t="s">
        <v>443</v>
      </c>
      <c r="B43" s="2">
        <v>20.1</v>
      </c>
      <c r="C43" s="2">
        <v>20.751</v>
      </c>
      <c r="D43" s="2">
        <v>21.418</v>
      </c>
      <c r="E43" s="2">
        <v>22.1</v>
      </c>
      <c r="F43" s="2">
        <v>22.803</v>
      </c>
      <c r="G43" s="2">
        <v>23.519</v>
      </c>
      <c r="H43" s="2">
        <v>24.252</v>
      </c>
      <c r="I43" s="2">
        <v>25.0</v>
      </c>
      <c r="J43" s="2">
        <v>25.815</v>
      </c>
      <c r="K43" s="2">
        <v>26.645</v>
      </c>
      <c r="L43" s="2">
        <v>27.492</v>
      </c>
      <c r="M43" s="2">
        <v>28.356</v>
      </c>
      <c r="N43" s="2">
        <v>29.238</v>
      </c>
      <c r="O43" s="2">
        <v>30.133</v>
      </c>
      <c r="P43" s="2">
        <v>31.045</v>
      </c>
      <c r="Q43" s="2">
        <v>31.971</v>
      </c>
      <c r="R43" s="2">
        <v>32.575</v>
      </c>
      <c r="S43" s="2">
        <v>32.897</v>
      </c>
      <c r="T43" s="2">
        <v>33.221</v>
      </c>
      <c r="U43" s="2">
        <v>33.546</v>
      </c>
      <c r="V43" s="2">
        <v>33.874</v>
      </c>
      <c r="W43" s="2">
        <v>34.202</v>
      </c>
      <c r="X43" s="2">
        <v>34.532</v>
      </c>
      <c r="Y43" s="2">
        <v>34.864</v>
      </c>
      <c r="Z43" s="2">
        <v>35.198</v>
      </c>
      <c r="AA43" s="2">
        <v>35.532</v>
      </c>
      <c r="AB43" s="2">
        <v>35.868</v>
      </c>
      <c r="AC43" s="2">
        <v>36.206</v>
      </c>
      <c r="AD43" s="2">
        <v>36.545</v>
      </c>
      <c r="AE43" s="2">
        <v>36.744</v>
      </c>
      <c r="AF43" s="2">
        <v>36.825</v>
      </c>
      <c r="AG43" s="2">
        <v>36.906</v>
      </c>
      <c r="AH43" s="2">
        <v>36.987</v>
      </c>
      <c r="AI43" s="2">
        <v>37.068</v>
      </c>
      <c r="AJ43" s="2">
        <v>37.149</v>
      </c>
      <c r="AK43" s="2">
        <v>37.231</v>
      </c>
      <c r="AL43" s="2">
        <v>37.312</v>
      </c>
      <c r="AM43" s="2">
        <v>37.394</v>
      </c>
      <c r="AN43" s="2">
        <v>37.475</v>
      </c>
      <c r="AO43" s="2">
        <v>37.557</v>
      </c>
      <c r="AP43" s="2">
        <v>37.639</v>
      </c>
      <c r="AQ43" s="2">
        <v>37.72</v>
      </c>
      <c r="AR43" s="2">
        <v>37.802</v>
      </c>
      <c r="AS43" s="2">
        <v>37.884</v>
      </c>
      <c r="AT43" s="2">
        <v>37.966</v>
      </c>
      <c r="AU43" s="2">
        <v>38.069</v>
      </c>
      <c r="AV43" s="2">
        <v>38.193</v>
      </c>
      <c r="AW43" s="2">
        <v>38.339</v>
      </c>
      <c r="AX43" s="2">
        <v>38.506</v>
      </c>
      <c r="AY43" s="2">
        <v>38.694</v>
      </c>
      <c r="AZ43" s="2">
        <v>38.904</v>
      </c>
      <c r="BA43" s="2">
        <v>39.135</v>
      </c>
      <c r="BB43" s="2">
        <v>39.388</v>
      </c>
      <c r="BC43" s="2">
        <v>39.663</v>
      </c>
      <c r="BD43" s="2">
        <v>39.959</v>
      </c>
      <c r="BE43" s="2">
        <v>40.277</v>
      </c>
      <c r="BF43" s="2">
        <v>40.618</v>
      </c>
      <c r="BG43" s="2">
        <v>40.98</v>
      </c>
      <c r="BH43" s="2">
        <v>41.364</v>
      </c>
      <c r="BI43" s="2">
        <v>41.77</v>
      </c>
      <c r="BJ43" s="2">
        <v>42.198</v>
      </c>
      <c r="BK43" s="2">
        <v>42.648</v>
      </c>
      <c r="BL43" s="2">
        <v>43.12</v>
      </c>
      <c r="BM43" s="2">
        <v>43.614</v>
      </c>
      <c r="BN43" s="2">
        <v>44.13</v>
      </c>
      <c r="BO43" s="2">
        <v>2266.926</v>
      </c>
    </row>
    <row r="44" ht="14.25" customHeight="1">
      <c r="A44" s="2" t="s">
        <v>516</v>
      </c>
      <c r="B44" s="2">
        <v>44.5078359491875</v>
      </c>
      <c r="C44" s="2">
        <v>45.2071736285835</v>
      </c>
      <c r="D44" s="2">
        <v>45.8672620811826</v>
      </c>
      <c r="E44" s="2">
        <v>46.5349208922556</v>
      </c>
      <c r="F44" s="2">
        <v>47.2096938544833</v>
      </c>
      <c r="G44" s="2">
        <v>47.8811300334191</v>
      </c>
      <c r="H44" s="2">
        <v>48.5053962787203</v>
      </c>
      <c r="I44" s="2">
        <v>49.0678064582325</v>
      </c>
      <c r="J44" s="2">
        <v>49.6385039398769</v>
      </c>
      <c r="K44" s="2">
        <v>50.2151529138456</v>
      </c>
      <c r="L44" s="2">
        <v>50.7802761867638</v>
      </c>
      <c r="M44" s="2">
        <v>51.42665617342</v>
      </c>
      <c r="N44" s="2">
        <v>52.1464689909273</v>
      </c>
      <c r="O44" s="2">
        <v>52.8659583318729</v>
      </c>
      <c r="P44" s="2">
        <v>53.5854300539643</v>
      </c>
      <c r="Q44" s="2">
        <v>54.2944661807973</v>
      </c>
      <c r="R44" s="2">
        <v>54.9922544596698</v>
      </c>
      <c r="S44" s="2">
        <v>55.705067734602</v>
      </c>
      <c r="T44" s="2">
        <v>56.4342763597896</v>
      </c>
      <c r="U44" s="2">
        <v>57.1040579349993</v>
      </c>
      <c r="V44" s="2">
        <v>57.7061245226969</v>
      </c>
      <c r="W44" s="2">
        <v>58.1639538621763</v>
      </c>
      <c r="X44" s="2">
        <v>58.5586325178097</v>
      </c>
      <c r="Y44" s="2">
        <v>58.9553448854661</v>
      </c>
      <c r="Z44" s="2">
        <v>59.3525777330879</v>
      </c>
      <c r="AA44" s="2">
        <v>59.7467078553134</v>
      </c>
      <c r="AB44" s="2">
        <v>60.131109502475</v>
      </c>
      <c r="AC44" s="2">
        <v>60.5096673205319</v>
      </c>
      <c r="AD44" s="2">
        <v>60.8917273850056</v>
      </c>
      <c r="AE44" s="2">
        <v>61.1831392886693</v>
      </c>
      <c r="AF44" s="2">
        <v>61.3918489105075</v>
      </c>
      <c r="AG44" s="2">
        <v>61.6033123693988</v>
      </c>
      <c r="AH44" s="2">
        <v>61.6934193330695</v>
      </c>
      <c r="AI44" s="2">
        <v>61.6652386515615</v>
      </c>
      <c r="AJ44" s="2">
        <v>61.6367536015157</v>
      </c>
      <c r="AK44" s="2">
        <v>61.6092306125597</v>
      </c>
      <c r="AL44" s="2">
        <v>61.5872476575534</v>
      </c>
      <c r="AM44" s="2">
        <v>61.5631779443044</v>
      </c>
      <c r="AN44" s="2">
        <v>61.5340182335249</v>
      </c>
      <c r="AO44" s="2">
        <v>61.5050697885992</v>
      </c>
      <c r="AP44" s="2">
        <v>61.4761873574982</v>
      </c>
      <c r="AQ44" s="2">
        <v>61.4954533010998</v>
      </c>
      <c r="AR44" s="2">
        <v>61.5557607471992</v>
      </c>
      <c r="AS44" s="2">
        <v>61.6021556919924</v>
      </c>
      <c r="AT44" s="2">
        <v>61.6481810490578</v>
      </c>
      <c r="AU44" s="2">
        <v>61.7026922241905</v>
      </c>
      <c r="AV44" s="2">
        <v>61.763895445527</v>
      </c>
      <c r="AW44" s="2">
        <v>61.8418454287671</v>
      </c>
      <c r="AX44" s="2">
        <v>61.9245405466204</v>
      </c>
      <c r="AY44" s="2">
        <v>61.9860468760089</v>
      </c>
      <c r="AZ44" s="2">
        <v>62.0260650244197</v>
      </c>
      <c r="BA44" s="2">
        <v>62.0639344852313</v>
      </c>
      <c r="BB44" s="2">
        <v>62.0822947513821</v>
      </c>
      <c r="BC44" s="2">
        <v>62.0853985481731</v>
      </c>
      <c r="BD44" s="2">
        <v>62.096663299312</v>
      </c>
      <c r="BE44" s="2">
        <v>62.1180221963844</v>
      </c>
      <c r="BF44" s="2">
        <v>62.156552859069</v>
      </c>
      <c r="BG44" s="2">
        <v>62.2153791390802</v>
      </c>
      <c r="BH44" s="2">
        <v>62.2947407041373</v>
      </c>
      <c r="BI44" s="2">
        <v>62.3925547365605</v>
      </c>
      <c r="BJ44" s="2">
        <v>62.5213419275711</v>
      </c>
      <c r="BK44" s="2">
        <v>62.6535671301717</v>
      </c>
      <c r="BL44" s="2">
        <v>62.835931596872</v>
      </c>
      <c r="BM44" s="2">
        <v>63.0354532399767</v>
      </c>
      <c r="BN44" s="2">
        <v>63.2318023578215</v>
      </c>
      <c r="BO44" s="2">
        <v>3777.764551076542</v>
      </c>
    </row>
    <row r="45" ht="14.25" customHeight="1">
      <c r="A45" s="2" t="s">
        <v>444</v>
      </c>
      <c r="B45" s="2">
        <v>6.695</v>
      </c>
      <c r="C45" s="2">
        <v>6.962</v>
      </c>
      <c r="D45" s="2">
        <v>7.239</v>
      </c>
      <c r="E45" s="2">
        <v>7.527</v>
      </c>
      <c r="F45" s="2">
        <v>7.877</v>
      </c>
      <c r="G45" s="2">
        <v>8.406</v>
      </c>
      <c r="H45" s="2">
        <v>8.968</v>
      </c>
      <c r="I45" s="2">
        <v>9.564</v>
      </c>
      <c r="J45" s="2">
        <v>10.196</v>
      </c>
      <c r="K45" s="2">
        <v>10.862</v>
      </c>
      <c r="L45" s="2">
        <v>11.568</v>
      </c>
      <c r="M45" s="2">
        <v>12.313</v>
      </c>
      <c r="N45" s="2">
        <v>13.1</v>
      </c>
      <c r="O45" s="2">
        <v>13.882</v>
      </c>
      <c r="P45" s="2">
        <v>14.704</v>
      </c>
      <c r="Q45" s="2">
        <v>15.566</v>
      </c>
      <c r="R45" s="2">
        <v>16.47</v>
      </c>
      <c r="S45" s="2">
        <v>17.413</v>
      </c>
      <c r="T45" s="2">
        <v>18.4</v>
      </c>
      <c r="U45" s="2">
        <v>18.592</v>
      </c>
      <c r="V45" s="2">
        <v>18.787</v>
      </c>
      <c r="W45" s="2">
        <v>18.982</v>
      </c>
      <c r="X45" s="2">
        <v>19.179</v>
      </c>
      <c r="Y45" s="2">
        <v>19.377</v>
      </c>
      <c r="Z45" s="2">
        <v>19.578</v>
      </c>
      <c r="AA45" s="2">
        <v>19.779</v>
      </c>
      <c r="AB45" s="2">
        <v>19.983</v>
      </c>
      <c r="AC45" s="2">
        <v>20.187</v>
      </c>
      <c r="AD45" s="2">
        <v>20.394</v>
      </c>
      <c r="AE45" s="2">
        <v>20.602</v>
      </c>
      <c r="AF45" s="2">
        <v>20.811</v>
      </c>
      <c r="AG45" s="2">
        <v>21.023</v>
      </c>
      <c r="AH45" s="2">
        <v>21.235</v>
      </c>
      <c r="AI45" s="2">
        <v>21.408</v>
      </c>
      <c r="AJ45" s="2">
        <v>21.44</v>
      </c>
      <c r="AK45" s="2">
        <v>21.473</v>
      </c>
      <c r="AL45" s="2">
        <v>21.506</v>
      </c>
      <c r="AM45" s="2">
        <v>21.538</v>
      </c>
      <c r="AN45" s="2">
        <v>21.571</v>
      </c>
      <c r="AO45" s="2">
        <v>21.604</v>
      </c>
      <c r="AP45" s="2">
        <v>21.637</v>
      </c>
      <c r="AQ45" s="2">
        <v>21.67</v>
      </c>
      <c r="AR45" s="2">
        <v>21.702</v>
      </c>
      <c r="AS45" s="2">
        <v>21.735</v>
      </c>
      <c r="AT45" s="2">
        <v>21.768</v>
      </c>
      <c r="AU45" s="2">
        <v>21.801</v>
      </c>
      <c r="AV45" s="2">
        <v>21.834</v>
      </c>
      <c r="AW45" s="2">
        <v>21.868</v>
      </c>
      <c r="AX45" s="2">
        <v>21.901</v>
      </c>
      <c r="AY45" s="2">
        <v>21.934</v>
      </c>
      <c r="AZ45" s="2">
        <v>21.985</v>
      </c>
      <c r="BA45" s="2">
        <v>22.054</v>
      </c>
      <c r="BB45" s="2">
        <v>22.142</v>
      </c>
      <c r="BC45" s="2">
        <v>22.248</v>
      </c>
      <c r="BD45" s="2">
        <v>22.372</v>
      </c>
      <c r="BE45" s="2">
        <v>22.515</v>
      </c>
      <c r="BF45" s="2">
        <v>22.677</v>
      </c>
      <c r="BG45" s="2">
        <v>22.858</v>
      </c>
      <c r="BH45" s="2">
        <v>23.059</v>
      </c>
      <c r="BI45" s="2">
        <v>23.279</v>
      </c>
      <c r="BJ45" s="2">
        <v>23.52</v>
      </c>
      <c r="BK45" s="2">
        <v>23.781</v>
      </c>
      <c r="BL45" s="2">
        <v>24.063</v>
      </c>
      <c r="BM45" s="2">
        <v>24.366</v>
      </c>
      <c r="BN45" s="2">
        <v>24.691</v>
      </c>
      <c r="BO45" s="2">
        <v>1210.2210000000002</v>
      </c>
    </row>
    <row r="46" ht="14.25" customHeight="1">
      <c r="A46" s="2" t="s">
        <v>517</v>
      </c>
      <c r="B46" s="2">
        <v>38.7</v>
      </c>
      <c r="C46" s="2">
        <v>38.436</v>
      </c>
      <c r="D46" s="2">
        <v>38.172</v>
      </c>
      <c r="E46" s="2">
        <v>37.909</v>
      </c>
      <c r="F46" s="2">
        <v>37.646</v>
      </c>
      <c r="G46" s="2">
        <v>37.385</v>
      </c>
      <c r="H46" s="2">
        <v>37.124</v>
      </c>
      <c r="I46" s="2">
        <v>36.864</v>
      </c>
      <c r="J46" s="2">
        <v>36.604</v>
      </c>
      <c r="K46" s="2">
        <v>36.346</v>
      </c>
      <c r="L46" s="2">
        <v>36.088</v>
      </c>
      <c r="M46" s="2">
        <v>35.803</v>
      </c>
      <c r="N46" s="2">
        <v>35.394</v>
      </c>
      <c r="O46" s="2">
        <v>34.989</v>
      </c>
      <c r="P46" s="2">
        <v>34.585</v>
      </c>
      <c r="Q46" s="2">
        <v>34.183</v>
      </c>
      <c r="R46" s="2">
        <v>33.783</v>
      </c>
      <c r="S46" s="2">
        <v>33.387</v>
      </c>
      <c r="T46" s="2">
        <v>32.992</v>
      </c>
      <c r="U46" s="2">
        <v>32.599</v>
      </c>
      <c r="V46" s="2">
        <v>32.209</v>
      </c>
      <c r="W46" s="2">
        <v>31.909</v>
      </c>
      <c r="X46" s="2">
        <v>31.89</v>
      </c>
      <c r="Y46" s="2">
        <v>31.871</v>
      </c>
      <c r="Z46" s="2">
        <v>31.851</v>
      </c>
      <c r="AA46" s="2">
        <v>31.832</v>
      </c>
      <c r="AB46" s="2">
        <v>31.813</v>
      </c>
      <c r="AC46" s="2">
        <v>31.707</v>
      </c>
      <c r="AD46" s="2">
        <v>31.602</v>
      </c>
      <c r="AE46" s="2">
        <v>31.497</v>
      </c>
      <c r="AF46" s="2">
        <v>31.392</v>
      </c>
      <c r="AG46" s="2">
        <v>31.262</v>
      </c>
      <c r="AH46" s="2">
        <v>31.076</v>
      </c>
      <c r="AI46" s="2">
        <v>30.891</v>
      </c>
      <c r="AJ46" s="2">
        <v>30.706</v>
      </c>
      <c r="AK46" s="2">
        <v>30.522</v>
      </c>
      <c r="AL46" s="2">
        <v>30.4</v>
      </c>
      <c r="AM46" s="2">
        <v>30.416</v>
      </c>
      <c r="AN46" s="2">
        <v>30.432</v>
      </c>
      <c r="AO46" s="2">
        <v>30.449</v>
      </c>
      <c r="AP46" s="2">
        <v>30.465</v>
      </c>
      <c r="AQ46" s="2">
        <v>30.495</v>
      </c>
      <c r="AR46" s="2">
        <v>30.557</v>
      </c>
      <c r="AS46" s="2">
        <v>30.619</v>
      </c>
      <c r="AT46" s="2">
        <v>30.681</v>
      </c>
      <c r="AU46" s="2">
        <v>30.743</v>
      </c>
      <c r="AV46" s="2">
        <v>30.805</v>
      </c>
      <c r="AW46" s="2">
        <v>30.867</v>
      </c>
      <c r="AX46" s="2">
        <v>30.929</v>
      </c>
      <c r="AY46" s="2">
        <v>30.992</v>
      </c>
      <c r="AZ46" s="2">
        <v>31.054</v>
      </c>
      <c r="BA46" s="2">
        <v>31.091</v>
      </c>
      <c r="BB46" s="2">
        <v>31.059</v>
      </c>
      <c r="BC46" s="2">
        <v>31.027</v>
      </c>
      <c r="BD46" s="2">
        <v>30.995</v>
      </c>
      <c r="BE46" s="2">
        <v>30.962</v>
      </c>
      <c r="BF46" s="2">
        <v>30.93</v>
      </c>
      <c r="BG46" s="2">
        <v>30.914</v>
      </c>
      <c r="BH46" s="2">
        <v>30.914</v>
      </c>
      <c r="BI46" s="2">
        <v>30.931</v>
      </c>
      <c r="BJ46" s="2">
        <v>30.963</v>
      </c>
      <c r="BK46" s="2">
        <v>31.012</v>
      </c>
      <c r="BL46" s="2">
        <v>31.077</v>
      </c>
      <c r="BM46" s="2">
        <v>31.159</v>
      </c>
      <c r="BN46" s="2">
        <v>31.257</v>
      </c>
      <c r="BO46" s="2">
        <v>2117.214</v>
      </c>
    </row>
    <row r="47" ht="14.25" customHeight="1">
      <c r="A47" s="2" t="s">
        <v>37</v>
      </c>
      <c r="B47" s="2">
        <v>67.836</v>
      </c>
      <c r="C47" s="2">
        <v>68.66</v>
      </c>
      <c r="D47" s="2">
        <v>69.435</v>
      </c>
      <c r="E47" s="2">
        <v>70.2</v>
      </c>
      <c r="F47" s="2">
        <v>70.955</v>
      </c>
      <c r="G47" s="2">
        <v>71.696</v>
      </c>
      <c r="H47" s="2">
        <v>72.427</v>
      </c>
      <c r="I47" s="2">
        <v>73.146</v>
      </c>
      <c r="J47" s="2">
        <v>73.854</v>
      </c>
      <c r="K47" s="2">
        <v>74.547</v>
      </c>
      <c r="L47" s="2">
        <v>75.227</v>
      </c>
      <c r="M47" s="2">
        <v>75.883</v>
      </c>
      <c r="N47" s="2">
        <v>76.528</v>
      </c>
      <c r="O47" s="2">
        <v>77.159</v>
      </c>
      <c r="P47" s="2">
        <v>77.778</v>
      </c>
      <c r="Q47" s="2">
        <v>78.386</v>
      </c>
      <c r="R47" s="2">
        <v>78.982</v>
      </c>
      <c r="S47" s="2">
        <v>79.565</v>
      </c>
      <c r="T47" s="2">
        <v>80.136</v>
      </c>
      <c r="U47" s="2">
        <v>80.695</v>
      </c>
      <c r="V47" s="2">
        <v>81.243</v>
      </c>
      <c r="W47" s="2">
        <v>81.778</v>
      </c>
      <c r="X47" s="2">
        <v>82.226</v>
      </c>
      <c r="Y47" s="2">
        <v>82.359</v>
      </c>
      <c r="Z47" s="2">
        <v>82.492</v>
      </c>
      <c r="AA47" s="2">
        <v>82.624</v>
      </c>
      <c r="AB47" s="2">
        <v>82.755</v>
      </c>
      <c r="AC47" s="2">
        <v>82.885</v>
      </c>
      <c r="AD47" s="2">
        <v>83.014</v>
      </c>
      <c r="AE47" s="2">
        <v>83.143</v>
      </c>
      <c r="AF47" s="2">
        <v>83.271</v>
      </c>
      <c r="AG47" s="2">
        <v>83.398</v>
      </c>
      <c r="AH47" s="2">
        <v>83.564</v>
      </c>
      <c r="AI47" s="2">
        <v>83.896</v>
      </c>
      <c r="AJ47" s="2">
        <v>84.223</v>
      </c>
      <c r="AK47" s="2">
        <v>84.545</v>
      </c>
      <c r="AL47" s="2">
        <v>84.861</v>
      </c>
      <c r="AM47" s="2">
        <v>85.172</v>
      </c>
      <c r="AN47" s="2">
        <v>85.477</v>
      </c>
      <c r="AO47" s="2">
        <v>85.778</v>
      </c>
      <c r="AP47" s="2">
        <v>86.073</v>
      </c>
      <c r="AQ47" s="2">
        <v>86.363</v>
      </c>
      <c r="AR47" s="2">
        <v>86.606</v>
      </c>
      <c r="AS47" s="2">
        <v>86.665</v>
      </c>
      <c r="AT47" s="2">
        <v>86.725</v>
      </c>
      <c r="AU47" s="2">
        <v>86.783</v>
      </c>
      <c r="AV47" s="2">
        <v>86.842</v>
      </c>
      <c r="AW47" s="2">
        <v>86.9</v>
      </c>
      <c r="AX47" s="2">
        <v>86.959</v>
      </c>
      <c r="AY47" s="2">
        <v>87.017</v>
      </c>
      <c r="AZ47" s="2">
        <v>87.074</v>
      </c>
      <c r="BA47" s="2">
        <v>87.132</v>
      </c>
      <c r="BB47" s="2">
        <v>87.189</v>
      </c>
      <c r="BC47" s="2">
        <v>87.246</v>
      </c>
      <c r="BD47" s="2">
        <v>87.303</v>
      </c>
      <c r="BE47" s="2">
        <v>87.36</v>
      </c>
      <c r="BF47" s="2">
        <v>87.422</v>
      </c>
      <c r="BG47" s="2">
        <v>87.49</v>
      </c>
      <c r="BH47" s="2">
        <v>87.564</v>
      </c>
      <c r="BI47" s="2">
        <v>87.643</v>
      </c>
      <c r="BJ47" s="2">
        <v>87.727</v>
      </c>
      <c r="BK47" s="2">
        <v>87.817</v>
      </c>
      <c r="BL47" s="2">
        <v>87.912</v>
      </c>
      <c r="BM47" s="2">
        <v>88.012</v>
      </c>
      <c r="BN47" s="2">
        <v>88.116</v>
      </c>
      <c r="BO47" s="2">
        <v>5341.738999999998</v>
      </c>
    </row>
    <row r="48" ht="14.25" customHeight="1">
      <c r="A48" s="2" t="s">
        <v>38</v>
      </c>
      <c r="B48" s="2">
        <v>16.203</v>
      </c>
      <c r="C48" s="2">
        <v>16.708</v>
      </c>
      <c r="D48" s="2">
        <v>17.226</v>
      </c>
      <c r="E48" s="2">
        <v>17.757</v>
      </c>
      <c r="F48" s="2">
        <v>18.299</v>
      </c>
      <c r="G48" s="2">
        <v>18.086</v>
      </c>
      <c r="H48" s="2">
        <v>17.915</v>
      </c>
      <c r="I48" s="2">
        <v>17.785</v>
      </c>
      <c r="J48" s="2">
        <v>17.656</v>
      </c>
      <c r="K48" s="2">
        <v>17.528</v>
      </c>
      <c r="L48" s="2">
        <v>17.4</v>
      </c>
      <c r="M48" s="2">
        <v>17.292</v>
      </c>
      <c r="N48" s="2">
        <v>17.184</v>
      </c>
      <c r="O48" s="2">
        <v>17.184</v>
      </c>
      <c r="P48" s="2">
        <v>17.292</v>
      </c>
      <c r="Q48" s="2">
        <v>17.4</v>
      </c>
      <c r="R48" s="2">
        <v>17.46</v>
      </c>
      <c r="S48" s="2">
        <v>17.52</v>
      </c>
      <c r="T48" s="2">
        <v>17.9</v>
      </c>
      <c r="U48" s="2">
        <v>18.617</v>
      </c>
      <c r="V48" s="2">
        <v>19.358</v>
      </c>
      <c r="W48" s="2">
        <v>20.118</v>
      </c>
      <c r="X48" s="2">
        <v>20.902</v>
      </c>
      <c r="Y48" s="2">
        <v>21.545</v>
      </c>
      <c r="Z48" s="2">
        <v>22.203</v>
      </c>
      <c r="AA48" s="2">
        <v>22.874</v>
      </c>
      <c r="AB48" s="2">
        <v>23.559</v>
      </c>
      <c r="AC48" s="2">
        <v>24.259</v>
      </c>
      <c r="AD48" s="2">
        <v>24.974</v>
      </c>
      <c r="AE48" s="2">
        <v>25.701</v>
      </c>
      <c r="AF48" s="2">
        <v>26.442</v>
      </c>
      <c r="AG48" s="2">
        <v>27.312</v>
      </c>
      <c r="AH48" s="2">
        <v>28.2</v>
      </c>
      <c r="AI48" s="2">
        <v>29.103</v>
      </c>
      <c r="AJ48" s="2">
        <v>30.024</v>
      </c>
      <c r="AK48" s="2">
        <v>30.961</v>
      </c>
      <c r="AL48" s="2">
        <v>31.916</v>
      </c>
      <c r="AM48" s="2">
        <v>32.883</v>
      </c>
      <c r="AN48" s="2">
        <v>33.867</v>
      </c>
      <c r="AO48" s="2">
        <v>34.865</v>
      </c>
      <c r="AP48" s="2">
        <v>35.877</v>
      </c>
      <c r="AQ48" s="2">
        <v>37.093</v>
      </c>
      <c r="AR48" s="2">
        <v>38.425</v>
      </c>
      <c r="AS48" s="2">
        <v>39.776</v>
      </c>
      <c r="AT48" s="2">
        <v>41.144</v>
      </c>
      <c r="AU48" s="2">
        <v>42.522</v>
      </c>
      <c r="AV48" s="2">
        <v>43.868</v>
      </c>
      <c r="AW48" s="2">
        <v>45.199</v>
      </c>
      <c r="AX48" s="2">
        <v>46.539</v>
      </c>
      <c r="AY48" s="2">
        <v>47.88</v>
      </c>
      <c r="AZ48" s="2">
        <v>49.226</v>
      </c>
      <c r="BA48" s="2">
        <v>50.511</v>
      </c>
      <c r="BB48" s="2">
        <v>51.765</v>
      </c>
      <c r="BC48" s="2">
        <v>53.013</v>
      </c>
      <c r="BD48" s="2">
        <v>54.259</v>
      </c>
      <c r="BE48" s="2">
        <v>55.5</v>
      </c>
      <c r="BF48" s="2">
        <v>56.736</v>
      </c>
      <c r="BG48" s="2">
        <v>57.96</v>
      </c>
      <c r="BH48" s="2">
        <v>59.152</v>
      </c>
      <c r="BI48" s="2">
        <v>60.308</v>
      </c>
      <c r="BJ48" s="2">
        <v>61.428</v>
      </c>
      <c r="BK48" s="2">
        <v>62.512</v>
      </c>
      <c r="BL48" s="2">
        <v>63.56</v>
      </c>
      <c r="BM48" s="2">
        <v>64.57</v>
      </c>
      <c r="BN48" s="2">
        <v>65.544</v>
      </c>
      <c r="BO48" s="2">
        <v>2165.845</v>
      </c>
    </row>
    <row r="49" ht="14.25" customHeight="1">
      <c r="A49" s="2" t="s">
        <v>39</v>
      </c>
      <c r="B49" s="2">
        <v>46.268</v>
      </c>
      <c r="C49" s="2">
        <v>47.702</v>
      </c>
      <c r="D49" s="2">
        <v>49.143</v>
      </c>
      <c r="E49" s="2">
        <v>50.584</v>
      </c>
      <c r="F49" s="2">
        <v>52.027</v>
      </c>
      <c r="G49" s="2">
        <v>52.82</v>
      </c>
      <c r="H49" s="2">
        <v>53.587</v>
      </c>
      <c r="I49" s="2">
        <v>54.352</v>
      </c>
      <c r="J49" s="2">
        <v>55.117</v>
      </c>
      <c r="K49" s="2">
        <v>55.877</v>
      </c>
      <c r="L49" s="2">
        <v>56.635</v>
      </c>
      <c r="M49" s="2">
        <v>57.39</v>
      </c>
      <c r="N49" s="2">
        <v>58.143</v>
      </c>
      <c r="O49" s="2">
        <v>58.89</v>
      </c>
      <c r="P49" s="2">
        <v>59.607</v>
      </c>
      <c r="Q49" s="2">
        <v>60.306</v>
      </c>
      <c r="R49" s="2">
        <v>61.003</v>
      </c>
      <c r="S49" s="2">
        <v>61.693</v>
      </c>
      <c r="T49" s="2">
        <v>62.379</v>
      </c>
      <c r="U49" s="2">
        <v>63.061</v>
      </c>
      <c r="V49" s="2">
        <v>63.738</v>
      </c>
      <c r="W49" s="2">
        <v>64.408</v>
      </c>
      <c r="X49" s="2">
        <v>65.073</v>
      </c>
      <c r="Y49" s="2">
        <v>65.733</v>
      </c>
      <c r="Z49" s="2">
        <v>66.387</v>
      </c>
      <c r="AA49" s="2">
        <v>67.034</v>
      </c>
      <c r="AB49" s="2">
        <v>67.566</v>
      </c>
      <c r="AC49" s="2">
        <v>68.051</v>
      </c>
      <c r="AD49" s="2">
        <v>68.532</v>
      </c>
      <c r="AE49" s="2">
        <v>69.008</v>
      </c>
      <c r="AF49" s="2">
        <v>69.481</v>
      </c>
      <c r="AG49" s="2">
        <v>69.949</v>
      </c>
      <c r="AH49" s="2">
        <v>70.415</v>
      </c>
      <c r="AI49" s="2">
        <v>70.874</v>
      </c>
      <c r="AJ49" s="2">
        <v>71.328</v>
      </c>
      <c r="AK49" s="2">
        <v>71.777</v>
      </c>
      <c r="AL49" s="2">
        <v>72.223</v>
      </c>
      <c r="AM49" s="2">
        <v>72.662</v>
      </c>
      <c r="AN49" s="2">
        <v>73.098</v>
      </c>
      <c r="AO49" s="2">
        <v>73.53</v>
      </c>
      <c r="AP49" s="2">
        <v>73.957</v>
      </c>
      <c r="AQ49" s="2">
        <v>74.379</v>
      </c>
      <c r="AR49" s="2">
        <v>74.797</v>
      </c>
      <c r="AS49" s="2">
        <v>75.211</v>
      </c>
      <c r="AT49" s="2">
        <v>75.62</v>
      </c>
      <c r="AU49" s="2">
        <v>76.024</v>
      </c>
      <c r="AV49" s="2">
        <v>76.423</v>
      </c>
      <c r="AW49" s="2">
        <v>76.816</v>
      </c>
      <c r="AX49" s="2">
        <v>77.204</v>
      </c>
      <c r="AY49" s="2">
        <v>77.587</v>
      </c>
      <c r="AZ49" s="2">
        <v>77.964</v>
      </c>
      <c r="BA49" s="2">
        <v>78.335</v>
      </c>
      <c r="BB49" s="2">
        <v>78.701</v>
      </c>
      <c r="BC49" s="2">
        <v>79.061</v>
      </c>
      <c r="BD49" s="2">
        <v>79.415</v>
      </c>
      <c r="BE49" s="2">
        <v>79.764</v>
      </c>
      <c r="BF49" s="2">
        <v>80.108</v>
      </c>
      <c r="BG49" s="2">
        <v>80.446</v>
      </c>
      <c r="BH49" s="2">
        <v>80.778</v>
      </c>
      <c r="BI49" s="2">
        <v>81.104</v>
      </c>
      <c r="BJ49" s="2">
        <v>81.425</v>
      </c>
      <c r="BK49" s="2">
        <v>81.74</v>
      </c>
      <c r="BL49" s="2">
        <v>82.05</v>
      </c>
      <c r="BM49" s="2">
        <v>82.354</v>
      </c>
      <c r="BN49" s="2">
        <v>82.652</v>
      </c>
      <c r="BO49" s="2">
        <v>4461.365999999999</v>
      </c>
    </row>
    <row r="50" ht="14.25" customHeight="1">
      <c r="A50" s="2" t="s">
        <v>445</v>
      </c>
      <c r="B50" s="2">
        <v>12.551</v>
      </c>
      <c r="C50" s="2">
        <v>13.348</v>
      </c>
      <c r="D50" s="2">
        <v>14.189</v>
      </c>
      <c r="E50" s="2">
        <v>15.074</v>
      </c>
      <c r="F50" s="2">
        <v>16.004</v>
      </c>
      <c r="G50" s="2">
        <v>16.978</v>
      </c>
      <c r="H50" s="2">
        <v>18.0</v>
      </c>
      <c r="I50" s="2">
        <v>18.34</v>
      </c>
      <c r="J50" s="2">
        <v>18.685</v>
      </c>
      <c r="K50" s="2">
        <v>19.035</v>
      </c>
      <c r="L50" s="2">
        <v>19.39</v>
      </c>
      <c r="M50" s="2">
        <v>19.75</v>
      </c>
      <c r="N50" s="2">
        <v>20.115</v>
      </c>
      <c r="O50" s="2">
        <v>20.484</v>
      </c>
      <c r="P50" s="2">
        <v>20.859</v>
      </c>
      <c r="Q50" s="2">
        <v>21.239</v>
      </c>
      <c r="R50" s="2">
        <v>21.625</v>
      </c>
      <c r="S50" s="2">
        <v>22.014</v>
      </c>
      <c r="T50" s="2">
        <v>22.41</v>
      </c>
      <c r="U50" s="2">
        <v>22.81</v>
      </c>
      <c r="V50" s="2">
        <v>23.215</v>
      </c>
      <c r="W50" s="2">
        <v>23.649</v>
      </c>
      <c r="X50" s="2">
        <v>24.095</v>
      </c>
      <c r="Y50" s="2">
        <v>24.548</v>
      </c>
      <c r="Z50" s="2">
        <v>25.006</v>
      </c>
      <c r="AA50" s="2">
        <v>25.469</v>
      </c>
      <c r="AB50" s="2">
        <v>25.938</v>
      </c>
      <c r="AC50" s="2">
        <v>26.413</v>
      </c>
      <c r="AD50" s="2">
        <v>26.893</v>
      </c>
      <c r="AE50" s="2">
        <v>27.378</v>
      </c>
      <c r="AF50" s="2">
        <v>27.869</v>
      </c>
      <c r="AG50" s="2">
        <v>28.366</v>
      </c>
      <c r="AH50" s="2">
        <v>28.435</v>
      </c>
      <c r="AI50" s="2">
        <v>28.39</v>
      </c>
      <c r="AJ50" s="2">
        <v>28.346</v>
      </c>
      <c r="AK50" s="2">
        <v>28.301</v>
      </c>
      <c r="AL50" s="2">
        <v>28.257</v>
      </c>
      <c r="AM50" s="2">
        <v>28.213</v>
      </c>
      <c r="AN50" s="2">
        <v>28.168</v>
      </c>
      <c r="AO50" s="2">
        <v>28.124</v>
      </c>
      <c r="AP50" s="2">
        <v>28.08</v>
      </c>
      <c r="AQ50" s="2">
        <v>28.036</v>
      </c>
      <c r="AR50" s="2">
        <v>27.992</v>
      </c>
      <c r="AS50" s="2">
        <v>27.947</v>
      </c>
      <c r="AT50" s="2">
        <v>27.903</v>
      </c>
      <c r="AU50" s="2">
        <v>27.875</v>
      </c>
      <c r="AV50" s="2">
        <v>27.863</v>
      </c>
      <c r="AW50" s="2">
        <v>27.867</v>
      </c>
      <c r="AX50" s="2">
        <v>27.886</v>
      </c>
      <c r="AY50" s="2">
        <v>27.921</v>
      </c>
      <c r="AZ50" s="2">
        <v>27.973</v>
      </c>
      <c r="BA50" s="2">
        <v>28.04</v>
      </c>
      <c r="BB50" s="2">
        <v>28.123</v>
      </c>
      <c r="BC50" s="2">
        <v>28.223</v>
      </c>
      <c r="BD50" s="2">
        <v>28.338</v>
      </c>
      <c r="BE50" s="2">
        <v>28.47</v>
      </c>
      <c r="BF50" s="2">
        <v>28.619</v>
      </c>
      <c r="BG50" s="2">
        <v>28.784</v>
      </c>
      <c r="BH50" s="2">
        <v>28.965</v>
      </c>
      <c r="BI50" s="2">
        <v>29.164</v>
      </c>
      <c r="BJ50" s="2">
        <v>29.38</v>
      </c>
      <c r="BK50" s="2">
        <v>29.613</v>
      </c>
      <c r="BL50" s="2">
        <v>29.864</v>
      </c>
      <c r="BM50" s="2">
        <v>30.132</v>
      </c>
      <c r="BN50" s="2">
        <v>30.418</v>
      </c>
      <c r="BO50" s="2">
        <v>1621.449</v>
      </c>
    </row>
    <row r="51" ht="14.25" customHeight="1">
      <c r="A51" s="2" t="s">
        <v>45</v>
      </c>
      <c r="B51" s="2">
        <v>22.3</v>
      </c>
      <c r="C51" s="2">
        <v>22.523</v>
      </c>
      <c r="D51" s="2">
        <v>22.749</v>
      </c>
      <c r="E51" s="2">
        <v>22.976</v>
      </c>
      <c r="F51" s="2">
        <v>23.204</v>
      </c>
      <c r="G51" s="2">
        <v>23.434</v>
      </c>
      <c r="H51" s="2">
        <v>23.666</v>
      </c>
      <c r="I51" s="2">
        <v>23.899</v>
      </c>
      <c r="J51" s="2">
        <v>24.134</v>
      </c>
      <c r="K51" s="2">
        <v>24.37</v>
      </c>
      <c r="L51" s="2">
        <v>24.608</v>
      </c>
      <c r="M51" s="2">
        <v>24.847</v>
      </c>
      <c r="N51" s="2">
        <v>25.089</v>
      </c>
      <c r="O51" s="2">
        <v>25.331</v>
      </c>
      <c r="P51" s="2">
        <v>25.575</v>
      </c>
      <c r="Q51" s="2">
        <v>25.821</v>
      </c>
      <c r="R51" s="2">
        <v>26.068</v>
      </c>
      <c r="S51" s="2">
        <v>26.317</v>
      </c>
      <c r="T51" s="2">
        <v>26.567</v>
      </c>
      <c r="U51" s="2">
        <v>26.819</v>
      </c>
      <c r="V51" s="2">
        <v>27.072</v>
      </c>
      <c r="W51" s="2">
        <v>27.327</v>
      </c>
      <c r="X51" s="2">
        <v>27.583</v>
      </c>
      <c r="Y51" s="2">
        <v>27.84</v>
      </c>
      <c r="Z51" s="2">
        <v>28.1</v>
      </c>
      <c r="AA51" s="2">
        <v>28.513</v>
      </c>
      <c r="AB51" s="2">
        <v>28.93</v>
      </c>
      <c r="AC51" s="2">
        <v>29.35</v>
      </c>
      <c r="AD51" s="2">
        <v>29.775</v>
      </c>
      <c r="AE51" s="2">
        <v>30.202</v>
      </c>
      <c r="AF51" s="2">
        <v>30.633</v>
      </c>
      <c r="AG51" s="2">
        <v>31.067</v>
      </c>
      <c r="AH51" s="2">
        <v>31.506</v>
      </c>
      <c r="AI51" s="2">
        <v>31.946</v>
      </c>
      <c r="AJ51" s="2">
        <v>32.39</v>
      </c>
      <c r="AK51" s="2">
        <v>32.838</v>
      </c>
      <c r="AL51" s="2">
        <v>33.289</v>
      </c>
      <c r="AM51" s="2">
        <v>33.742</v>
      </c>
      <c r="AN51" s="2">
        <v>34.199</v>
      </c>
      <c r="AO51" s="2">
        <v>34.659</v>
      </c>
      <c r="AP51" s="2">
        <v>35.122</v>
      </c>
      <c r="AQ51" s="2">
        <v>35.587</v>
      </c>
      <c r="AR51" s="2">
        <v>36.055</v>
      </c>
      <c r="AS51" s="2">
        <v>36.526</v>
      </c>
      <c r="AT51" s="2">
        <v>37.0</v>
      </c>
      <c r="AU51" s="2">
        <v>37.481</v>
      </c>
      <c r="AV51" s="2">
        <v>37.971</v>
      </c>
      <c r="AW51" s="2">
        <v>38.47</v>
      </c>
      <c r="AX51" s="2">
        <v>38.976</v>
      </c>
      <c r="AY51" s="2">
        <v>39.491</v>
      </c>
      <c r="AZ51" s="2">
        <v>40.013</v>
      </c>
      <c r="BA51" s="2">
        <v>40.544</v>
      </c>
      <c r="BB51" s="2">
        <v>41.082</v>
      </c>
      <c r="BC51" s="2">
        <v>41.627</v>
      </c>
      <c r="BD51" s="2">
        <v>42.18</v>
      </c>
      <c r="BE51" s="2">
        <v>42.74</v>
      </c>
      <c r="BF51" s="2">
        <v>43.307</v>
      </c>
      <c r="BG51" s="2">
        <v>43.88</v>
      </c>
      <c r="BH51" s="2">
        <v>44.46</v>
      </c>
      <c r="BI51" s="2">
        <v>45.046</v>
      </c>
      <c r="BJ51" s="2">
        <v>45.638</v>
      </c>
      <c r="BK51" s="2">
        <v>46.235</v>
      </c>
      <c r="BL51" s="2">
        <v>46.837</v>
      </c>
      <c r="BM51" s="2">
        <v>47.444</v>
      </c>
      <c r="BN51" s="2">
        <v>48.055</v>
      </c>
      <c r="BO51" s="2">
        <v>2133.0250000000005</v>
      </c>
    </row>
    <row r="52" ht="14.25" customHeight="1">
      <c r="A52" s="2" t="s">
        <v>446</v>
      </c>
      <c r="B52" s="2">
        <v>31.601</v>
      </c>
      <c r="C52" s="2">
        <v>32.318</v>
      </c>
      <c r="D52" s="2">
        <v>33.045</v>
      </c>
      <c r="E52" s="2">
        <v>33.78</v>
      </c>
      <c r="F52" s="2">
        <v>34.524</v>
      </c>
      <c r="G52" s="2">
        <v>35.273</v>
      </c>
      <c r="H52" s="2">
        <v>36.031</v>
      </c>
      <c r="I52" s="2">
        <v>36.796</v>
      </c>
      <c r="J52" s="2">
        <v>37.569</v>
      </c>
      <c r="K52" s="2">
        <v>38.345</v>
      </c>
      <c r="L52" s="2">
        <v>39.129</v>
      </c>
      <c r="M52" s="2">
        <v>39.919</v>
      </c>
      <c r="N52" s="2">
        <v>40.715</v>
      </c>
      <c r="O52" s="2">
        <v>41.514</v>
      </c>
      <c r="P52" s="2">
        <v>42.357</v>
      </c>
      <c r="Q52" s="2">
        <v>43.264</v>
      </c>
      <c r="R52" s="2">
        <v>44.177</v>
      </c>
      <c r="S52" s="2">
        <v>45.091</v>
      </c>
      <c r="T52" s="2">
        <v>46.01</v>
      </c>
      <c r="U52" s="2">
        <v>46.932</v>
      </c>
      <c r="V52" s="2">
        <v>47.857</v>
      </c>
      <c r="W52" s="2">
        <v>48.781</v>
      </c>
      <c r="X52" s="2">
        <v>49.707</v>
      </c>
      <c r="Y52" s="2">
        <v>50.633</v>
      </c>
      <c r="Z52" s="2">
        <v>51.56</v>
      </c>
      <c r="AA52" s="2">
        <v>52.221</v>
      </c>
      <c r="AB52" s="2">
        <v>52.642</v>
      </c>
      <c r="AC52" s="2">
        <v>53.064</v>
      </c>
      <c r="AD52" s="2">
        <v>53.485</v>
      </c>
      <c r="AE52" s="2">
        <v>53.905</v>
      </c>
      <c r="AF52" s="2">
        <v>54.324</v>
      </c>
      <c r="AG52" s="2">
        <v>54.743</v>
      </c>
      <c r="AH52" s="2">
        <v>55.162</v>
      </c>
      <c r="AI52" s="2">
        <v>55.58</v>
      </c>
      <c r="AJ52" s="2">
        <v>55.996</v>
      </c>
      <c r="AK52" s="2">
        <v>56.413</v>
      </c>
      <c r="AL52" s="2">
        <v>56.832</v>
      </c>
      <c r="AM52" s="2">
        <v>57.299</v>
      </c>
      <c r="AN52" s="2">
        <v>57.766</v>
      </c>
      <c r="AO52" s="2">
        <v>58.231</v>
      </c>
      <c r="AP52" s="2">
        <v>58.695</v>
      </c>
      <c r="AQ52" s="2">
        <v>59.156</v>
      </c>
      <c r="AR52" s="2">
        <v>59.617</v>
      </c>
      <c r="AS52" s="2">
        <v>60.076</v>
      </c>
      <c r="AT52" s="2">
        <v>60.533</v>
      </c>
      <c r="AU52" s="2">
        <v>60.988</v>
      </c>
      <c r="AV52" s="2">
        <v>61.441</v>
      </c>
      <c r="AW52" s="2">
        <v>61.893</v>
      </c>
      <c r="AX52" s="2">
        <v>62.346</v>
      </c>
      <c r="AY52" s="2">
        <v>62.8</v>
      </c>
      <c r="AZ52" s="2">
        <v>63.256</v>
      </c>
      <c r="BA52" s="2">
        <v>63.712</v>
      </c>
      <c r="BB52" s="2">
        <v>64.169</v>
      </c>
      <c r="BC52" s="2">
        <v>64.627</v>
      </c>
      <c r="BD52" s="2">
        <v>65.085</v>
      </c>
      <c r="BE52" s="2">
        <v>65.543</v>
      </c>
      <c r="BF52" s="2">
        <v>66.001</v>
      </c>
      <c r="BG52" s="2">
        <v>66.459</v>
      </c>
      <c r="BH52" s="2">
        <v>66.916</v>
      </c>
      <c r="BI52" s="2">
        <v>67.373</v>
      </c>
      <c r="BJ52" s="2">
        <v>67.829</v>
      </c>
      <c r="BK52" s="2">
        <v>68.283</v>
      </c>
      <c r="BL52" s="2">
        <v>68.736</v>
      </c>
      <c r="BM52" s="2">
        <v>69.188</v>
      </c>
      <c r="BN52" s="2">
        <v>69.638</v>
      </c>
      <c r="BO52" s="2">
        <v>3458.951</v>
      </c>
    </row>
    <row r="53" ht="14.25" customHeight="1">
      <c r="A53" s="2" t="s">
        <v>40</v>
      </c>
      <c r="B53" s="2">
        <v>34.254</v>
      </c>
      <c r="C53" s="2">
        <v>34.329</v>
      </c>
      <c r="D53" s="2">
        <v>34.404</v>
      </c>
      <c r="E53" s="2">
        <v>34.606</v>
      </c>
      <c r="F53" s="2">
        <v>35.197</v>
      </c>
      <c r="G53" s="2">
        <v>35.791</v>
      </c>
      <c r="H53" s="2">
        <v>36.39</v>
      </c>
      <c r="I53" s="2">
        <v>36.993</v>
      </c>
      <c r="J53" s="2">
        <v>37.601</v>
      </c>
      <c r="K53" s="2">
        <v>38.212</v>
      </c>
      <c r="L53" s="2">
        <v>38.827</v>
      </c>
      <c r="M53" s="2">
        <v>39.445</v>
      </c>
      <c r="N53" s="2">
        <v>40.068</v>
      </c>
      <c r="O53" s="2">
        <v>40.655</v>
      </c>
      <c r="P53" s="2">
        <v>41.002</v>
      </c>
      <c r="Q53" s="2">
        <v>41.349</v>
      </c>
      <c r="R53" s="2">
        <v>41.698</v>
      </c>
      <c r="S53" s="2">
        <v>42.046</v>
      </c>
      <c r="T53" s="2">
        <v>42.396</v>
      </c>
      <c r="U53" s="2">
        <v>42.747</v>
      </c>
      <c r="V53" s="2">
        <v>43.099</v>
      </c>
      <c r="W53" s="2">
        <v>43.45</v>
      </c>
      <c r="X53" s="2">
        <v>43.803</v>
      </c>
      <c r="Y53" s="2">
        <v>44.156</v>
      </c>
      <c r="Z53" s="2">
        <v>44.542</v>
      </c>
      <c r="AA53" s="2">
        <v>45.445</v>
      </c>
      <c r="AB53" s="2">
        <v>46.353</v>
      </c>
      <c r="AC53" s="2">
        <v>47.264</v>
      </c>
      <c r="AD53" s="2">
        <v>48.177</v>
      </c>
      <c r="AE53" s="2">
        <v>49.089</v>
      </c>
      <c r="AF53" s="2">
        <v>50.003</v>
      </c>
      <c r="AG53" s="2">
        <v>50.917</v>
      </c>
      <c r="AH53" s="2">
        <v>51.832</v>
      </c>
      <c r="AI53" s="2">
        <v>52.743</v>
      </c>
      <c r="AJ53" s="2">
        <v>53.653</v>
      </c>
      <c r="AK53" s="2">
        <v>54.561</v>
      </c>
      <c r="AL53" s="2">
        <v>55.467</v>
      </c>
      <c r="AM53" s="2">
        <v>56.367</v>
      </c>
      <c r="AN53" s="2">
        <v>57.264</v>
      </c>
      <c r="AO53" s="2">
        <v>58.157</v>
      </c>
      <c r="AP53" s="2">
        <v>59.052</v>
      </c>
      <c r="AQ53" s="2">
        <v>60.41</v>
      </c>
      <c r="AR53" s="2">
        <v>61.753</v>
      </c>
      <c r="AS53" s="2">
        <v>63.08</v>
      </c>
      <c r="AT53" s="2">
        <v>64.388</v>
      </c>
      <c r="AU53" s="2">
        <v>65.672</v>
      </c>
      <c r="AV53" s="2">
        <v>66.935</v>
      </c>
      <c r="AW53" s="2">
        <v>68.174</v>
      </c>
      <c r="AX53" s="2">
        <v>69.39</v>
      </c>
      <c r="AY53" s="2">
        <v>70.575</v>
      </c>
      <c r="AZ53" s="2">
        <v>71.736</v>
      </c>
      <c r="BA53" s="2">
        <v>72.868</v>
      </c>
      <c r="BB53" s="2">
        <v>73.946</v>
      </c>
      <c r="BC53" s="2">
        <v>74.97</v>
      </c>
      <c r="BD53" s="2">
        <v>75.941</v>
      </c>
      <c r="BE53" s="2">
        <v>76.862</v>
      </c>
      <c r="BF53" s="2">
        <v>77.735</v>
      </c>
      <c r="BG53" s="2">
        <v>78.56</v>
      </c>
      <c r="BH53" s="2">
        <v>79.34</v>
      </c>
      <c r="BI53" s="2">
        <v>80.076</v>
      </c>
      <c r="BJ53" s="2">
        <v>80.771</v>
      </c>
      <c r="BK53" s="2">
        <v>81.425</v>
      </c>
      <c r="BL53" s="2">
        <v>82.042</v>
      </c>
      <c r="BM53" s="2">
        <v>82.622</v>
      </c>
      <c r="BN53" s="2">
        <v>83.167</v>
      </c>
      <c r="BO53" s="2">
        <v>3585.8419999999987</v>
      </c>
    </row>
    <row r="54" ht="14.25" customHeight="1">
      <c r="A54" s="2" t="s">
        <v>41</v>
      </c>
      <c r="B54" s="2">
        <v>17.679</v>
      </c>
      <c r="C54" s="2">
        <v>18.911</v>
      </c>
      <c r="D54" s="2">
        <v>20.21</v>
      </c>
      <c r="E54" s="2">
        <v>21.575</v>
      </c>
      <c r="F54" s="2">
        <v>23.007</v>
      </c>
      <c r="G54" s="2">
        <v>24.5</v>
      </c>
      <c r="H54" s="2">
        <v>25.206</v>
      </c>
      <c r="I54" s="2">
        <v>25.926</v>
      </c>
      <c r="J54" s="2">
        <v>26.659</v>
      </c>
      <c r="K54" s="2">
        <v>27.404</v>
      </c>
      <c r="L54" s="2">
        <v>28.163</v>
      </c>
      <c r="M54" s="2">
        <v>28.934</v>
      </c>
      <c r="N54" s="2">
        <v>29.719</v>
      </c>
      <c r="O54" s="2">
        <v>30.513</v>
      </c>
      <c r="P54" s="2">
        <v>31.321</v>
      </c>
      <c r="Q54" s="2">
        <v>32.229</v>
      </c>
      <c r="R54" s="2">
        <v>33.594</v>
      </c>
      <c r="S54" s="2">
        <v>34.983</v>
      </c>
      <c r="T54" s="2">
        <v>36.4</v>
      </c>
      <c r="U54" s="2">
        <v>36.614</v>
      </c>
      <c r="V54" s="2">
        <v>36.829</v>
      </c>
      <c r="W54" s="2">
        <v>37.044</v>
      </c>
      <c r="X54" s="2">
        <v>37.26</v>
      </c>
      <c r="Y54" s="2">
        <v>37.476</v>
      </c>
      <c r="Z54" s="2">
        <v>37.693</v>
      </c>
      <c r="AA54" s="2">
        <v>37.91</v>
      </c>
      <c r="AB54" s="2">
        <v>38.127</v>
      </c>
      <c r="AC54" s="2">
        <v>38.346</v>
      </c>
      <c r="AD54" s="2">
        <v>38.608</v>
      </c>
      <c r="AE54" s="2">
        <v>38.976</v>
      </c>
      <c r="AF54" s="2">
        <v>39.345</v>
      </c>
      <c r="AG54" s="2">
        <v>39.716</v>
      </c>
      <c r="AH54" s="2">
        <v>40.088</v>
      </c>
      <c r="AI54" s="2">
        <v>40.461</v>
      </c>
      <c r="AJ54" s="2">
        <v>40.835</v>
      </c>
      <c r="AK54" s="2">
        <v>41.21</v>
      </c>
      <c r="AL54" s="2">
        <v>41.587</v>
      </c>
      <c r="AM54" s="2">
        <v>41.964</v>
      </c>
      <c r="AN54" s="2">
        <v>42.342</v>
      </c>
      <c r="AO54" s="2">
        <v>42.741</v>
      </c>
      <c r="AP54" s="2">
        <v>43.155</v>
      </c>
      <c r="AQ54" s="2">
        <v>43.568</v>
      </c>
      <c r="AR54" s="2">
        <v>43.983</v>
      </c>
      <c r="AS54" s="2">
        <v>44.399</v>
      </c>
      <c r="AT54" s="2">
        <v>44.817</v>
      </c>
      <c r="AU54" s="2">
        <v>45.234</v>
      </c>
      <c r="AV54" s="2">
        <v>45.652</v>
      </c>
      <c r="AW54" s="2">
        <v>46.071</v>
      </c>
      <c r="AX54" s="2">
        <v>46.491</v>
      </c>
      <c r="AY54" s="2">
        <v>46.91</v>
      </c>
      <c r="AZ54" s="2">
        <v>47.33</v>
      </c>
      <c r="BA54" s="2">
        <v>47.751</v>
      </c>
      <c r="BB54" s="2">
        <v>48.172</v>
      </c>
      <c r="BC54" s="2">
        <v>48.593</v>
      </c>
      <c r="BD54" s="2">
        <v>49.014</v>
      </c>
      <c r="BE54" s="2">
        <v>49.444</v>
      </c>
      <c r="BF54" s="2">
        <v>49.881</v>
      </c>
      <c r="BG54" s="2">
        <v>50.326</v>
      </c>
      <c r="BH54" s="2">
        <v>50.779</v>
      </c>
      <c r="BI54" s="2">
        <v>51.239</v>
      </c>
      <c r="BJ54" s="2">
        <v>51.706</v>
      </c>
      <c r="BK54" s="2">
        <v>52.18</v>
      </c>
      <c r="BL54" s="2">
        <v>52.661</v>
      </c>
      <c r="BM54" s="2">
        <v>53.149</v>
      </c>
      <c r="BN54" s="2">
        <v>53.644</v>
      </c>
      <c r="BO54" s="2">
        <v>2548.2539999999995</v>
      </c>
    </row>
    <row r="55" ht="14.25" customHeight="1">
      <c r="A55" s="2" t="s">
        <v>447</v>
      </c>
      <c r="B55" s="2">
        <v>30.154</v>
      </c>
      <c r="C55" s="2">
        <v>31.04</v>
      </c>
      <c r="D55" s="2">
        <v>32.001</v>
      </c>
      <c r="E55" s="2">
        <v>32.979</v>
      </c>
      <c r="F55" s="2">
        <v>33.972</v>
      </c>
      <c r="G55" s="2">
        <v>34.977</v>
      </c>
      <c r="H55" s="2">
        <v>35.997</v>
      </c>
      <c r="I55" s="2">
        <v>37.03</v>
      </c>
      <c r="J55" s="2">
        <v>38.076</v>
      </c>
      <c r="K55" s="2">
        <v>39.13</v>
      </c>
      <c r="L55" s="2">
        <v>40.196</v>
      </c>
      <c r="M55" s="2">
        <v>41.168</v>
      </c>
      <c r="N55" s="2">
        <v>41.839</v>
      </c>
      <c r="O55" s="2">
        <v>42.511</v>
      </c>
      <c r="P55" s="2">
        <v>43.186</v>
      </c>
      <c r="Q55" s="2">
        <v>43.864</v>
      </c>
      <c r="R55" s="2">
        <v>44.545</v>
      </c>
      <c r="S55" s="2">
        <v>45.227</v>
      </c>
      <c r="T55" s="2">
        <v>45.911</v>
      </c>
      <c r="U55" s="2">
        <v>46.597</v>
      </c>
      <c r="V55" s="2">
        <v>47.285</v>
      </c>
      <c r="W55" s="2">
        <v>47.887</v>
      </c>
      <c r="X55" s="2">
        <v>48.237</v>
      </c>
      <c r="Y55" s="2">
        <v>48.587</v>
      </c>
      <c r="Z55" s="2">
        <v>48.937</v>
      </c>
      <c r="AA55" s="2">
        <v>49.287</v>
      </c>
      <c r="AB55" s="2">
        <v>49.637</v>
      </c>
      <c r="AC55" s="2">
        <v>49.987</v>
      </c>
      <c r="AD55" s="2">
        <v>50.338</v>
      </c>
      <c r="AE55" s="2">
        <v>50.687</v>
      </c>
      <c r="AF55" s="2">
        <v>51.037</v>
      </c>
      <c r="AG55" s="2">
        <v>51.357</v>
      </c>
      <c r="AH55" s="2">
        <v>51.588</v>
      </c>
      <c r="AI55" s="2">
        <v>51.818</v>
      </c>
      <c r="AJ55" s="2">
        <v>52.048</v>
      </c>
      <c r="AK55" s="2">
        <v>52.279</v>
      </c>
      <c r="AL55" s="2">
        <v>52.509</v>
      </c>
      <c r="AM55" s="2">
        <v>52.739</v>
      </c>
      <c r="AN55" s="2">
        <v>52.968</v>
      </c>
      <c r="AO55" s="2">
        <v>53.198</v>
      </c>
      <c r="AP55" s="2">
        <v>53.428</v>
      </c>
      <c r="AQ55" s="2">
        <v>53.642</v>
      </c>
      <c r="AR55" s="2">
        <v>53.81</v>
      </c>
      <c r="AS55" s="2">
        <v>53.979</v>
      </c>
      <c r="AT55" s="2">
        <v>54.147</v>
      </c>
      <c r="AU55" s="2">
        <v>54.315</v>
      </c>
      <c r="AV55" s="2">
        <v>54.483</v>
      </c>
      <c r="AW55" s="2">
        <v>54.651</v>
      </c>
      <c r="AX55" s="2">
        <v>54.819</v>
      </c>
      <c r="AY55" s="2">
        <v>54.987</v>
      </c>
      <c r="AZ55" s="2">
        <v>55.155</v>
      </c>
      <c r="BA55" s="2">
        <v>55.322</v>
      </c>
      <c r="BB55" s="2">
        <v>55.506</v>
      </c>
      <c r="BC55" s="2">
        <v>55.706</v>
      </c>
      <c r="BD55" s="2">
        <v>55.923</v>
      </c>
      <c r="BE55" s="2">
        <v>56.155</v>
      </c>
      <c r="BF55" s="2">
        <v>56.403</v>
      </c>
      <c r="BG55" s="2">
        <v>56.667</v>
      </c>
      <c r="BH55" s="2">
        <v>56.947</v>
      </c>
      <c r="BI55" s="2">
        <v>57.242</v>
      </c>
      <c r="BJ55" s="2">
        <v>57.553</v>
      </c>
      <c r="BK55" s="2">
        <v>57.878</v>
      </c>
      <c r="BL55" s="2">
        <v>58.219</v>
      </c>
      <c r="BM55" s="2">
        <v>58.575</v>
      </c>
      <c r="BN55" s="2">
        <v>58.945</v>
      </c>
      <c r="BO55" s="2">
        <v>3187.267000000001</v>
      </c>
    </row>
    <row r="56" ht="14.25" customHeight="1">
      <c r="A56" s="2" t="s">
        <v>42</v>
      </c>
      <c r="B56" s="2">
        <v>58.401</v>
      </c>
      <c r="C56" s="2">
        <v>58.588</v>
      </c>
      <c r="D56" s="2">
        <v>58.776</v>
      </c>
      <c r="E56" s="2">
        <v>58.963</v>
      </c>
      <c r="F56" s="2">
        <v>59.15</v>
      </c>
      <c r="G56" s="2">
        <v>59.337</v>
      </c>
      <c r="H56" s="2">
        <v>59.523</v>
      </c>
      <c r="I56" s="2">
        <v>59.709</v>
      </c>
      <c r="J56" s="2">
        <v>59.895</v>
      </c>
      <c r="K56" s="2">
        <v>60.081</v>
      </c>
      <c r="L56" s="2">
        <v>60.266</v>
      </c>
      <c r="M56" s="2">
        <v>60.976</v>
      </c>
      <c r="N56" s="2">
        <v>61.8</v>
      </c>
      <c r="O56" s="2">
        <v>62.614</v>
      </c>
      <c r="P56" s="2">
        <v>63.423</v>
      </c>
      <c r="Q56" s="2">
        <v>64.224</v>
      </c>
      <c r="R56" s="2">
        <v>65.018</v>
      </c>
      <c r="S56" s="2">
        <v>65.802</v>
      </c>
      <c r="T56" s="2">
        <v>66.579</v>
      </c>
      <c r="U56" s="2">
        <v>67.346</v>
      </c>
      <c r="V56" s="2">
        <v>68.106</v>
      </c>
      <c r="W56" s="2">
        <v>68.853</v>
      </c>
      <c r="X56" s="2">
        <v>69.414</v>
      </c>
      <c r="Y56" s="2">
        <v>69.925</v>
      </c>
      <c r="Z56" s="2">
        <v>70.433</v>
      </c>
      <c r="AA56" s="2">
        <v>70.933</v>
      </c>
      <c r="AB56" s="2">
        <v>71.43</v>
      </c>
      <c r="AC56" s="2">
        <v>71.921</v>
      </c>
      <c r="AD56" s="2">
        <v>72.408</v>
      </c>
      <c r="AE56" s="2">
        <v>72.888</v>
      </c>
      <c r="AF56" s="2">
        <v>73.364</v>
      </c>
      <c r="AG56" s="2">
        <v>73.676</v>
      </c>
      <c r="AH56" s="2">
        <v>73.827</v>
      </c>
      <c r="AI56" s="2">
        <v>73.977</v>
      </c>
      <c r="AJ56" s="2">
        <v>74.127</v>
      </c>
      <c r="AK56" s="2">
        <v>74.277</v>
      </c>
      <c r="AL56" s="2">
        <v>74.426</v>
      </c>
      <c r="AM56" s="2">
        <v>74.618</v>
      </c>
      <c r="AN56" s="2">
        <v>74.855</v>
      </c>
      <c r="AO56" s="2">
        <v>75.089</v>
      </c>
      <c r="AP56" s="2">
        <v>75.323</v>
      </c>
      <c r="AQ56" s="2">
        <v>75.555</v>
      </c>
      <c r="AR56" s="2">
        <v>75.785</v>
      </c>
      <c r="AS56" s="2">
        <v>75.947</v>
      </c>
      <c r="AT56" s="2">
        <v>76.041</v>
      </c>
      <c r="AU56" s="2">
        <v>76.134</v>
      </c>
      <c r="AV56" s="2">
        <v>76.227</v>
      </c>
      <c r="AW56" s="2">
        <v>76.32</v>
      </c>
      <c r="AX56" s="2">
        <v>76.413</v>
      </c>
      <c r="AY56" s="2">
        <v>76.505</v>
      </c>
      <c r="AZ56" s="2">
        <v>76.597</v>
      </c>
      <c r="BA56" s="2">
        <v>76.689</v>
      </c>
      <c r="BB56" s="2">
        <v>76.781</v>
      </c>
      <c r="BC56" s="2">
        <v>76.827</v>
      </c>
      <c r="BD56" s="2">
        <v>76.861</v>
      </c>
      <c r="BE56" s="2">
        <v>76.896</v>
      </c>
      <c r="BF56" s="2">
        <v>76.93</v>
      </c>
      <c r="BG56" s="2">
        <v>76.977</v>
      </c>
      <c r="BH56" s="2">
        <v>77.037</v>
      </c>
      <c r="BI56" s="2">
        <v>77.109</v>
      </c>
      <c r="BJ56" s="2">
        <v>77.194</v>
      </c>
      <c r="BK56" s="2">
        <v>77.292</v>
      </c>
      <c r="BL56" s="2">
        <v>77.401</v>
      </c>
      <c r="BM56" s="2">
        <v>77.523</v>
      </c>
      <c r="BN56" s="2">
        <v>77.657</v>
      </c>
      <c r="BO56" s="2">
        <v>4595.039000000001</v>
      </c>
    </row>
    <row r="57" ht="14.25" customHeight="1">
      <c r="A57" s="2" t="s">
        <v>518</v>
      </c>
      <c r="B57" s="2">
        <v>74.71</v>
      </c>
      <c r="C57" s="2">
        <v>75.102</v>
      </c>
      <c r="D57" s="2">
        <v>75.49</v>
      </c>
      <c r="E57" s="2">
        <v>75.875</v>
      </c>
      <c r="F57" s="2">
        <v>76.255</v>
      </c>
      <c r="G57" s="2">
        <v>76.631</v>
      </c>
      <c r="H57" s="2">
        <v>77.003</v>
      </c>
      <c r="I57" s="2">
        <v>77.37</v>
      </c>
      <c r="J57" s="2">
        <v>77.734</v>
      </c>
      <c r="K57" s="2">
        <v>78.093</v>
      </c>
      <c r="L57" s="2">
        <v>78.448</v>
      </c>
      <c r="M57" s="2">
        <v>78.799</v>
      </c>
      <c r="N57" s="2">
        <v>79.146</v>
      </c>
      <c r="O57" s="2">
        <v>79.488</v>
      </c>
      <c r="P57" s="2">
        <v>79.827</v>
      </c>
      <c r="Q57" s="2">
        <v>80.161</v>
      </c>
      <c r="R57" s="2">
        <v>80.491</v>
      </c>
      <c r="S57" s="2">
        <v>80.817</v>
      </c>
      <c r="T57" s="2">
        <v>81.138</v>
      </c>
      <c r="U57" s="2">
        <v>81.456</v>
      </c>
      <c r="V57" s="2">
        <v>81.769</v>
      </c>
      <c r="W57" s="2">
        <v>82.078</v>
      </c>
      <c r="X57" s="2">
        <v>82.383</v>
      </c>
      <c r="Y57" s="2">
        <v>82.684</v>
      </c>
      <c r="Z57" s="2">
        <v>82.982</v>
      </c>
      <c r="AA57" s="2">
        <v>83.274</v>
      </c>
      <c r="AB57" s="2">
        <v>83.563</v>
      </c>
      <c r="AC57" s="2">
        <v>83.848</v>
      </c>
      <c r="AD57" s="2">
        <v>84.129</v>
      </c>
      <c r="AE57" s="2">
        <v>84.405</v>
      </c>
      <c r="AF57" s="2">
        <v>84.678</v>
      </c>
      <c r="AG57" s="2">
        <v>84.947</v>
      </c>
      <c r="AH57" s="2">
        <v>85.444</v>
      </c>
      <c r="AI57" s="2">
        <v>86.224</v>
      </c>
      <c r="AJ57" s="2">
        <v>86.969</v>
      </c>
      <c r="AK57" s="2">
        <v>87.68</v>
      </c>
      <c r="AL57" s="2">
        <v>88.358</v>
      </c>
      <c r="AM57" s="2">
        <v>89.002</v>
      </c>
      <c r="AN57" s="2">
        <v>89.615</v>
      </c>
      <c r="AO57" s="2">
        <v>90.198</v>
      </c>
      <c r="AP57" s="2">
        <v>90.752</v>
      </c>
      <c r="AQ57" s="2">
        <v>91.011</v>
      </c>
      <c r="AR57" s="2">
        <v>90.894</v>
      </c>
      <c r="AS57" s="2">
        <v>90.775</v>
      </c>
      <c r="AT57" s="2">
        <v>90.655</v>
      </c>
      <c r="AU57" s="2">
        <v>90.534</v>
      </c>
      <c r="AV57" s="2">
        <v>90.411</v>
      </c>
      <c r="AW57" s="2">
        <v>90.287</v>
      </c>
      <c r="AX57" s="2">
        <v>90.161</v>
      </c>
      <c r="AY57" s="2">
        <v>90.034</v>
      </c>
      <c r="AZ57" s="2">
        <v>89.905</v>
      </c>
      <c r="BA57" s="2">
        <v>89.775</v>
      </c>
      <c r="BB57" s="2">
        <v>89.654</v>
      </c>
      <c r="BC57" s="2">
        <v>89.544</v>
      </c>
      <c r="BD57" s="2">
        <v>89.443</v>
      </c>
      <c r="BE57" s="2">
        <v>89.352</v>
      </c>
      <c r="BF57" s="2">
        <v>89.272</v>
      </c>
      <c r="BG57" s="2">
        <v>89.203</v>
      </c>
      <c r="BH57" s="2">
        <v>89.145</v>
      </c>
      <c r="BI57" s="2">
        <v>89.098</v>
      </c>
      <c r="BJ57" s="2">
        <v>89.062</v>
      </c>
      <c r="BK57" s="2">
        <v>89.038</v>
      </c>
      <c r="BL57" s="2">
        <v>89.025</v>
      </c>
      <c r="BM57" s="2">
        <v>89.023</v>
      </c>
      <c r="BN57" s="2">
        <v>89.033</v>
      </c>
      <c r="BO57" s="2">
        <v>5513.349999999999</v>
      </c>
    </row>
    <row r="58" ht="14.25" customHeight="1">
      <c r="A58" s="2" t="s">
        <v>43</v>
      </c>
      <c r="B58" s="2">
        <v>35.628</v>
      </c>
      <c r="C58" s="2">
        <v>36.175</v>
      </c>
      <c r="D58" s="2">
        <v>36.674</v>
      </c>
      <c r="E58" s="2">
        <v>37.176</v>
      </c>
      <c r="F58" s="2">
        <v>37.681</v>
      </c>
      <c r="G58" s="2">
        <v>38.188</v>
      </c>
      <c r="H58" s="2">
        <v>38.698</v>
      </c>
      <c r="I58" s="2">
        <v>39.21</v>
      </c>
      <c r="J58" s="2">
        <v>39.726</v>
      </c>
      <c r="K58" s="2">
        <v>40.242</v>
      </c>
      <c r="L58" s="2">
        <v>40.761</v>
      </c>
      <c r="M58" s="2">
        <v>41.283</v>
      </c>
      <c r="N58" s="2">
        <v>41.807</v>
      </c>
      <c r="O58" s="2">
        <v>42.757</v>
      </c>
      <c r="P58" s="2">
        <v>45.007</v>
      </c>
      <c r="Q58" s="2">
        <v>47.277</v>
      </c>
      <c r="R58" s="2">
        <v>49.563</v>
      </c>
      <c r="S58" s="2">
        <v>51.843</v>
      </c>
      <c r="T58" s="2">
        <v>54.119</v>
      </c>
      <c r="U58" s="2">
        <v>56.378</v>
      </c>
      <c r="V58" s="2">
        <v>58.614</v>
      </c>
      <c r="W58" s="2">
        <v>60.809</v>
      </c>
      <c r="X58" s="2">
        <v>62.964</v>
      </c>
      <c r="Y58" s="2">
        <v>63.822</v>
      </c>
      <c r="Z58" s="2">
        <v>64.252</v>
      </c>
      <c r="AA58" s="2">
        <v>64.678</v>
      </c>
      <c r="AB58" s="2">
        <v>65.102</v>
      </c>
      <c r="AC58" s="2">
        <v>65.524</v>
      </c>
      <c r="AD58" s="2">
        <v>65.945</v>
      </c>
      <c r="AE58" s="2">
        <v>66.361</v>
      </c>
      <c r="AF58" s="2">
        <v>66.776</v>
      </c>
      <c r="AG58" s="2">
        <v>67.188</v>
      </c>
      <c r="AH58" s="2">
        <v>67.598</v>
      </c>
      <c r="AI58" s="2">
        <v>67.792</v>
      </c>
      <c r="AJ58" s="2">
        <v>67.915</v>
      </c>
      <c r="AK58" s="2">
        <v>68.038</v>
      </c>
      <c r="AL58" s="2">
        <v>68.161</v>
      </c>
      <c r="AM58" s="2">
        <v>68.283</v>
      </c>
      <c r="AN58" s="2">
        <v>68.405</v>
      </c>
      <c r="AO58" s="2">
        <v>68.527</v>
      </c>
      <c r="AP58" s="2">
        <v>68.648</v>
      </c>
      <c r="AQ58" s="2">
        <v>68.769</v>
      </c>
      <c r="AR58" s="2">
        <v>68.694</v>
      </c>
      <c r="AS58" s="2">
        <v>68.553</v>
      </c>
      <c r="AT58" s="2">
        <v>68.41</v>
      </c>
      <c r="AU58" s="2">
        <v>68.268</v>
      </c>
      <c r="AV58" s="2">
        <v>68.125</v>
      </c>
      <c r="AW58" s="2">
        <v>67.982</v>
      </c>
      <c r="AX58" s="2">
        <v>67.839</v>
      </c>
      <c r="AY58" s="2">
        <v>67.695</v>
      </c>
      <c r="AZ58" s="2">
        <v>67.551</v>
      </c>
      <c r="BA58" s="2">
        <v>67.406</v>
      </c>
      <c r="BB58" s="2">
        <v>67.261</v>
      </c>
      <c r="BC58" s="2">
        <v>67.137</v>
      </c>
      <c r="BD58" s="2">
        <v>67.031</v>
      </c>
      <c r="BE58" s="2">
        <v>66.946</v>
      </c>
      <c r="BF58" s="2">
        <v>66.881</v>
      </c>
      <c r="BG58" s="2">
        <v>66.836</v>
      </c>
      <c r="BH58" s="2">
        <v>66.81</v>
      </c>
      <c r="BI58" s="2">
        <v>66.805</v>
      </c>
      <c r="BJ58" s="2">
        <v>66.821</v>
      </c>
      <c r="BK58" s="2">
        <v>66.856</v>
      </c>
      <c r="BL58" s="2">
        <v>66.911</v>
      </c>
      <c r="BM58" s="2">
        <v>66.987</v>
      </c>
      <c r="BN58" s="2">
        <v>67.082</v>
      </c>
      <c r="BO58" s="2">
        <v>3855.2509999999997</v>
      </c>
    </row>
    <row r="59" ht="14.25" customHeight="1">
      <c r="A59" s="2" t="s">
        <v>44</v>
      </c>
      <c r="B59" s="2">
        <v>59.548</v>
      </c>
      <c r="C59" s="2">
        <v>60.063</v>
      </c>
      <c r="D59" s="2">
        <v>60.555</v>
      </c>
      <c r="E59" s="2">
        <v>61.044</v>
      </c>
      <c r="F59" s="2">
        <v>61.532</v>
      </c>
      <c r="G59" s="2">
        <v>62.016</v>
      </c>
      <c r="H59" s="2">
        <v>62.498</v>
      </c>
      <c r="I59" s="2">
        <v>62.978</v>
      </c>
      <c r="J59" s="2">
        <v>63.456</v>
      </c>
      <c r="K59" s="2">
        <v>63.93</v>
      </c>
      <c r="L59" s="2">
        <v>64.402</v>
      </c>
      <c r="M59" s="2">
        <v>65.295</v>
      </c>
      <c r="N59" s="2">
        <v>66.484</v>
      </c>
      <c r="O59" s="2">
        <v>67.649</v>
      </c>
      <c r="P59" s="2">
        <v>68.794</v>
      </c>
      <c r="Q59" s="2">
        <v>69.917</v>
      </c>
      <c r="R59" s="2">
        <v>71.018</v>
      </c>
      <c r="S59" s="2">
        <v>72.092</v>
      </c>
      <c r="T59" s="2">
        <v>73.142</v>
      </c>
      <c r="U59" s="2">
        <v>74.167</v>
      </c>
      <c r="V59" s="2">
        <v>75.167</v>
      </c>
      <c r="W59" s="2">
        <v>75.481</v>
      </c>
      <c r="X59" s="2">
        <v>75.452</v>
      </c>
      <c r="Y59" s="2">
        <v>75.423</v>
      </c>
      <c r="Z59" s="2">
        <v>75.394</v>
      </c>
      <c r="AA59" s="2">
        <v>75.365</v>
      </c>
      <c r="AB59" s="2">
        <v>75.336</v>
      </c>
      <c r="AC59" s="2">
        <v>75.307</v>
      </c>
      <c r="AD59" s="2">
        <v>75.278</v>
      </c>
      <c r="AE59" s="2">
        <v>75.249</v>
      </c>
      <c r="AF59" s="2">
        <v>75.22</v>
      </c>
      <c r="AG59" s="2">
        <v>75.158</v>
      </c>
      <c r="AH59" s="2">
        <v>75.03</v>
      </c>
      <c r="AI59" s="2">
        <v>74.901</v>
      </c>
      <c r="AJ59" s="2">
        <v>74.772</v>
      </c>
      <c r="AK59" s="2">
        <v>74.643</v>
      </c>
      <c r="AL59" s="2">
        <v>74.513</v>
      </c>
      <c r="AM59" s="2">
        <v>74.382</v>
      </c>
      <c r="AN59" s="2">
        <v>74.251</v>
      </c>
      <c r="AO59" s="2">
        <v>74.12</v>
      </c>
      <c r="AP59" s="2">
        <v>73.988</v>
      </c>
      <c r="AQ59" s="2">
        <v>73.877</v>
      </c>
      <c r="AR59" s="2">
        <v>73.809</v>
      </c>
      <c r="AS59" s="2">
        <v>73.74</v>
      </c>
      <c r="AT59" s="2">
        <v>73.671</v>
      </c>
      <c r="AU59" s="2">
        <v>73.602</v>
      </c>
      <c r="AV59" s="2">
        <v>73.533</v>
      </c>
      <c r="AW59" s="2">
        <v>73.463</v>
      </c>
      <c r="AX59" s="2">
        <v>73.394</v>
      </c>
      <c r="AY59" s="2">
        <v>73.324</v>
      </c>
      <c r="AZ59" s="2">
        <v>73.255</v>
      </c>
      <c r="BA59" s="2">
        <v>73.185</v>
      </c>
      <c r="BB59" s="2">
        <v>73.197</v>
      </c>
      <c r="BC59" s="2">
        <v>73.29</v>
      </c>
      <c r="BD59" s="2">
        <v>73.384</v>
      </c>
      <c r="BE59" s="2">
        <v>73.477</v>
      </c>
      <c r="BF59" s="2">
        <v>73.57</v>
      </c>
      <c r="BG59" s="2">
        <v>73.675</v>
      </c>
      <c r="BH59" s="2">
        <v>73.792</v>
      </c>
      <c r="BI59" s="2">
        <v>73.921</v>
      </c>
      <c r="BJ59" s="2">
        <v>74.061</v>
      </c>
      <c r="BK59" s="2">
        <v>74.214</v>
      </c>
      <c r="BL59" s="2">
        <v>74.377</v>
      </c>
      <c r="BM59" s="2">
        <v>74.552</v>
      </c>
      <c r="BN59" s="2">
        <v>74.738</v>
      </c>
      <c r="BO59" s="2">
        <v>4654.111</v>
      </c>
    </row>
    <row r="60" ht="14.25" customHeight="1">
      <c r="A60" s="2" t="s">
        <v>46</v>
      </c>
      <c r="B60" s="2">
        <v>73.687</v>
      </c>
      <c r="C60" s="2">
        <v>74.417</v>
      </c>
      <c r="D60" s="2">
        <v>75.093</v>
      </c>
      <c r="E60" s="2">
        <v>75.757</v>
      </c>
      <c r="F60" s="2">
        <v>76.409</v>
      </c>
      <c r="G60" s="2">
        <v>77.048</v>
      </c>
      <c r="H60" s="2">
        <v>77.619</v>
      </c>
      <c r="I60" s="2">
        <v>78.163</v>
      </c>
      <c r="J60" s="2">
        <v>78.698</v>
      </c>
      <c r="K60" s="2">
        <v>79.222</v>
      </c>
      <c r="L60" s="2">
        <v>79.737</v>
      </c>
      <c r="M60" s="2">
        <v>80.239</v>
      </c>
      <c r="N60" s="2">
        <v>80.731</v>
      </c>
      <c r="O60" s="2">
        <v>81.211</v>
      </c>
      <c r="P60" s="2">
        <v>81.683</v>
      </c>
      <c r="Q60" s="2">
        <v>82.146</v>
      </c>
      <c r="R60" s="2">
        <v>82.6</v>
      </c>
      <c r="S60" s="2">
        <v>82.886</v>
      </c>
      <c r="T60" s="2">
        <v>83.169</v>
      </c>
      <c r="U60" s="2">
        <v>83.448</v>
      </c>
      <c r="V60" s="2">
        <v>83.723</v>
      </c>
      <c r="W60" s="2">
        <v>83.915</v>
      </c>
      <c r="X60" s="2">
        <v>84.025</v>
      </c>
      <c r="Y60" s="2">
        <v>84.134</v>
      </c>
      <c r="Z60" s="2">
        <v>84.243</v>
      </c>
      <c r="AA60" s="2">
        <v>84.351</v>
      </c>
      <c r="AB60" s="2">
        <v>84.458</v>
      </c>
      <c r="AC60" s="2">
        <v>84.565</v>
      </c>
      <c r="AD60" s="2">
        <v>84.671</v>
      </c>
      <c r="AE60" s="2">
        <v>84.777</v>
      </c>
      <c r="AF60" s="2">
        <v>84.843</v>
      </c>
      <c r="AG60" s="2">
        <v>84.871</v>
      </c>
      <c r="AH60" s="2">
        <v>84.898</v>
      </c>
      <c r="AI60" s="2">
        <v>84.925</v>
      </c>
      <c r="AJ60" s="2">
        <v>84.952</v>
      </c>
      <c r="AK60" s="2">
        <v>84.979</v>
      </c>
      <c r="AL60" s="2">
        <v>85.006</v>
      </c>
      <c r="AM60" s="2">
        <v>85.033</v>
      </c>
      <c r="AN60" s="2">
        <v>85.06</v>
      </c>
      <c r="AO60" s="2">
        <v>85.086</v>
      </c>
      <c r="AP60" s="2">
        <v>85.1</v>
      </c>
      <c r="AQ60" s="2">
        <v>85.15</v>
      </c>
      <c r="AR60" s="2">
        <v>85.25</v>
      </c>
      <c r="AS60" s="2">
        <v>85.36</v>
      </c>
      <c r="AT60" s="2">
        <v>85.566</v>
      </c>
      <c r="AU60" s="2">
        <v>85.856</v>
      </c>
      <c r="AV60" s="2">
        <v>86.098</v>
      </c>
      <c r="AW60" s="2">
        <v>86.293</v>
      </c>
      <c r="AX60" s="2">
        <v>86.487</v>
      </c>
      <c r="AY60" s="2">
        <v>86.654</v>
      </c>
      <c r="AZ60" s="2">
        <v>86.795</v>
      </c>
      <c r="BA60" s="2">
        <v>86.957</v>
      </c>
      <c r="BB60" s="2">
        <v>87.142</v>
      </c>
      <c r="BC60" s="2">
        <v>87.292</v>
      </c>
      <c r="BD60" s="2">
        <v>87.41</v>
      </c>
      <c r="BE60" s="2">
        <v>87.526</v>
      </c>
      <c r="BF60" s="2">
        <v>87.642</v>
      </c>
      <c r="BG60" s="2">
        <v>87.757</v>
      </c>
      <c r="BH60" s="2">
        <v>87.874</v>
      </c>
      <c r="BI60" s="2">
        <v>87.994</v>
      </c>
      <c r="BJ60" s="2">
        <v>88.116</v>
      </c>
      <c r="BK60" s="2">
        <v>88.24</v>
      </c>
      <c r="BL60" s="2">
        <v>88.367</v>
      </c>
      <c r="BM60" s="2">
        <v>88.495</v>
      </c>
      <c r="BN60" s="2">
        <v>88.626</v>
      </c>
      <c r="BO60" s="2">
        <v>5450.524999999999</v>
      </c>
    </row>
    <row r="61" ht="14.25" customHeight="1">
      <c r="A61" s="2" t="s">
        <v>448</v>
      </c>
      <c r="B61" s="2">
        <v>50.325</v>
      </c>
      <c r="C61" s="2">
        <v>51.448</v>
      </c>
      <c r="D61" s="2">
        <v>52.619</v>
      </c>
      <c r="E61" s="2">
        <v>53.787</v>
      </c>
      <c r="F61" s="2">
        <v>54.952</v>
      </c>
      <c r="G61" s="2">
        <v>56.109</v>
      </c>
      <c r="H61" s="2">
        <v>57.26</v>
      </c>
      <c r="I61" s="2">
        <v>58.404</v>
      </c>
      <c r="J61" s="2">
        <v>59.54</v>
      </c>
      <c r="K61" s="2">
        <v>60.664</v>
      </c>
      <c r="L61" s="2">
        <v>61.777</v>
      </c>
      <c r="M61" s="2">
        <v>62.878</v>
      </c>
      <c r="N61" s="2">
        <v>63.968</v>
      </c>
      <c r="O61" s="2">
        <v>65.04</v>
      </c>
      <c r="P61" s="2">
        <v>66.099</v>
      </c>
      <c r="Q61" s="2">
        <v>67.142</v>
      </c>
      <c r="R61" s="2">
        <v>68.17</v>
      </c>
      <c r="S61" s="2">
        <v>69.178</v>
      </c>
      <c r="T61" s="2">
        <v>70.169</v>
      </c>
      <c r="U61" s="2">
        <v>71.141</v>
      </c>
      <c r="V61" s="2">
        <v>72.096</v>
      </c>
      <c r="W61" s="2">
        <v>73.028</v>
      </c>
      <c r="X61" s="2">
        <v>73.942</v>
      </c>
      <c r="Y61" s="2">
        <v>74.504</v>
      </c>
      <c r="Z61" s="2">
        <v>74.715</v>
      </c>
      <c r="AA61" s="2">
        <v>74.925</v>
      </c>
      <c r="AB61" s="2">
        <v>75.134</v>
      </c>
      <c r="AC61" s="2">
        <v>75.341</v>
      </c>
      <c r="AD61" s="2">
        <v>75.548</v>
      </c>
      <c r="AE61" s="2">
        <v>75.753</v>
      </c>
      <c r="AF61" s="2">
        <v>75.957</v>
      </c>
      <c r="AG61" s="2">
        <v>76.114</v>
      </c>
      <c r="AH61" s="2">
        <v>76.161</v>
      </c>
      <c r="AI61" s="2">
        <v>76.207</v>
      </c>
      <c r="AJ61" s="2">
        <v>76.254</v>
      </c>
      <c r="AK61" s="2">
        <v>76.3</v>
      </c>
      <c r="AL61" s="2">
        <v>76.347</v>
      </c>
      <c r="AM61" s="2">
        <v>76.393</v>
      </c>
      <c r="AN61" s="2">
        <v>76.439</v>
      </c>
      <c r="AO61" s="2">
        <v>76.485</v>
      </c>
      <c r="AP61" s="2">
        <v>76.532</v>
      </c>
      <c r="AQ61" s="2">
        <v>76.578</v>
      </c>
      <c r="AR61" s="2">
        <v>76.624</v>
      </c>
      <c r="AS61" s="2">
        <v>76.67</v>
      </c>
      <c r="AT61" s="2">
        <v>76.716</v>
      </c>
      <c r="AU61" s="2">
        <v>76.761</v>
      </c>
      <c r="AV61" s="2">
        <v>76.807</v>
      </c>
      <c r="AW61" s="2">
        <v>76.853</v>
      </c>
      <c r="AX61" s="2">
        <v>76.899</v>
      </c>
      <c r="AY61" s="2">
        <v>76.944</v>
      </c>
      <c r="AZ61" s="2">
        <v>76.999</v>
      </c>
      <c r="BA61" s="2">
        <v>77.064</v>
      </c>
      <c r="BB61" s="2">
        <v>77.138</v>
      </c>
      <c r="BC61" s="2">
        <v>77.222</v>
      </c>
      <c r="BD61" s="2">
        <v>77.314</v>
      </c>
      <c r="BE61" s="2">
        <v>77.417</v>
      </c>
      <c r="BF61" s="2">
        <v>77.528</v>
      </c>
      <c r="BG61" s="2">
        <v>77.648</v>
      </c>
      <c r="BH61" s="2">
        <v>77.777</v>
      </c>
      <c r="BI61" s="2">
        <v>77.915</v>
      </c>
      <c r="BJ61" s="2">
        <v>78.062</v>
      </c>
      <c r="BK61" s="2">
        <v>78.217</v>
      </c>
      <c r="BL61" s="2">
        <v>78.38</v>
      </c>
      <c r="BM61" s="2">
        <v>78.552</v>
      </c>
      <c r="BN61" s="2">
        <v>78.732</v>
      </c>
      <c r="BO61" s="2">
        <v>4661.661999999998</v>
      </c>
    </row>
    <row r="62" ht="14.25" customHeight="1">
      <c r="A62" s="2" t="s">
        <v>519</v>
      </c>
      <c r="B62" s="2">
        <v>37.846</v>
      </c>
      <c r="C62" s="2">
        <v>37.912</v>
      </c>
      <c r="D62" s="2">
        <v>37.979</v>
      </c>
      <c r="E62" s="2">
        <v>38.046</v>
      </c>
      <c r="F62" s="2">
        <v>38.113</v>
      </c>
      <c r="G62" s="2">
        <v>38.18</v>
      </c>
      <c r="H62" s="2">
        <v>38.247</v>
      </c>
      <c r="I62" s="2">
        <v>38.314</v>
      </c>
      <c r="J62" s="2">
        <v>38.381</v>
      </c>
      <c r="K62" s="2">
        <v>38.448</v>
      </c>
      <c r="L62" s="2">
        <v>38.683</v>
      </c>
      <c r="M62" s="2">
        <v>39.47</v>
      </c>
      <c r="N62" s="2">
        <v>40.264</v>
      </c>
      <c r="O62" s="2">
        <v>41.061</v>
      </c>
      <c r="P62" s="2">
        <v>41.864</v>
      </c>
      <c r="Q62" s="2">
        <v>42.671</v>
      </c>
      <c r="R62" s="2">
        <v>43.484</v>
      </c>
      <c r="S62" s="2">
        <v>44.297</v>
      </c>
      <c r="T62" s="2">
        <v>45.115</v>
      </c>
      <c r="U62" s="2">
        <v>45.935</v>
      </c>
      <c r="V62" s="2">
        <v>46.759</v>
      </c>
      <c r="W62" s="2">
        <v>47.793</v>
      </c>
      <c r="X62" s="2">
        <v>49.524</v>
      </c>
      <c r="Y62" s="2">
        <v>51.257</v>
      </c>
      <c r="Z62" s="2">
        <v>52.99</v>
      </c>
      <c r="AA62" s="2">
        <v>54.71</v>
      </c>
      <c r="AB62" s="2">
        <v>56.422</v>
      </c>
      <c r="AC62" s="2">
        <v>58.118</v>
      </c>
      <c r="AD62" s="2">
        <v>59.798</v>
      </c>
      <c r="AE62" s="2">
        <v>61.45</v>
      </c>
      <c r="AF62" s="2">
        <v>63.079</v>
      </c>
      <c r="AG62" s="2">
        <v>64.482</v>
      </c>
      <c r="AH62" s="2">
        <v>64.569</v>
      </c>
      <c r="AI62" s="2">
        <v>64.656</v>
      </c>
      <c r="AJ62" s="2">
        <v>64.744</v>
      </c>
      <c r="AK62" s="2">
        <v>64.831</v>
      </c>
      <c r="AL62" s="2">
        <v>64.918</v>
      </c>
      <c r="AM62" s="2">
        <v>65.005</v>
      </c>
      <c r="AN62" s="2">
        <v>65.092</v>
      </c>
      <c r="AO62" s="2">
        <v>65.179</v>
      </c>
      <c r="AP62" s="2">
        <v>65.265</v>
      </c>
      <c r="AQ62" s="2">
        <v>65.382</v>
      </c>
      <c r="AR62" s="2">
        <v>65.689</v>
      </c>
      <c r="AS62" s="2">
        <v>65.994</v>
      </c>
      <c r="AT62" s="2">
        <v>66.299</v>
      </c>
      <c r="AU62" s="2">
        <v>66.601</v>
      </c>
      <c r="AV62" s="2">
        <v>66.903</v>
      </c>
      <c r="AW62" s="2">
        <v>67.203</v>
      </c>
      <c r="AX62" s="2">
        <v>67.502</v>
      </c>
      <c r="AY62" s="2">
        <v>67.799</v>
      </c>
      <c r="AZ62" s="2">
        <v>68.094</v>
      </c>
      <c r="BA62" s="2">
        <v>68.389</v>
      </c>
      <c r="BB62" s="2">
        <v>68.685</v>
      </c>
      <c r="BC62" s="2">
        <v>68.982</v>
      </c>
      <c r="BD62" s="2">
        <v>69.28</v>
      </c>
      <c r="BE62" s="2">
        <v>69.579</v>
      </c>
      <c r="BF62" s="2">
        <v>69.88</v>
      </c>
      <c r="BG62" s="2">
        <v>70.181</v>
      </c>
      <c r="BH62" s="2">
        <v>70.483</v>
      </c>
      <c r="BI62" s="2">
        <v>70.786</v>
      </c>
      <c r="BJ62" s="2">
        <v>71.09</v>
      </c>
      <c r="BK62" s="2">
        <v>71.395</v>
      </c>
      <c r="BL62" s="2">
        <v>71.7</v>
      </c>
      <c r="BM62" s="2">
        <v>72.006</v>
      </c>
      <c r="BN62" s="2">
        <v>72.312</v>
      </c>
      <c r="BO62" s="2">
        <v>3707.1650000000004</v>
      </c>
    </row>
    <row r="63" ht="14.25" customHeight="1">
      <c r="A63" s="2" t="s">
        <v>47</v>
      </c>
      <c r="B63" s="2">
        <v>30.191</v>
      </c>
      <c r="C63" s="2">
        <v>31.112</v>
      </c>
      <c r="D63" s="2">
        <v>32.074</v>
      </c>
      <c r="E63" s="2">
        <v>33.052</v>
      </c>
      <c r="F63" s="2">
        <v>34.046</v>
      </c>
      <c r="G63" s="2">
        <v>35.052</v>
      </c>
      <c r="H63" s="2">
        <v>36.073</v>
      </c>
      <c r="I63" s="2">
        <v>37.106</v>
      </c>
      <c r="J63" s="2">
        <v>38.153</v>
      </c>
      <c r="K63" s="2">
        <v>39.207</v>
      </c>
      <c r="L63" s="2">
        <v>40.274</v>
      </c>
      <c r="M63" s="2">
        <v>41.351</v>
      </c>
      <c r="N63" s="2">
        <v>42.437</v>
      </c>
      <c r="O63" s="2">
        <v>43.527</v>
      </c>
      <c r="P63" s="2">
        <v>44.626</v>
      </c>
      <c r="Q63" s="2">
        <v>45.729</v>
      </c>
      <c r="R63" s="2">
        <v>46.838</v>
      </c>
      <c r="S63" s="2">
        <v>47.948</v>
      </c>
      <c r="T63" s="2">
        <v>49.061</v>
      </c>
      <c r="U63" s="2">
        <v>50.175</v>
      </c>
      <c r="V63" s="2">
        <v>51.29</v>
      </c>
      <c r="W63" s="2">
        <v>52.401</v>
      </c>
      <c r="X63" s="2">
        <v>53.05</v>
      </c>
      <c r="Y63" s="2">
        <v>53.323</v>
      </c>
      <c r="Z63" s="2">
        <v>53.596</v>
      </c>
      <c r="AA63" s="2">
        <v>53.868</v>
      </c>
      <c r="AB63" s="2">
        <v>54.14</v>
      </c>
      <c r="AC63" s="2">
        <v>54.412</v>
      </c>
      <c r="AD63" s="2">
        <v>54.684</v>
      </c>
      <c r="AE63" s="2">
        <v>54.955</v>
      </c>
      <c r="AF63" s="2">
        <v>55.226</v>
      </c>
      <c r="AG63" s="2">
        <v>55.497</v>
      </c>
      <c r="AH63" s="2">
        <v>55.767</v>
      </c>
      <c r="AI63" s="2">
        <v>56.037</v>
      </c>
      <c r="AJ63" s="2">
        <v>56.752</v>
      </c>
      <c r="AK63" s="2">
        <v>57.598</v>
      </c>
      <c r="AL63" s="2">
        <v>58.441</v>
      </c>
      <c r="AM63" s="2">
        <v>59.276</v>
      </c>
      <c r="AN63" s="2">
        <v>60.107</v>
      </c>
      <c r="AO63" s="2">
        <v>60.933</v>
      </c>
      <c r="AP63" s="2">
        <v>61.753</v>
      </c>
      <c r="AQ63" s="2">
        <v>62.565</v>
      </c>
      <c r="AR63" s="2">
        <v>63.371</v>
      </c>
      <c r="AS63" s="2">
        <v>64.605</v>
      </c>
      <c r="AT63" s="2">
        <v>66.003</v>
      </c>
      <c r="AU63" s="2">
        <v>67.37</v>
      </c>
      <c r="AV63" s="2">
        <v>68.71</v>
      </c>
      <c r="AW63" s="2">
        <v>70.02</v>
      </c>
      <c r="AX63" s="2">
        <v>71.3</v>
      </c>
      <c r="AY63" s="2">
        <v>72.542</v>
      </c>
      <c r="AZ63" s="2">
        <v>73.753</v>
      </c>
      <c r="BA63" s="2">
        <v>74.827</v>
      </c>
      <c r="BB63" s="2">
        <v>75.802</v>
      </c>
      <c r="BC63" s="2">
        <v>76.749</v>
      </c>
      <c r="BD63" s="2">
        <v>77.67</v>
      </c>
      <c r="BE63" s="2">
        <v>78.566</v>
      </c>
      <c r="BF63" s="2">
        <v>79.436</v>
      </c>
      <c r="BG63" s="2">
        <v>80.277</v>
      </c>
      <c r="BH63" s="2">
        <v>81.074</v>
      </c>
      <c r="BI63" s="2">
        <v>81.828</v>
      </c>
      <c r="BJ63" s="2">
        <v>82.54</v>
      </c>
      <c r="BK63" s="2">
        <v>83.213</v>
      </c>
      <c r="BL63" s="2">
        <v>83.848</v>
      </c>
      <c r="BM63" s="2">
        <v>84.446</v>
      </c>
      <c r="BN63" s="2">
        <v>85.011</v>
      </c>
      <c r="BO63" s="2">
        <v>3776.6640000000007</v>
      </c>
    </row>
    <row r="64" ht="14.25" customHeight="1">
      <c r="A64" s="2" t="s">
        <v>520</v>
      </c>
      <c r="B64" s="2">
        <v>22.8784811237719</v>
      </c>
      <c r="C64" s="2">
        <v>23.1655715664593</v>
      </c>
      <c r="D64" s="2">
        <v>23.4895231711328</v>
      </c>
      <c r="E64" s="2">
        <v>23.8179551513059</v>
      </c>
      <c r="F64" s="2">
        <v>24.1514815764335</v>
      </c>
      <c r="G64" s="2">
        <v>24.4918755612815</v>
      </c>
      <c r="H64" s="2">
        <v>24.841212701778</v>
      </c>
      <c r="I64" s="2">
        <v>25.1937754065066</v>
      </c>
      <c r="J64" s="2">
        <v>25.5441231483192</v>
      </c>
      <c r="K64" s="2">
        <v>25.8983224228538</v>
      </c>
      <c r="L64" s="2">
        <v>26.2536042238288</v>
      </c>
      <c r="M64" s="2">
        <v>26.6349283837884</v>
      </c>
      <c r="N64" s="2">
        <v>27.0711118635301</v>
      </c>
      <c r="O64" s="2">
        <v>27.5022273684066</v>
      </c>
      <c r="P64" s="2">
        <v>27.9371169399424</v>
      </c>
      <c r="Q64" s="2">
        <v>28.2587258685917</v>
      </c>
      <c r="R64" s="2">
        <v>28.7062482326156</v>
      </c>
      <c r="S64" s="2">
        <v>29.1560211283457</v>
      </c>
      <c r="T64" s="2">
        <v>29.6161443673104</v>
      </c>
      <c r="U64" s="2">
        <v>30.0758554664073</v>
      </c>
      <c r="V64" s="2">
        <v>30.5534955519864</v>
      </c>
      <c r="W64" s="2">
        <v>31.0451678875901</v>
      </c>
      <c r="X64" s="2">
        <v>31.4625046050792</v>
      </c>
      <c r="Y64" s="2">
        <v>31.8822332392914</v>
      </c>
      <c r="Z64" s="2">
        <v>32.3110402085367</v>
      </c>
      <c r="AA64" s="2">
        <v>32.7452620918486</v>
      </c>
      <c r="AB64" s="2">
        <v>33.1769957521146</v>
      </c>
      <c r="AC64" s="2">
        <v>33.5958007640802</v>
      </c>
      <c r="AD64" s="2">
        <v>34.0101459753494</v>
      </c>
      <c r="AE64" s="2">
        <v>34.4242412040147</v>
      </c>
      <c r="AF64" s="2">
        <v>34.8710688348765</v>
      </c>
      <c r="AG64" s="2">
        <v>35.2373931706685</v>
      </c>
      <c r="AH64" s="2">
        <v>35.5794727735744</v>
      </c>
      <c r="AI64" s="2">
        <v>35.9112310753669</v>
      </c>
      <c r="AJ64" s="2">
        <v>36.2621035054066</v>
      </c>
      <c r="AK64" s="2">
        <v>36.6120282827981</v>
      </c>
      <c r="AL64" s="2">
        <v>36.9329089453859</v>
      </c>
      <c r="AM64" s="2">
        <v>37.2531557271776</v>
      </c>
      <c r="AN64" s="2">
        <v>37.5833910365375</v>
      </c>
      <c r="AO64" s="2">
        <v>37.9140294954528</v>
      </c>
      <c r="AP64" s="2">
        <v>38.2479884233455</v>
      </c>
      <c r="AQ64" s="2">
        <v>38.5738998095603</v>
      </c>
      <c r="AR64" s="2">
        <v>38.9324288858957</v>
      </c>
      <c r="AS64" s="2">
        <v>39.2908672452612</v>
      </c>
      <c r="AT64" s="2">
        <v>39.6553695908554</v>
      </c>
      <c r="AU64" s="2">
        <v>40.0254075283236</v>
      </c>
      <c r="AV64" s="2">
        <v>40.4041156940663</v>
      </c>
      <c r="AW64" s="2">
        <v>40.7769666713782</v>
      </c>
      <c r="AX64" s="2">
        <v>41.1574165001312</v>
      </c>
      <c r="AY64" s="2">
        <v>41.5380760267634</v>
      </c>
      <c r="AZ64" s="2">
        <v>41.9029813707321</v>
      </c>
      <c r="BA64" s="2">
        <v>42.2694370720536</v>
      </c>
      <c r="BB64" s="2">
        <v>42.6346426000161</v>
      </c>
      <c r="BC64" s="2">
        <v>43.015949236188</v>
      </c>
      <c r="BD64" s="2">
        <v>43.4013542045574</v>
      </c>
      <c r="BE64" s="2">
        <v>43.8136019607096</v>
      </c>
      <c r="BF64" s="2">
        <v>44.2160174055837</v>
      </c>
      <c r="BG64" s="2">
        <v>44.6014670203505</v>
      </c>
      <c r="BH64" s="2">
        <v>44.9830331970366</v>
      </c>
      <c r="BI64" s="2">
        <v>45.3762640144949</v>
      </c>
      <c r="BJ64" s="2">
        <v>45.7878149257312</v>
      </c>
      <c r="BK64" s="2">
        <v>46.185409692723</v>
      </c>
      <c r="BL64" s="2">
        <v>46.6251546023671</v>
      </c>
      <c r="BM64" s="2">
        <v>47.0741543243377</v>
      </c>
      <c r="BN64" s="2">
        <v>47.5231454395816</v>
      </c>
      <c r="BO64" s="2">
        <v>2282.060939241789</v>
      </c>
    </row>
    <row r="65" ht="14.25" customHeight="1">
      <c r="A65" s="2" t="s">
        <v>132</v>
      </c>
      <c r="B65" s="2">
        <v>22.6255424007753</v>
      </c>
      <c r="C65" s="2">
        <v>23.2115995096024</v>
      </c>
      <c r="D65" s="2">
        <v>23.7387746084706</v>
      </c>
      <c r="E65" s="2">
        <v>24.2035243555501</v>
      </c>
      <c r="F65" s="2">
        <v>24.681396265888</v>
      </c>
      <c r="G65" s="2">
        <v>24.6845580267208</v>
      </c>
      <c r="H65" s="2">
        <v>24.6839727689632</v>
      </c>
      <c r="I65" s="2">
        <v>24.7336333365958</v>
      </c>
      <c r="J65" s="2">
        <v>24.8033755201388</v>
      </c>
      <c r="K65" s="2">
        <v>24.8789216813901</v>
      </c>
      <c r="L65" s="2">
        <v>24.9575745628907</v>
      </c>
      <c r="M65" s="2">
        <v>25.0728223419508</v>
      </c>
      <c r="N65" s="2">
        <v>25.1736839382396</v>
      </c>
      <c r="O65" s="2">
        <v>25.3540664852006</v>
      </c>
      <c r="P65" s="2">
        <v>25.612020337629</v>
      </c>
      <c r="Q65" s="2">
        <v>25.7478987621962</v>
      </c>
      <c r="R65" s="2">
        <v>25.9410808164579</v>
      </c>
      <c r="S65" s="2">
        <v>26.1311487486508</v>
      </c>
      <c r="T65" s="2">
        <v>26.526095360979</v>
      </c>
      <c r="U65" s="2">
        <v>27.1371864269164</v>
      </c>
      <c r="V65" s="2">
        <v>27.7711691219633</v>
      </c>
      <c r="W65" s="2">
        <v>28.4365431197965</v>
      </c>
      <c r="X65" s="2">
        <v>29.1040527475014</v>
      </c>
      <c r="Y65" s="2">
        <v>29.6814910607558</v>
      </c>
      <c r="Z65" s="2">
        <v>30.2744362567609</v>
      </c>
      <c r="AA65" s="2">
        <v>30.8700782709275</v>
      </c>
      <c r="AB65" s="2">
        <v>31.4779963285058</v>
      </c>
      <c r="AC65" s="2">
        <v>32.1008122220963</v>
      </c>
      <c r="AD65" s="2">
        <v>32.7299298448024</v>
      </c>
      <c r="AE65" s="2">
        <v>33.3708395744508</v>
      </c>
      <c r="AF65" s="2">
        <v>34.0207154137867</v>
      </c>
      <c r="AG65" s="2">
        <v>34.7155854368029</v>
      </c>
      <c r="AH65" s="2">
        <v>35.4179741369575</v>
      </c>
      <c r="AI65" s="2">
        <v>36.1330020550468</v>
      </c>
      <c r="AJ65" s="2">
        <v>36.8617685509504</v>
      </c>
      <c r="AK65" s="2">
        <v>37.6016118895962</v>
      </c>
      <c r="AL65" s="2">
        <v>38.3546723502604</v>
      </c>
      <c r="AM65" s="2">
        <v>39.1053281916166</v>
      </c>
      <c r="AN65" s="2">
        <v>39.8729274983048</v>
      </c>
      <c r="AO65" s="2">
        <v>40.6532788102548</v>
      </c>
      <c r="AP65" s="2">
        <v>41.4610353715652</v>
      </c>
      <c r="AQ65" s="2">
        <v>42.4512936275273</v>
      </c>
      <c r="AR65" s="2">
        <v>43.5330300204814</v>
      </c>
      <c r="AS65" s="2">
        <v>44.6158597852123</v>
      </c>
      <c r="AT65" s="2">
        <v>45.7023209102195</v>
      </c>
      <c r="AU65" s="2">
        <v>46.7853720162275</v>
      </c>
      <c r="AV65" s="2">
        <v>47.8347136993276</v>
      </c>
      <c r="AW65" s="2">
        <v>48.8657980593705</v>
      </c>
      <c r="AX65" s="2">
        <v>49.8986960290052</v>
      </c>
      <c r="AY65" s="2">
        <v>50.9238337525509</v>
      </c>
      <c r="AZ65" s="2">
        <v>51.9469002743604</v>
      </c>
      <c r="BA65" s="2">
        <v>52.873230697114</v>
      </c>
      <c r="BB65" s="2">
        <v>53.7643617758052</v>
      </c>
      <c r="BC65" s="2">
        <v>54.6496650596792</v>
      </c>
      <c r="BD65" s="2">
        <v>55.5360592269389</v>
      </c>
      <c r="BE65" s="2">
        <v>56.4205224809367</v>
      </c>
      <c r="BF65" s="2">
        <v>57.3027481588232</v>
      </c>
      <c r="BG65" s="2">
        <v>58.1765611121294</v>
      </c>
      <c r="BH65" s="2">
        <v>59.0346049837374</v>
      </c>
      <c r="BI65" s="2">
        <v>59.8725583443197</v>
      </c>
      <c r="BJ65" s="2">
        <v>60.6822345154889</v>
      </c>
      <c r="BK65" s="2">
        <v>61.4594002340011</v>
      </c>
      <c r="BL65" s="2">
        <v>62.2257312651104</v>
      </c>
      <c r="BM65" s="2">
        <v>62.9825402713403</v>
      </c>
      <c r="BN65" s="2">
        <v>63.7106156319768</v>
      </c>
      <c r="BO65" s="2">
        <v>2511.1627764395926</v>
      </c>
    </row>
    <row r="66" ht="14.25" customHeight="1">
      <c r="A66" s="2" t="s">
        <v>521</v>
      </c>
      <c r="B66" s="2">
        <v>16.9511618131686</v>
      </c>
      <c r="C66" s="2">
        <v>17.4240002796017</v>
      </c>
      <c r="D66" s="2">
        <v>17.895906788159</v>
      </c>
      <c r="E66" s="2">
        <v>18.3696744916475</v>
      </c>
      <c r="F66" s="2">
        <v>18.8518596667106</v>
      </c>
      <c r="G66" s="2">
        <v>18.7827942126572</v>
      </c>
      <c r="H66" s="2">
        <v>18.7439622288291</v>
      </c>
      <c r="I66" s="2">
        <v>18.7439526688509</v>
      </c>
      <c r="J66" s="2">
        <v>18.7581482002381</v>
      </c>
      <c r="K66" s="2">
        <v>18.7816402461316</v>
      </c>
      <c r="L66" s="2">
        <v>18.8097839741778</v>
      </c>
      <c r="M66" s="2">
        <v>18.8384648045646</v>
      </c>
      <c r="N66" s="2">
        <v>18.887555239806</v>
      </c>
      <c r="O66" s="2">
        <v>19.0223813178244</v>
      </c>
      <c r="P66" s="2">
        <v>19.2335327676005</v>
      </c>
      <c r="Q66" s="2">
        <v>19.2975650082822</v>
      </c>
      <c r="R66" s="2">
        <v>19.4619417727006</v>
      </c>
      <c r="S66" s="2">
        <v>19.6314538529242</v>
      </c>
      <c r="T66" s="2">
        <v>20.03694312448</v>
      </c>
      <c r="U66" s="2">
        <v>20.6850081456248</v>
      </c>
      <c r="V66" s="2">
        <v>21.3625946648549</v>
      </c>
      <c r="W66" s="2">
        <v>22.0709784310613</v>
      </c>
      <c r="X66" s="2">
        <v>22.7937245836048</v>
      </c>
      <c r="Y66" s="2">
        <v>23.419139213997</v>
      </c>
      <c r="Z66" s="2">
        <v>24.0627071971089</v>
      </c>
      <c r="AA66" s="2">
        <v>24.7159964381734</v>
      </c>
      <c r="AB66" s="2">
        <v>25.3791398245552</v>
      </c>
      <c r="AC66" s="2">
        <v>26.0544583723562</v>
      </c>
      <c r="AD66" s="2">
        <v>26.7433917320688</v>
      </c>
      <c r="AE66" s="2">
        <v>27.4445771403527</v>
      </c>
      <c r="AF66" s="2">
        <v>28.1584228301589</v>
      </c>
      <c r="AG66" s="2">
        <v>28.9364810452577</v>
      </c>
      <c r="AH66" s="2">
        <v>29.7376493638806</v>
      </c>
      <c r="AI66" s="2">
        <v>30.5513446025257</v>
      </c>
      <c r="AJ66" s="2">
        <v>31.3772930190543</v>
      </c>
      <c r="AK66" s="2">
        <v>32.2147441850916</v>
      </c>
      <c r="AL66" s="2">
        <v>33.0676803640114</v>
      </c>
      <c r="AM66" s="2">
        <v>33.9300136462807</v>
      </c>
      <c r="AN66" s="2">
        <v>34.8081277500817</v>
      </c>
      <c r="AO66" s="2">
        <v>35.7008021708453</v>
      </c>
      <c r="AP66" s="2">
        <v>36.6172744751306</v>
      </c>
      <c r="AQ66" s="2">
        <v>37.6453993908773</v>
      </c>
      <c r="AR66" s="2">
        <v>38.7527561796692</v>
      </c>
      <c r="AS66" s="2">
        <v>39.8724608531231</v>
      </c>
      <c r="AT66" s="2">
        <v>41.0033495519225</v>
      </c>
      <c r="AU66" s="2">
        <v>42.1385252208039</v>
      </c>
      <c r="AV66" s="2">
        <v>43.2464228822115</v>
      </c>
      <c r="AW66" s="2">
        <v>44.3390203931955</v>
      </c>
      <c r="AX66" s="2">
        <v>45.4360027878236</v>
      </c>
      <c r="AY66" s="2">
        <v>46.5352874881401</v>
      </c>
      <c r="AZ66" s="2">
        <v>47.6373514132381</v>
      </c>
      <c r="BA66" s="2">
        <v>48.6753704718916</v>
      </c>
      <c r="BB66" s="2">
        <v>49.6877540842409</v>
      </c>
      <c r="BC66" s="2">
        <v>50.6939122439898</v>
      </c>
      <c r="BD66" s="2">
        <v>51.6973010333851</v>
      </c>
      <c r="BE66" s="2">
        <v>52.6956504360269</v>
      </c>
      <c r="BF66" s="2">
        <v>53.6897778094006</v>
      </c>
      <c r="BG66" s="2">
        <v>54.6759933117768</v>
      </c>
      <c r="BH66" s="2">
        <v>55.6392400876998</v>
      </c>
      <c r="BI66" s="2">
        <v>56.5760210675401</v>
      </c>
      <c r="BJ66" s="2">
        <v>57.4845396808942</v>
      </c>
      <c r="BK66" s="2">
        <v>58.3655369003635</v>
      </c>
      <c r="BL66" s="2">
        <v>59.221484163779</v>
      </c>
      <c r="BM66" s="2">
        <v>60.0489417681404</v>
      </c>
      <c r="BN66" s="2">
        <v>60.8512427692916</v>
      </c>
      <c r="BO66" s="2">
        <v>2172.963613643856</v>
      </c>
    </row>
    <row r="67" ht="14.25" customHeight="1">
      <c r="A67" s="2" t="s">
        <v>522</v>
      </c>
      <c r="B67" s="2">
        <v>16.6438605763889</v>
      </c>
      <c r="C67" s="2">
        <v>17.1027287583423</v>
      </c>
      <c r="D67" s="2">
        <v>17.5647523599008</v>
      </c>
      <c r="E67" s="2">
        <v>18.0318970777922</v>
      </c>
      <c r="F67" s="2">
        <v>18.5068549798618</v>
      </c>
      <c r="G67" s="2">
        <v>18.423013398655</v>
      </c>
      <c r="H67" s="2">
        <v>18.3704373900089</v>
      </c>
      <c r="I67" s="2">
        <v>18.3557700669282</v>
      </c>
      <c r="J67" s="2">
        <v>18.3425127770104</v>
      </c>
      <c r="K67" s="2">
        <v>18.3303033301885</v>
      </c>
      <c r="L67" s="2">
        <v>18.3230983081357</v>
      </c>
      <c r="M67" s="2">
        <v>18.3456235767991</v>
      </c>
      <c r="N67" s="2">
        <v>18.3879949392372</v>
      </c>
      <c r="O67" s="2">
        <v>18.5177692485767</v>
      </c>
      <c r="P67" s="2">
        <v>18.7258803390259</v>
      </c>
      <c r="Q67" s="2">
        <v>18.7845681588027</v>
      </c>
      <c r="R67" s="2">
        <v>18.951314312685</v>
      </c>
      <c r="S67" s="2">
        <v>19.1233757249093</v>
      </c>
      <c r="T67" s="2">
        <v>19.5348236268428</v>
      </c>
      <c r="U67" s="2">
        <v>20.1921346200697</v>
      </c>
      <c r="V67" s="2">
        <v>20.8790546052438</v>
      </c>
      <c r="W67" s="2">
        <v>21.5956152534053</v>
      </c>
      <c r="X67" s="2">
        <v>22.3272370946689</v>
      </c>
      <c r="Y67" s="2">
        <v>22.9601803270468</v>
      </c>
      <c r="Z67" s="2">
        <v>23.6110531268178</v>
      </c>
      <c r="AA67" s="2">
        <v>24.2718180758696</v>
      </c>
      <c r="AB67" s="2">
        <v>24.9428173242045</v>
      </c>
      <c r="AC67" s="2">
        <v>25.6264224813578</v>
      </c>
      <c r="AD67" s="2">
        <v>26.3237973389745</v>
      </c>
      <c r="AE67" s="2">
        <v>27.0332785601355</v>
      </c>
      <c r="AF67" s="2">
        <v>27.7552941349116</v>
      </c>
      <c r="AG67" s="2">
        <v>28.5419722933588</v>
      </c>
      <c r="AH67" s="2">
        <v>29.3516073171413</v>
      </c>
      <c r="AI67" s="2">
        <v>30.1738145832955</v>
      </c>
      <c r="AJ67" s="2">
        <v>31.0089317356348</v>
      </c>
      <c r="AK67" s="2">
        <v>31.8568563803238</v>
      </c>
      <c r="AL67" s="2">
        <v>32.721126938998</v>
      </c>
      <c r="AM67" s="2">
        <v>33.5949730539646</v>
      </c>
      <c r="AN67" s="2">
        <v>34.4847616674981</v>
      </c>
      <c r="AO67" s="2">
        <v>35.3891170960049</v>
      </c>
      <c r="AP67" s="2">
        <v>36.3175227418131</v>
      </c>
      <c r="AQ67" s="2">
        <v>37.3590499504852</v>
      </c>
      <c r="AR67" s="2">
        <v>38.4808627983775</v>
      </c>
      <c r="AS67" s="2">
        <v>39.6148030399397</v>
      </c>
      <c r="AT67" s="2">
        <v>40.7597478212709</v>
      </c>
      <c r="AU67" s="2">
        <v>41.9092131668666</v>
      </c>
      <c r="AV67" s="2">
        <v>43.0310771581233</v>
      </c>
      <c r="AW67" s="2">
        <v>44.1374284035844</v>
      </c>
      <c r="AX67" s="2">
        <v>45.2481560988524</v>
      </c>
      <c r="AY67" s="2">
        <v>46.3601323263501</v>
      </c>
      <c r="AZ67" s="2">
        <v>47.4745186343922</v>
      </c>
      <c r="BA67" s="2">
        <v>48.524049374208</v>
      </c>
      <c r="BB67" s="2">
        <v>49.5476456891439</v>
      </c>
      <c r="BC67" s="2">
        <v>50.5648235001956</v>
      </c>
      <c r="BD67" s="2">
        <v>51.5790439600645</v>
      </c>
      <c r="BE67" s="2">
        <v>52.5880415202357</v>
      </c>
      <c r="BF67" s="2">
        <v>53.5925053714925</v>
      </c>
      <c r="BG67" s="2">
        <v>54.5887621075747</v>
      </c>
      <c r="BH67" s="2">
        <v>55.5614585448153</v>
      </c>
      <c r="BI67" s="2">
        <v>56.507100271616</v>
      </c>
      <c r="BJ67" s="2">
        <v>57.4239114272432</v>
      </c>
      <c r="BK67" s="2">
        <v>58.3126038346384</v>
      </c>
      <c r="BL67" s="2">
        <v>59.1757435746238</v>
      </c>
      <c r="BM67" s="2">
        <v>60.0098852351415</v>
      </c>
      <c r="BN67" s="2">
        <v>60.8184186324705</v>
      </c>
      <c r="BO67" s="2">
        <v>2152.494948142536</v>
      </c>
    </row>
    <row r="68" ht="14.25" customHeight="1">
      <c r="A68" s="2" t="s">
        <v>48</v>
      </c>
      <c r="B68" s="2">
        <v>33.878</v>
      </c>
      <c r="C68" s="2">
        <v>34.466</v>
      </c>
      <c r="D68" s="2">
        <v>35.06</v>
      </c>
      <c r="E68" s="2">
        <v>35.606</v>
      </c>
      <c r="F68" s="2">
        <v>36.122</v>
      </c>
      <c r="G68" s="2">
        <v>36.64</v>
      </c>
      <c r="H68" s="2">
        <v>37.162</v>
      </c>
      <c r="I68" s="2">
        <v>37.686</v>
      </c>
      <c r="J68" s="2">
        <v>38.215</v>
      </c>
      <c r="K68" s="2">
        <v>38.744</v>
      </c>
      <c r="L68" s="2">
        <v>39.278</v>
      </c>
      <c r="M68" s="2">
        <v>39.813</v>
      </c>
      <c r="N68" s="2">
        <v>40.352</v>
      </c>
      <c r="O68" s="2">
        <v>40.892</v>
      </c>
      <c r="P68" s="2">
        <v>41.457</v>
      </c>
      <c r="Q68" s="2">
        <v>42.363</v>
      </c>
      <c r="R68" s="2">
        <v>43.276</v>
      </c>
      <c r="S68" s="2">
        <v>44.191</v>
      </c>
      <c r="T68" s="2">
        <v>45.111</v>
      </c>
      <c r="U68" s="2">
        <v>46.034</v>
      </c>
      <c r="V68" s="2">
        <v>46.961</v>
      </c>
      <c r="W68" s="2">
        <v>47.888</v>
      </c>
      <c r="X68" s="2">
        <v>48.818</v>
      </c>
      <c r="Y68" s="2">
        <v>49.658</v>
      </c>
      <c r="Z68" s="2">
        <v>50.438</v>
      </c>
      <c r="AA68" s="2">
        <v>51.215</v>
      </c>
      <c r="AB68" s="2">
        <v>51.993</v>
      </c>
      <c r="AC68" s="2">
        <v>52.769</v>
      </c>
      <c r="AD68" s="2">
        <v>53.546</v>
      </c>
      <c r="AE68" s="2">
        <v>54.318</v>
      </c>
      <c r="AF68" s="2">
        <v>55.09</v>
      </c>
      <c r="AG68" s="2">
        <v>55.709</v>
      </c>
      <c r="AH68" s="2">
        <v>56.226</v>
      </c>
      <c r="AI68" s="2">
        <v>56.74</v>
      </c>
      <c r="AJ68" s="2">
        <v>57.254</v>
      </c>
      <c r="AK68" s="2">
        <v>57.766</v>
      </c>
      <c r="AL68" s="2">
        <v>58.277</v>
      </c>
      <c r="AM68" s="2">
        <v>58.785</v>
      </c>
      <c r="AN68" s="2">
        <v>59.291</v>
      </c>
      <c r="AO68" s="2">
        <v>59.796</v>
      </c>
      <c r="AP68" s="2">
        <v>60.299</v>
      </c>
      <c r="AQ68" s="2">
        <v>60.799</v>
      </c>
      <c r="AR68" s="2">
        <v>61.118</v>
      </c>
      <c r="AS68" s="2">
        <v>61.316</v>
      </c>
      <c r="AT68" s="2">
        <v>61.514</v>
      </c>
      <c r="AU68" s="2">
        <v>61.711</v>
      </c>
      <c r="AV68" s="2">
        <v>61.907</v>
      </c>
      <c r="AW68" s="2">
        <v>62.104</v>
      </c>
      <c r="AX68" s="2">
        <v>62.3</v>
      </c>
      <c r="AY68" s="2">
        <v>62.495</v>
      </c>
      <c r="AZ68" s="2">
        <v>62.69</v>
      </c>
      <c r="BA68" s="2">
        <v>62.851</v>
      </c>
      <c r="BB68" s="2">
        <v>62.988</v>
      </c>
      <c r="BC68" s="2">
        <v>63.125</v>
      </c>
      <c r="BD68" s="2">
        <v>63.261</v>
      </c>
      <c r="BE68" s="2">
        <v>63.398</v>
      </c>
      <c r="BF68" s="2">
        <v>63.534</v>
      </c>
      <c r="BG68" s="2">
        <v>63.67</v>
      </c>
      <c r="BH68" s="2">
        <v>63.821</v>
      </c>
      <c r="BI68" s="2">
        <v>63.986</v>
      </c>
      <c r="BJ68" s="2">
        <v>64.166</v>
      </c>
      <c r="BK68" s="2">
        <v>64.361</v>
      </c>
      <c r="BL68" s="2">
        <v>64.57</v>
      </c>
      <c r="BM68" s="2">
        <v>64.792</v>
      </c>
      <c r="BN68" s="2">
        <v>65.029</v>
      </c>
      <c r="BO68" s="2">
        <v>3440.689</v>
      </c>
    </row>
    <row r="69" ht="14.25" customHeight="1">
      <c r="A69" s="2" t="s">
        <v>49</v>
      </c>
      <c r="B69" s="2">
        <v>37.864</v>
      </c>
      <c r="C69" s="2">
        <v>38.272</v>
      </c>
      <c r="D69" s="2">
        <v>38.624</v>
      </c>
      <c r="E69" s="2">
        <v>38.977</v>
      </c>
      <c r="F69" s="2">
        <v>39.331</v>
      </c>
      <c r="G69" s="2">
        <v>39.686</v>
      </c>
      <c r="H69" s="2">
        <v>40.042</v>
      </c>
      <c r="I69" s="2">
        <v>40.399</v>
      </c>
      <c r="J69" s="2">
        <v>40.758</v>
      </c>
      <c r="K69" s="2">
        <v>41.117</v>
      </c>
      <c r="L69" s="2">
        <v>41.477</v>
      </c>
      <c r="M69" s="2">
        <v>41.838</v>
      </c>
      <c r="N69" s="2">
        <v>42.2</v>
      </c>
      <c r="O69" s="2">
        <v>42.563</v>
      </c>
      <c r="P69" s="2">
        <v>42.926</v>
      </c>
      <c r="Q69" s="2">
        <v>43.291</v>
      </c>
      <c r="R69" s="2">
        <v>43.656</v>
      </c>
      <c r="S69" s="2">
        <v>43.81</v>
      </c>
      <c r="T69" s="2">
        <v>43.826</v>
      </c>
      <c r="U69" s="2">
        <v>43.842</v>
      </c>
      <c r="V69" s="2">
        <v>43.858</v>
      </c>
      <c r="W69" s="2">
        <v>43.874</v>
      </c>
      <c r="X69" s="2">
        <v>43.89</v>
      </c>
      <c r="Y69" s="2">
        <v>43.906</v>
      </c>
      <c r="Z69" s="2">
        <v>43.922</v>
      </c>
      <c r="AA69" s="2">
        <v>43.938</v>
      </c>
      <c r="AB69" s="2">
        <v>43.954</v>
      </c>
      <c r="AC69" s="2">
        <v>43.877</v>
      </c>
      <c r="AD69" s="2">
        <v>43.744</v>
      </c>
      <c r="AE69" s="2">
        <v>43.611</v>
      </c>
      <c r="AF69" s="2">
        <v>43.478</v>
      </c>
      <c r="AG69" s="2">
        <v>43.345</v>
      </c>
      <c r="AH69" s="2">
        <v>43.212</v>
      </c>
      <c r="AI69" s="2">
        <v>43.079</v>
      </c>
      <c r="AJ69" s="2">
        <v>42.946</v>
      </c>
      <c r="AK69" s="2">
        <v>42.814</v>
      </c>
      <c r="AL69" s="2">
        <v>42.681</v>
      </c>
      <c r="AM69" s="2">
        <v>42.658</v>
      </c>
      <c r="AN69" s="2">
        <v>42.704</v>
      </c>
      <c r="AO69" s="2">
        <v>42.75</v>
      </c>
      <c r="AP69" s="2">
        <v>42.797</v>
      </c>
      <c r="AQ69" s="2">
        <v>42.843</v>
      </c>
      <c r="AR69" s="2">
        <v>42.889</v>
      </c>
      <c r="AS69" s="2">
        <v>42.935</v>
      </c>
      <c r="AT69" s="2">
        <v>42.981</v>
      </c>
      <c r="AU69" s="2">
        <v>43.027</v>
      </c>
      <c r="AV69" s="2">
        <v>43.073</v>
      </c>
      <c r="AW69" s="2">
        <v>43.078</v>
      </c>
      <c r="AX69" s="2">
        <v>43.058</v>
      </c>
      <c r="AY69" s="2">
        <v>43.039</v>
      </c>
      <c r="AZ69" s="2">
        <v>43.019</v>
      </c>
      <c r="BA69" s="2">
        <v>43.0</v>
      </c>
      <c r="BB69" s="2">
        <v>42.946</v>
      </c>
      <c r="BC69" s="2">
        <v>42.893</v>
      </c>
      <c r="BD69" s="2">
        <v>42.839</v>
      </c>
      <c r="BE69" s="2">
        <v>42.785</v>
      </c>
      <c r="BF69" s="2">
        <v>42.732</v>
      </c>
      <c r="BG69" s="2">
        <v>42.705</v>
      </c>
      <c r="BH69" s="2">
        <v>42.704</v>
      </c>
      <c r="BI69" s="2">
        <v>42.73</v>
      </c>
      <c r="BJ69" s="2">
        <v>42.783</v>
      </c>
      <c r="BK69" s="2">
        <v>42.862</v>
      </c>
      <c r="BL69" s="2">
        <v>42.967</v>
      </c>
      <c r="BM69" s="2">
        <v>43.1</v>
      </c>
      <c r="BN69" s="2">
        <v>43.258</v>
      </c>
      <c r="BO69" s="2">
        <v>2765.7829999999994</v>
      </c>
    </row>
    <row r="70" ht="14.25" customHeight="1">
      <c r="A70" s="2" t="s">
        <v>50</v>
      </c>
      <c r="B70" s="2">
        <v>38.354</v>
      </c>
      <c r="C70" s="2">
        <v>38.527</v>
      </c>
      <c r="D70" s="2">
        <v>38.628</v>
      </c>
      <c r="E70" s="2">
        <v>38.729</v>
      </c>
      <c r="F70" s="2">
        <v>38.83</v>
      </c>
      <c r="G70" s="2">
        <v>38.931</v>
      </c>
      <c r="H70" s="2">
        <v>39.033</v>
      </c>
      <c r="I70" s="2">
        <v>39.134</v>
      </c>
      <c r="J70" s="2">
        <v>39.236</v>
      </c>
      <c r="K70" s="2">
        <v>39.337</v>
      </c>
      <c r="L70" s="2">
        <v>39.439</v>
      </c>
      <c r="M70" s="2">
        <v>39.544</v>
      </c>
      <c r="N70" s="2">
        <v>40.043</v>
      </c>
      <c r="O70" s="2">
        <v>40.543</v>
      </c>
      <c r="P70" s="2">
        <v>41.046</v>
      </c>
      <c r="Q70" s="2">
        <v>41.551</v>
      </c>
      <c r="R70" s="2">
        <v>42.058</v>
      </c>
      <c r="S70" s="2">
        <v>42.565</v>
      </c>
      <c r="T70" s="2">
        <v>43.075</v>
      </c>
      <c r="U70" s="2">
        <v>43.586</v>
      </c>
      <c r="V70" s="2">
        <v>44.099</v>
      </c>
      <c r="W70" s="2">
        <v>44.612</v>
      </c>
      <c r="X70" s="2">
        <v>45.127</v>
      </c>
      <c r="Y70" s="2">
        <v>45.642</v>
      </c>
      <c r="Z70" s="2">
        <v>46.16</v>
      </c>
      <c r="AA70" s="2">
        <v>46.677</v>
      </c>
      <c r="AB70" s="2">
        <v>47.195</v>
      </c>
      <c r="AC70" s="2">
        <v>47.714</v>
      </c>
      <c r="AD70" s="2">
        <v>48.234</v>
      </c>
      <c r="AE70" s="2">
        <v>48.754</v>
      </c>
      <c r="AF70" s="2">
        <v>49.274</v>
      </c>
      <c r="AG70" s="2">
        <v>49.794</v>
      </c>
      <c r="AH70" s="2">
        <v>50.315</v>
      </c>
      <c r="AI70" s="2">
        <v>51.417</v>
      </c>
      <c r="AJ70" s="2">
        <v>52.704</v>
      </c>
      <c r="AK70" s="2">
        <v>53.988</v>
      </c>
      <c r="AL70" s="2">
        <v>55.268</v>
      </c>
      <c r="AM70" s="2">
        <v>56.537</v>
      </c>
      <c r="AN70" s="2">
        <v>57.8</v>
      </c>
      <c r="AO70" s="2">
        <v>58.357</v>
      </c>
      <c r="AP70" s="2">
        <v>58.912</v>
      </c>
      <c r="AQ70" s="2">
        <v>59.464</v>
      </c>
      <c r="AR70" s="2">
        <v>60.014</v>
      </c>
      <c r="AS70" s="2">
        <v>60.561</v>
      </c>
      <c r="AT70" s="2">
        <v>61.107</v>
      </c>
      <c r="AU70" s="2">
        <v>61.648</v>
      </c>
      <c r="AV70" s="2">
        <v>62.187</v>
      </c>
      <c r="AW70" s="2">
        <v>62.774</v>
      </c>
      <c r="AX70" s="2">
        <v>63.678</v>
      </c>
      <c r="AY70" s="2">
        <v>64.57</v>
      </c>
      <c r="AZ70" s="2">
        <v>65.452</v>
      </c>
      <c r="BA70" s="2">
        <v>66.325</v>
      </c>
      <c r="BB70" s="2">
        <v>67.187</v>
      </c>
      <c r="BC70" s="2">
        <v>68.036</v>
      </c>
      <c r="BD70" s="2">
        <v>68.874</v>
      </c>
      <c r="BE70" s="2">
        <v>69.7</v>
      </c>
      <c r="BF70" s="2">
        <v>70.501</v>
      </c>
      <c r="BG70" s="2">
        <v>71.275</v>
      </c>
      <c r="BH70" s="2">
        <v>72.023</v>
      </c>
      <c r="BI70" s="2">
        <v>72.746</v>
      </c>
      <c r="BJ70" s="2">
        <v>73.444</v>
      </c>
      <c r="BK70" s="2">
        <v>74.118</v>
      </c>
      <c r="BL70" s="2">
        <v>74.767</v>
      </c>
      <c r="BM70" s="2">
        <v>75.393</v>
      </c>
      <c r="BN70" s="2">
        <v>75.996</v>
      </c>
      <c r="BO70" s="2">
        <v>3482.608999999999</v>
      </c>
    </row>
    <row r="71" ht="14.25" customHeight="1">
      <c r="A71" s="2" t="s">
        <v>449</v>
      </c>
      <c r="B71" s="2">
        <v>25.537</v>
      </c>
      <c r="C71" s="2">
        <v>26.144</v>
      </c>
      <c r="D71" s="2">
        <v>26.234</v>
      </c>
      <c r="E71" s="2">
        <v>26.323</v>
      </c>
      <c r="F71" s="2">
        <v>26.413</v>
      </c>
      <c r="G71" s="2">
        <v>26.502</v>
      </c>
      <c r="H71" s="2">
        <v>26.592</v>
      </c>
      <c r="I71" s="2">
        <v>26.682</v>
      </c>
      <c r="J71" s="2">
        <v>26.773</v>
      </c>
      <c r="K71" s="2">
        <v>26.863</v>
      </c>
      <c r="L71" s="2">
        <v>26.954</v>
      </c>
      <c r="M71" s="2">
        <v>27.045</v>
      </c>
      <c r="N71" s="2">
        <v>27.136</v>
      </c>
      <c r="O71" s="2">
        <v>27.227</v>
      </c>
      <c r="P71" s="2">
        <v>27.319</v>
      </c>
      <c r="Q71" s="2">
        <v>27.41</v>
      </c>
      <c r="R71" s="2">
        <v>27.502</v>
      </c>
      <c r="S71" s="2">
        <v>27.594</v>
      </c>
      <c r="T71" s="2">
        <v>27.687</v>
      </c>
      <c r="U71" s="2">
        <v>27.779</v>
      </c>
      <c r="V71" s="2">
        <v>27.872</v>
      </c>
      <c r="W71" s="2">
        <v>27.965</v>
      </c>
      <c r="X71" s="2">
        <v>28.058</v>
      </c>
      <c r="Y71" s="2">
        <v>28.151</v>
      </c>
      <c r="Z71" s="2">
        <v>29.028</v>
      </c>
      <c r="AA71" s="2">
        <v>29.94</v>
      </c>
      <c r="AB71" s="2">
        <v>30.871</v>
      </c>
      <c r="AC71" s="2">
        <v>31.817</v>
      </c>
      <c r="AD71" s="2">
        <v>32.78</v>
      </c>
      <c r="AE71" s="2">
        <v>33.755</v>
      </c>
      <c r="AF71" s="2">
        <v>34.745</v>
      </c>
      <c r="AG71" s="2">
        <v>35.748</v>
      </c>
      <c r="AH71" s="2">
        <v>36.766</v>
      </c>
      <c r="AI71" s="2">
        <v>37.792</v>
      </c>
      <c r="AJ71" s="2">
        <v>38.831</v>
      </c>
      <c r="AK71" s="2">
        <v>40.494</v>
      </c>
      <c r="AL71" s="2">
        <v>42.187</v>
      </c>
      <c r="AM71" s="2">
        <v>43.893</v>
      </c>
      <c r="AN71" s="2">
        <v>45.616</v>
      </c>
      <c r="AO71" s="2">
        <v>47.35</v>
      </c>
      <c r="AP71" s="2">
        <v>49.092</v>
      </c>
      <c r="AQ71" s="2">
        <v>50.832</v>
      </c>
      <c r="AR71" s="2">
        <v>52.573</v>
      </c>
      <c r="AS71" s="2">
        <v>54.307</v>
      </c>
      <c r="AT71" s="2">
        <v>56.033</v>
      </c>
      <c r="AU71" s="2">
        <v>57.74</v>
      </c>
      <c r="AV71" s="2">
        <v>59.431</v>
      </c>
      <c r="AW71" s="2">
        <v>61.1</v>
      </c>
      <c r="AX71" s="2">
        <v>62.745</v>
      </c>
      <c r="AY71" s="2">
        <v>64.358</v>
      </c>
      <c r="AZ71" s="2">
        <v>65.94</v>
      </c>
      <c r="BA71" s="2">
        <v>67.488</v>
      </c>
      <c r="BB71" s="2">
        <v>69.0</v>
      </c>
      <c r="BC71" s="2">
        <v>69.544</v>
      </c>
      <c r="BD71" s="2">
        <v>70.083</v>
      </c>
      <c r="BE71" s="2">
        <v>70.616</v>
      </c>
      <c r="BF71" s="2">
        <v>71.138</v>
      </c>
      <c r="BG71" s="2">
        <v>71.646</v>
      </c>
      <c r="BH71" s="2">
        <v>72.143</v>
      </c>
      <c r="BI71" s="2">
        <v>72.627</v>
      </c>
      <c r="BJ71" s="2">
        <v>73.1</v>
      </c>
      <c r="BK71" s="2">
        <v>73.561</v>
      </c>
      <c r="BL71" s="2">
        <v>74.01</v>
      </c>
      <c r="BM71" s="2">
        <v>74.448</v>
      </c>
      <c r="BN71" s="2">
        <v>74.874</v>
      </c>
      <c r="BO71" s="2">
        <v>2879.804</v>
      </c>
    </row>
    <row r="72" ht="14.25" customHeight="1">
      <c r="A72" s="2" t="s">
        <v>450</v>
      </c>
      <c r="B72" s="2">
        <v>9.799</v>
      </c>
      <c r="C72" s="2">
        <v>10.114</v>
      </c>
      <c r="D72" s="2">
        <v>10.438</v>
      </c>
      <c r="E72" s="2">
        <v>10.772</v>
      </c>
      <c r="F72" s="2">
        <v>11.115</v>
      </c>
      <c r="G72" s="2">
        <v>11.466</v>
      </c>
      <c r="H72" s="2">
        <v>11.828</v>
      </c>
      <c r="I72" s="2">
        <v>12.2</v>
      </c>
      <c r="J72" s="2">
        <v>12.358</v>
      </c>
      <c r="K72" s="2">
        <v>12.517</v>
      </c>
      <c r="L72" s="2">
        <v>12.678</v>
      </c>
      <c r="M72" s="2">
        <v>12.841</v>
      </c>
      <c r="N72" s="2">
        <v>13.006</v>
      </c>
      <c r="O72" s="2">
        <v>13.173</v>
      </c>
      <c r="P72" s="2">
        <v>13.341</v>
      </c>
      <c r="Q72" s="2">
        <v>13.511</v>
      </c>
      <c r="R72" s="2">
        <v>13.684</v>
      </c>
      <c r="S72" s="2">
        <v>13.857</v>
      </c>
      <c r="T72" s="2">
        <v>14.033</v>
      </c>
      <c r="U72" s="2">
        <v>14.211</v>
      </c>
      <c r="V72" s="2">
        <v>14.39</v>
      </c>
      <c r="W72" s="2">
        <v>14.572</v>
      </c>
      <c r="X72" s="2">
        <v>14.755</v>
      </c>
      <c r="Y72" s="2">
        <v>14.94</v>
      </c>
      <c r="Z72" s="2">
        <v>15.182</v>
      </c>
      <c r="AA72" s="2">
        <v>15.757</v>
      </c>
      <c r="AB72" s="2">
        <v>16.351</v>
      </c>
      <c r="AC72" s="2">
        <v>16.962</v>
      </c>
      <c r="AD72" s="2">
        <v>17.592</v>
      </c>
      <c r="AE72" s="2">
        <v>18.239</v>
      </c>
      <c r="AF72" s="2">
        <v>18.905</v>
      </c>
      <c r="AG72" s="2">
        <v>19.59</v>
      </c>
      <c r="AH72" s="2">
        <v>20.294</v>
      </c>
      <c r="AI72" s="2">
        <v>21.015</v>
      </c>
      <c r="AJ72" s="2">
        <v>21.755</v>
      </c>
      <c r="AK72" s="2">
        <v>22.514</v>
      </c>
      <c r="AL72" s="2">
        <v>23.293</v>
      </c>
      <c r="AM72" s="2">
        <v>24.088</v>
      </c>
      <c r="AN72" s="2">
        <v>24.903</v>
      </c>
      <c r="AO72" s="2">
        <v>25.735</v>
      </c>
      <c r="AP72" s="2">
        <v>26.587</v>
      </c>
      <c r="AQ72" s="2">
        <v>27.455</v>
      </c>
      <c r="AR72" s="2">
        <v>28.341</v>
      </c>
      <c r="AS72" s="2">
        <v>29.244</v>
      </c>
      <c r="AT72" s="2">
        <v>30.164</v>
      </c>
      <c r="AU72" s="2">
        <v>31.099</v>
      </c>
      <c r="AV72" s="2">
        <v>32.051</v>
      </c>
      <c r="AW72" s="2">
        <v>33.017</v>
      </c>
      <c r="AX72" s="2">
        <v>34.0</v>
      </c>
      <c r="AY72" s="2">
        <v>34.585</v>
      </c>
      <c r="AZ72" s="2">
        <v>35.175</v>
      </c>
      <c r="BA72" s="2">
        <v>35.771</v>
      </c>
      <c r="BB72" s="2">
        <v>36.372</v>
      </c>
      <c r="BC72" s="2">
        <v>36.979</v>
      </c>
      <c r="BD72" s="2">
        <v>37.59</v>
      </c>
      <c r="BE72" s="2">
        <v>38.206</v>
      </c>
      <c r="BF72" s="2">
        <v>38.827</v>
      </c>
      <c r="BG72" s="2">
        <v>39.451</v>
      </c>
      <c r="BH72" s="2">
        <v>40.08</v>
      </c>
      <c r="BI72" s="2">
        <v>40.712</v>
      </c>
      <c r="BJ72" s="2">
        <v>41.347</v>
      </c>
      <c r="BK72" s="2">
        <v>41.985</v>
      </c>
      <c r="BL72" s="2">
        <v>42.625</v>
      </c>
      <c r="BM72" s="2">
        <v>43.267</v>
      </c>
      <c r="BN72" s="2">
        <v>43.911</v>
      </c>
      <c r="BO72" s="2">
        <v>1526.6149999999998</v>
      </c>
    </row>
    <row r="73" ht="14.25" customHeight="1">
      <c r="A73" s="2" t="s">
        <v>451</v>
      </c>
      <c r="B73" s="2">
        <v>57.533</v>
      </c>
      <c r="C73" s="2">
        <v>58.304</v>
      </c>
      <c r="D73" s="2">
        <v>59.072</v>
      </c>
      <c r="E73" s="2">
        <v>59.836</v>
      </c>
      <c r="F73" s="2">
        <v>60.596</v>
      </c>
      <c r="G73" s="2">
        <v>61.348</v>
      </c>
      <c r="H73" s="2">
        <v>62.097</v>
      </c>
      <c r="I73" s="2">
        <v>62.839</v>
      </c>
      <c r="J73" s="2">
        <v>63.577</v>
      </c>
      <c r="K73" s="2">
        <v>64.307</v>
      </c>
      <c r="L73" s="2">
        <v>64.947</v>
      </c>
      <c r="M73" s="2">
        <v>65.483</v>
      </c>
      <c r="N73" s="2">
        <v>66.017</v>
      </c>
      <c r="O73" s="2">
        <v>66.545</v>
      </c>
      <c r="P73" s="2">
        <v>67.069</v>
      </c>
      <c r="Q73" s="2">
        <v>67.589</v>
      </c>
      <c r="R73" s="2">
        <v>68.106</v>
      </c>
      <c r="S73" s="2">
        <v>68.617</v>
      </c>
      <c r="T73" s="2">
        <v>69.124</v>
      </c>
      <c r="U73" s="2">
        <v>69.497</v>
      </c>
      <c r="V73" s="2">
        <v>69.711</v>
      </c>
      <c r="W73" s="2">
        <v>69.924</v>
      </c>
      <c r="X73" s="2">
        <v>70.136</v>
      </c>
      <c r="Y73" s="2">
        <v>70.347</v>
      </c>
      <c r="Z73" s="2">
        <v>70.558</v>
      </c>
      <c r="AA73" s="2">
        <v>70.767</v>
      </c>
      <c r="AB73" s="2">
        <v>70.975</v>
      </c>
      <c r="AC73" s="2">
        <v>71.183</v>
      </c>
      <c r="AD73" s="2">
        <v>71.39</v>
      </c>
      <c r="AE73" s="2">
        <v>71.415</v>
      </c>
      <c r="AF73" s="2">
        <v>71.231</v>
      </c>
      <c r="AG73" s="2">
        <v>71.046</v>
      </c>
      <c r="AH73" s="2">
        <v>70.86</v>
      </c>
      <c r="AI73" s="2">
        <v>70.674</v>
      </c>
      <c r="AJ73" s="2">
        <v>70.487</v>
      </c>
      <c r="AK73" s="2">
        <v>70.3</v>
      </c>
      <c r="AL73" s="2">
        <v>70.111</v>
      </c>
      <c r="AM73" s="2">
        <v>69.923</v>
      </c>
      <c r="AN73" s="2">
        <v>69.733</v>
      </c>
      <c r="AO73" s="2">
        <v>69.543</v>
      </c>
      <c r="AP73" s="2">
        <v>69.368</v>
      </c>
      <c r="AQ73" s="2">
        <v>69.242</v>
      </c>
      <c r="AR73" s="2">
        <v>69.116</v>
      </c>
      <c r="AS73" s="2">
        <v>68.989</v>
      </c>
      <c r="AT73" s="2">
        <v>68.862</v>
      </c>
      <c r="AU73" s="2">
        <v>68.735</v>
      </c>
      <c r="AV73" s="2">
        <v>68.607</v>
      </c>
      <c r="AW73" s="2">
        <v>68.479</v>
      </c>
      <c r="AX73" s="2">
        <v>68.351</v>
      </c>
      <c r="AY73" s="2">
        <v>68.223</v>
      </c>
      <c r="AZ73" s="2">
        <v>68.094</v>
      </c>
      <c r="BA73" s="2">
        <v>67.965</v>
      </c>
      <c r="BB73" s="2">
        <v>67.974</v>
      </c>
      <c r="BC73" s="2">
        <v>68.122</v>
      </c>
      <c r="BD73" s="2">
        <v>68.269</v>
      </c>
      <c r="BE73" s="2">
        <v>68.416</v>
      </c>
      <c r="BF73" s="2">
        <v>68.563</v>
      </c>
      <c r="BG73" s="2">
        <v>68.717</v>
      </c>
      <c r="BH73" s="2">
        <v>68.88</v>
      </c>
      <c r="BI73" s="2">
        <v>69.051</v>
      </c>
      <c r="BJ73" s="2">
        <v>69.229</v>
      </c>
      <c r="BK73" s="2">
        <v>69.415</v>
      </c>
      <c r="BL73" s="2">
        <v>69.609</v>
      </c>
      <c r="BM73" s="2">
        <v>69.81</v>
      </c>
      <c r="BN73" s="2">
        <v>70.019</v>
      </c>
      <c r="BO73" s="2">
        <v>4412.922000000002</v>
      </c>
    </row>
    <row r="74" ht="14.25" customHeight="1">
      <c r="A74" s="2" t="s">
        <v>452</v>
      </c>
      <c r="B74" s="2">
        <v>3.913</v>
      </c>
      <c r="C74" s="2">
        <v>4.335</v>
      </c>
      <c r="D74" s="2">
        <v>4.8</v>
      </c>
      <c r="E74" s="2">
        <v>5.312</v>
      </c>
      <c r="F74" s="2">
        <v>5.876</v>
      </c>
      <c r="G74" s="2">
        <v>6.494</v>
      </c>
      <c r="H74" s="2">
        <v>7.157</v>
      </c>
      <c r="I74" s="2">
        <v>7.729</v>
      </c>
      <c r="J74" s="2">
        <v>8.344</v>
      </c>
      <c r="K74" s="2">
        <v>9.001</v>
      </c>
      <c r="L74" s="2">
        <v>9.705</v>
      </c>
      <c r="M74" s="2">
        <v>10.458</v>
      </c>
      <c r="N74" s="2">
        <v>11.264</v>
      </c>
      <c r="O74" s="2">
        <v>12.12</v>
      </c>
      <c r="P74" s="2">
        <v>13.033</v>
      </c>
      <c r="Q74" s="2">
        <v>14.004</v>
      </c>
      <c r="R74" s="2">
        <v>15.037</v>
      </c>
      <c r="S74" s="2">
        <v>15.474</v>
      </c>
      <c r="T74" s="2">
        <v>15.803</v>
      </c>
      <c r="U74" s="2">
        <v>16.137</v>
      </c>
      <c r="V74" s="2">
        <v>16.478</v>
      </c>
      <c r="W74" s="2">
        <v>16.824</v>
      </c>
      <c r="X74" s="2">
        <v>17.176</v>
      </c>
      <c r="Y74" s="2">
        <v>17.533</v>
      </c>
      <c r="Z74" s="2">
        <v>17.897</v>
      </c>
      <c r="AA74" s="2">
        <v>18.266</v>
      </c>
      <c r="AB74" s="2">
        <v>18.641</v>
      </c>
      <c r="AC74" s="2">
        <v>19.022</v>
      </c>
      <c r="AD74" s="2">
        <v>19.41</v>
      </c>
      <c r="AE74" s="2">
        <v>19.803</v>
      </c>
      <c r="AF74" s="2">
        <v>20.202</v>
      </c>
      <c r="AG74" s="2">
        <v>20.607</v>
      </c>
      <c r="AH74" s="2">
        <v>21.018</v>
      </c>
      <c r="AI74" s="2">
        <v>21.434</v>
      </c>
      <c r="AJ74" s="2">
        <v>21.857</v>
      </c>
      <c r="AK74" s="2">
        <v>22.286</v>
      </c>
      <c r="AL74" s="2">
        <v>22.722</v>
      </c>
      <c r="AM74" s="2">
        <v>23.081</v>
      </c>
      <c r="AN74" s="2">
        <v>22.949</v>
      </c>
      <c r="AO74" s="2">
        <v>22.817</v>
      </c>
      <c r="AP74" s="2">
        <v>22.686</v>
      </c>
      <c r="AQ74" s="2">
        <v>22.555</v>
      </c>
      <c r="AR74" s="2">
        <v>22.425</v>
      </c>
      <c r="AS74" s="2">
        <v>22.296</v>
      </c>
      <c r="AT74" s="2">
        <v>22.166</v>
      </c>
      <c r="AU74" s="2">
        <v>22.038</v>
      </c>
      <c r="AV74" s="2">
        <v>21.91</v>
      </c>
      <c r="AW74" s="2">
        <v>21.829</v>
      </c>
      <c r="AX74" s="2">
        <v>22.045</v>
      </c>
      <c r="AY74" s="2">
        <v>22.262</v>
      </c>
      <c r="AZ74" s="2">
        <v>22.48</v>
      </c>
      <c r="BA74" s="2">
        <v>22.7</v>
      </c>
      <c r="BB74" s="2">
        <v>22.849</v>
      </c>
      <c r="BC74" s="2">
        <v>22.999</v>
      </c>
      <c r="BD74" s="2">
        <v>23.149</v>
      </c>
      <c r="BE74" s="2">
        <v>23.3</v>
      </c>
      <c r="BF74" s="2">
        <v>23.459</v>
      </c>
      <c r="BG74" s="2">
        <v>23.625</v>
      </c>
      <c r="BH74" s="2">
        <v>23.799</v>
      </c>
      <c r="BI74" s="2">
        <v>23.981</v>
      </c>
      <c r="BJ74" s="2">
        <v>24.171</v>
      </c>
      <c r="BK74" s="2">
        <v>24.369</v>
      </c>
      <c r="BL74" s="2">
        <v>24.576</v>
      </c>
      <c r="BM74" s="2">
        <v>24.79</v>
      </c>
      <c r="BN74" s="2">
        <v>25.013</v>
      </c>
      <c r="BO74" s="2">
        <v>1173.491</v>
      </c>
    </row>
    <row r="75" ht="14.25" customHeight="1">
      <c r="A75" s="2" t="s">
        <v>453</v>
      </c>
      <c r="B75" s="2">
        <v>6.433</v>
      </c>
      <c r="C75" s="2">
        <v>6.65</v>
      </c>
      <c r="D75" s="2">
        <v>6.874</v>
      </c>
      <c r="E75" s="2">
        <v>7.104</v>
      </c>
      <c r="F75" s="2">
        <v>7.342</v>
      </c>
      <c r="G75" s="2">
        <v>7.587</v>
      </c>
      <c r="H75" s="2">
        <v>7.84</v>
      </c>
      <c r="I75" s="2">
        <v>8.1</v>
      </c>
      <c r="J75" s="2">
        <v>8.26</v>
      </c>
      <c r="K75" s="2">
        <v>8.422</v>
      </c>
      <c r="L75" s="2">
        <v>8.588</v>
      </c>
      <c r="M75" s="2">
        <v>8.756</v>
      </c>
      <c r="N75" s="2">
        <v>8.928</v>
      </c>
      <c r="O75" s="2">
        <v>9.102</v>
      </c>
      <c r="P75" s="2">
        <v>9.279</v>
      </c>
      <c r="Q75" s="2">
        <v>9.46</v>
      </c>
      <c r="R75" s="2">
        <v>9.644</v>
      </c>
      <c r="S75" s="2">
        <v>9.83</v>
      </c>
      <c r="T75" s="2">
        <v>10.02</v>
      </c>
      <c r="U75" s="2">
        <v>10.214</v>
      </c>
      <c r="V75" s="2">
        <v>10.41</v>
      </c>
      <c r="W75" s="2">
        <v>10.61</v>
      </c>
      <c r="X75" s="2">
        <v>10.813</v>
      </c>
      <c r="Y75" s="2">
        <v>11.02</v>
      </c>
      <c r="Z75" s="2">
        <v>11.232</v>
      </c>
      <c r="AA75" s="2">
        <v>11.453</v>
      </c>
      <c r="AB75" s="2">
        <v>11.679</v>
      </c>
      <c r="AC75" s="2">
        <v>11.909</v>
      </c>
      <c r="AD75" s="2">
        <v>12.143</v>
      </c>
      <c r="AE75" s="2">
        <v>12.38</v>
      </c>
      <c r="AF75" s="2">
        <v>12.621</v>
      </c>
      <c r="AG75" s="2">
        <v>12.867</v>
      </c>
      <c r="AH75" s="2">
        <v>13.116</v>
      </c>
      <c r="AI75" s="2">
        <v>13.37</v>
      </c>
      <c r="AJ75" s="2">
        <v>13.627</v>
      </c>
      <c r="AK75" s="2">
        <v>13.827</v>
      </c>
      <c r="AL75" s="2">
        <v>14.006</v>
      </c>
      <c r="AM75" s="2">
        <v>14.186</v>
      </c>
      <c r="AN75" s="2">
        <v>14.369</v>
      </c>
      <c r="AO75" s="2">
        <v>14.553</v>
      </c>
      <c r="AP75" s="2">
        <v>14.74</v>
      </c>
      <c r="AQ75" s="2">
        <v>14.927</v>
      </c>
      <c r="AR75" s="2">
        <v>15.118</v>
      </c>
      <c r="AS75" s="2">
        <v>15.31</v>
      </c>
      <c r="AT75" s="2">
        <v>15.504</v>
      </c>
      <c r="AU75" s="2">
        <v>15.7</v>
      </c>
      <c r="AV75" s="2">
        <v>15.899</v>
      </c>
      <c r="AW75" s="2">
        <v>16.116</v>
      </c>
      <c r="AX75" s="2">
        <v>16.51</v>
      </c>
      <c r="AY75" s="2">
        <v>16.91</v>
      </c>
      <c r="AZ75" s="2">
        <v>17.319</v>
      </c>
      <c r="BA75" s="2">
        <v>17.735</v>
      </c>
      <c r="BB75" s="2">
        <v>18.16</v>
      </c>
      <c r="BC75" s="2">
        <v>18.575</v>
      </c>
      <c r="BD75" s="2">
        <v>18.998</v>
      </c>
      <c r="BE75" s="2">
        <v>19.428</v>
      </c>
      <c r="BF75" s="2">
        <v>19.866</v>
      </c>
      <c r="BG75" s="2">
        <v>20.31</v>
      </c>
      <c r="BH75" s="2">
        <v>20.763</v>
      </c>
      <c r="BI75" s="2">
        <v>21.225</v>
      </c>
      <c r="BJ75" s="2">
        <v>21.695</v>
      </c>
      <c r="BK75" s="2">
        <v>22.174</v>
      </c>
      <c r="BL75" s="2">
        <v>22.661</v>
      </c>
      <c r="BM75" s="2">
        <v>23.157</v>
      </c>
      <c r="BN75" s="2">
        <v>23.661</v>
      </c>
      <c r="BO75" s="2">
        <v>881.0849999999998</v>
      </c>
    </row>
    <row r="76" ht="14.25" customHeight="1">
      <c r="A76" s="2" t="s">
        <v>523</v>
      </c>
      <c r="B76" s="2">
        <v>61.5989140348379</v>
      </c>
      <c r="C76" s="2">
        <v>62.082395574484</v>
      </c>
      <c r="D76" s="2">
        <v>62.5793427740465</v>
      </c>
      <c r="E76" s="2">
        <v>63.1427769796598</v>
      </c>
      <c r="F76" s="2">
        <v>63.7050412705651</v>
      </c>
      <c r="G76" s="2">
        <v>64.2652682259879</v>
      </c>
      <c r="H76" s="2">
        <v>64.8233339967682</v>
      </c>
      <c r="I76" s="2">
        <v>65.3746341185727</v>
      </c>
      <c r="J76" s="2">
        <v>65.8796331122694</v>
      </c>
      <c r="K76" s="2">
        <v>66.3105174485486</v>
      </c>
      <c r="L76" s="2">
        <v>66.7318813150292</v>
      </c>
      <c r="M76" s="2">
        <v>67.1322516674238</v>
      </c>
      <c r="N76" s="2">
        <v>67.4728390536131</v>
      </c>
      <c r="O76" s="2">
        <v>67.7915966815168</v>
      </c>
      <c r="P76" s="2">
        <v>68.0988628072455</v>
      </c>
      <c r="Q76" s="2">
        <v>68.3584713668915</v>
      </c>
      <c r="R76" s="2">
        <v>68.5868897414306</v>
      </c>
      <c r="S76" s="2">
        <v>68.836245796136</v>
      </c>
      <c r="T76" s="2">
        <v>69.0873303994695</v>
      </c>
      <c r="U76" s="2">
        <v>69.3369727205215</v>
      </c>
      <c r="V76" s="2">
        <v>69.5853305174869</v>
      </c>
      <c r="W76" s="2">
        <v>69.8303281520472</v>
      </c>
      <c r="X76" s="2">
        <v>69.9870959150213</v>
      </c>
      <c r="Y76" s="2">
        <v>70.0987145868905</v>
      </c>
      <c r="Z76" s="2">
        <v>70.1699020015187</v>
      </c>
      <c r="AA76" s="2">
        <v>70.2259740203888</v>
      </c>
      <c r="AB76" s="2">
        <v>70.3183838886429</v>
      </c>
      <c r="AC76" s="2">
        <v>70.4894710909138</v>
      </c>
      <c r="AD76" s="2">
        <v>70.6516889212549</v>
      </c>
      <c r="AE76" s="2">
        <v>70.7637966481984</v>
      </c>
      <c r="AF76" s="2">
        <v>70.9148936965099</v>
      </c>
      <c r="AG76" s="2">
        <v>71.0869764235837</v>
      </c>
      <c r="AH76" s="2">
        <v>71.2455338066009</v>
      </c>
      <c r="AI76" s="2">
        <v>71.4103461896313</v>
      </c>
      <c r="AJ76" s="2">
        <v>71.5910921231189</v>
      </c>
      <c r="AK76" s="2">
        <v>71.7723044852665</v>
      </c>
      <c r="AL76" s="2">
        <v>71.9535595313909</v>
      </c>
      <c r="AM76" s="2">
        <v>72.1299808095528</v>
      </c>
      <c r="AN76" s="2">
        <v>72.3031613141413</v>
      </c>
      <c r="AO76" s="2">
        <v>72.4819824222128</v>
      </c>
      <c r="AP76" s="2">
        <v>72.6745214592449</v>
      </c>
      <c r="AQ76" s="2">
        <v>72.890626594255</v>
      </c>
      <c r="AR76" s="2">
        <v>73.1337517593937</v>
      </c>
      <c r="AS76" s="2">
        <v>73.3835527488814</v>
      </c>
      <c r="AT76" s="2">
        <v>73.6282526962227</v>
      </c>
      <c r="AU76" s="2">
        <v>73.8702765468753</v>
      </c>
      <c r="AV76" s="2">
        <v>74.1071888850381</v>
      </c>
      <c r="AW76" s="2">
        <v>74.335325070015</v>
      </c>
      <c r="AX76" s="2">
        <v>74.5609913920847</v>
      </c>
      <c r="AY76" s="2">
        <v>74.7874335901435</v>
      </c>
      <c r="AZ76" s="2">
        <v>75.0167628883867</v>
      </c>
      <c r="BA76" s="2">
        <v>75.2411698356352</v>
      </c>
      <c r="BB76" s="2">
        <v>75.4569184847162</v>
      </c>
      <c r="BC76" s="2">
        <v>75.6755763098784</v>
      </c>
      <c r="BD76" s="2">
        <v>75.8877298191384</v>
      </c>
      <c r="BE76" s="2">
        <v>76.102941553299</v>
      </c>
      <c r="BF76" s="2">
        <v>76.3197588251561</v>
      </c>
      <c r="BG76" s="2">
        <v>76.5414998212393</v>
      </c>
      <c r="BH76" s="2">
        <v>76.7633481741657</v>
      </c>
      <c r="BI76" s="2">
        <v>76.9997231691574</v>
      </c>
      <c r="BJ76" s="2">
        <v>77.234981359365</v>
      </c>
      <c r="BK76" s="2">
        <v>77.4716240507127</v>
      </c>
      <c r="BL76" s="2">
        <v>77.7126830118197</v>
      </c>
      <c r="BM76" s="2">
        <v>77.9560411264664</v>
      </c>
      <c r="BN76" s="2">
        <v>78.2047154149855</v>
      </c>
      <c r="BO76" s="2">
        <v>4626.163110215665</v>
      </c>
    </row>
    <row r="77" ht="14.25" customHeight="1">
      <c r="A77" s="2" t="s">
        <v>135</v>
      </c>
      <c r="B77" s="2">
        <v>55.553158388981</v>
      </c>
      <c r="C77" s="2">
        <v>56.0815539558601</v>
      </c>
      <c r="D77" s="2">
        <v>56.608387067846</v>
      </c>
      <c r="E77" s="2">
        <v>57.1606311646177</v>
      </c>
      <c r="F77" s="2">
        <v>57.7116872718098</v>
      </c>
      <c r="G77" s="2">
        <v>58.2714178777038</v>
      </c>
      <c r="H77" s="2">
        <v>58.8284756694204</v>
      </c>
      <c r="I77" s="2">
        <v>59.3714978423661</v>
      </c>
      <c r="J77" s="2">
        <v>59.8960320214994</v>
      </c>
      <c r="K77" s="2">
        <v>60.3908609619172</v>
      </c>
      <c r="L77" s="2">
        <v>60.8808696480032</v>
      </c>
      <c r="M77" s="2">
        <v>61.3551372579753</v>
      </c>
      <c r="N77" s="2">
        <v>61.8177988250413</v>
      </c>
      <c r="O77" s="2">
        <v>62.2682874560276</v>
      </c>
      <c r="P77" s="2">
        <v>62.7089680668784</v>
      </c>
      <c r="Q77" s="2">
        <v>63.1166013337478</v>
      </c>
      <c r="R77" s="2">
        <v>63.4982082315867</v>
      </c>
      <c r="S77" s="2">
        <v>63.8825021103974</v>
      </c>
      <c r="T77" s="2">
        <v>64.2714301018171</v>
      </c>
      <c r="U77" s="2">
        <v>64.6253687500747</v>
      </c>
      <c r="V77" s="2">
        <v>64.9328663633894</v>
      </c>
      <c r="W77" s="2">
        <v>65.2722918593574</v>
      </c>
      <c r="X77" s="2">
        <v>65.5756526282047</v>
      </c>
      <c r="Y77" s="2">
        <v>65.8613064427927</v>
      </c>
      <c r="Z77" s="2">
        <v>66.1363935183146</v>
      </c>
      <c r="AA77" s="2">
        <v>66.4014243571033</v>
      </c>
      <c r="AB77" s="2">
        <v>66.6607042905936</v>
      </c>
      <c r="AC77" s="2">
        <v>66.9403121507167</v>
      </c>
      <c r="AD77" s="2">
        <v>67.2191909207101</v>
      </c>
      <c r="AE77" s="2">
        <v>67.4173572425817</v>
      </c>
      <c r="AF77" s="2">
        <v>67.5617149596775</v>
      </c>
      <c r="AG77" s="2">
        <v>67.6950459424704</v>
      </c>
      <c r="AH77" s="2">
        <v>67.8061315166816</v>
      </c>
      <c r="AI77" s="2">
        <v>67.9120234110694</v>
      </c>
      <c r="AJ77" s="2">
        <v>68.0232136109501</v>
      </c>
      <c r="AK77" s="2">
        <v>68.1327712809994</v>
      </c>
      <c r="AL77" s="2">
        <v>68.2368672044038</v>
      </c>
      <c r="AM77" s="2">
        <v>68.3436208499154</v>
      </c>
      <c r="AN77" s="2">
        <v>68.4550448189349</v>
      </c>
      <c r="AO77" s="2">
        <v>68.5714218019652</v>
      </c>
      <c r="AP77" s="2">
        <v>68.6999129390518</v>
      </c>
      <c r="AQ77" s="2">
        <v>68.8544702516437</v>
      </c>
      <c r="AR77" s="2">
        <v>69.0540819801949</v>
      </c>
      <c r="AS77" s="2">
        <v>69.2634193650142</v>
      </c>
      <c r="AT77" s="2">
        <v>69.4756187678949</v>
      </c>
      <c r="AU77" s="2">
        <v>69.6905206649958</v>
      </c>
      <c r="AV77" s="2">
        <v>69.9044563599283</v>
      </c>
      <c r="AW77" s="2">
        <v>70.1216093273013</v>
      </c>
      <c r="AX77" s="2">
        <v>70.3352580229127</v>
      </c>
      <c r="AY77" s="2">
        <v>70.540609283588</v>
      </c>
      <c r="AZ77" s="2">
        <v>70.7423279713979</v>
      </c>
      <c r="BA77" s="2">
        <v>70.9254293147007</v>
      </c>
      <c r="BB77" s="2">
        <v>71.0995802377692</v>
      </c>
      <c r="BC77" s="2">
        <v>71.2714715683546</v>
      </c>
      <c r="BD77" s="2">
        <v>71.4427438586557</v>
      </c>
      <c r="BE77" s="2">
        <v>71.6193597607358</v>
      </c>
      <c r="BF77" s="2">
        <v>71.8018319488657</v>
      </c>
      <c r="BG77" s="2">
        <v>71.9870065472809</v>
      </c>
      <c r="BH77" s="2">
        <v>72.1787895688215</v>
      </c>
      <c r="BI77" s="2">
        <v>72.378819157659</v>
      </c>
      <c r="BJ77" s="2">
        <v>72.5846286655556</v>
      </c>
      <c r="BK77" s="2">
        <v>72.7998575512772</v>
      </c>
      <c r="BL77" s="2">
        <v>73.0396201290605</v>
      </c>
      <c r="BM77" s="2">
        <v>73.283486173953</v>
      </c>
      <c r="BN77" s="2">
        <v>73.5167743020799</v>
      </c>
      <c r="BO77" s="2">
        <v>4328.0659128930965</v>
      </c>
    </row>
    <row r="78" ht="14.25" customHeight="1">
      <c r="A78" s="2" t="s">
        <v>524</v>
      </c>
      <c r="B78" s="2">
        <v>38.7021152293627</v>
      </c>
      <c r="C78" s="2">
        <v>39.3207644806972</v>
      </c>
      <c r="D78" s="2">
        <v>39.9323705283941</v>
      </c>
      <c r="E78" s="2">
        <v>40.5435061565798</v>
      </c>
      <c r="F78" s="2">
        <v>41.1562774152946</v>
      </c>
      <c r="G78" s="2">
        <v>41.799776759461</v>
      </c>
      <c r="H78" s="2">
        <v>42.4800628793958</v>
      </c>
      <c r="I78" s="2">
        <v>43.1783090629226</v>
      </c>
      <c r="J78" s="2">
        <v>43.8771748758335</v>
      </c>
      <c r="K78" s="2">
        <v>44.5705573022749</v>
      </c>
      <c r="L78" s="2">
        <v>45.2577981018052</v>
      </c>
      <c r="M78" s="2">
        <v>45.8953424483013</v>
      </c>
      <c r="N78" s="2">
        <v>46.492108032824</v>
      </c>
      <c r="O78" s="2">
        <v>47.0841445032669</v>
      </c>
      <c r="P78" s="2">
        <v>47.6695232413566</v>
      </c>
      <c r="Q78" s="2">
        <v>48.2128360125636</v>
      </c>
      <c r="R78" s="2">
        <v>48.7141185278921</v>
      </c>
      <c r="S78" s="2">
        <v>49.1918256922056</v>
      </c>
      <c r="T78" s="2">
        <v>49.6673022506302</v>
      </c>
      <c r="U78" s="2">
        <v>50.1051068162352</v>
      </c>
      <c r="V78" s="2">
        <v>50.495900474325</v>
      </c>
      <c r="W78" s="2">
        <v>51.1294253062016</v>
      </c>
      <c r="X78" s="2">
        <v>51.8428179738707</v>
      </c>
      <c r="Y78" s="2">
        <v>52.5568593013402</v>
      </c>
      <c r="Z78" s="2">
        <v>53.2767948170889</v>
      </c>
      <c r="AA78" s="2">
        <v>53.9637109236397</v>
      </c>
      <c r="AB78" s="2">
        <v>54.5623936858157</v>
      </c>
      <c r="AC78" s="2">
        <v>55.1175452184096</v>
      </c>
      <c r="AD78" s="2">
        <v>55.6699744082895</v>
      </c>
      <c r="AE78" s="2">
        <v>56.1294969712326</v>
      </c>
      <c r="AF78" s="2">
        <v>56.4927476026318</v>
      </c>
      <c r="AG78" s="2">
        <v>56.7257182743948</v>
      </c>
      <c r="AH78" s="2">
        <v>56.9096031784806</v>
      </c>
      <c r="AI78" s="2">
        <v>57.1054333787151</v>
      </c>
      <c r="AJ78" s="2">
        <v>57.280901459371</v>
      </c>
      <c r="AK78" s="2">
        <v>57.4436700759071</v>
      </c>
      <c r="AL78" s="2">
        <v>57.5990531704673</v>
      </c>
      <c r="AM78" s="2">
        <v>57.762505565426</v>
      </c>
      <c r="AN78" s="2">
        <v>57.9421177193462</v>
      </c>
      <c r="AO78" s="2">
        <v>58.1402608117889</v>
      </c>
      <c r="AP78" s="2">
        <v>58.3666591945726</v>
      </c>
      <c r="AQ78" s="2">
        <v>58.6209775355286</v>
      </c>
      <c r="AR78" s="2">
        <v>58.913248330494</v>
      </c>
      <c r="AS78" s="2">
        <v>59.2249325901426</v>
      </c>
      <c r="AT78" s="2">
        <v>59.5415478617922</v>
      </c>
      <c r="AU78" s="2">
        <v>59.8615334531593</v>
      </c>
      <c r="AV78" s="2">
        <v>60.1832466998388</v>
      </c>
      <c r="AW78" s="2">
        <v>60.484626742263</v>
      </c>
      <c r="AX78" s="2">
        <v>60.8097209766359</v>
      </c>
      <c r="AY78" s="2">
        <v>61.1348068231507</v>
      </c>
      <c r="AZ78" s="2">
        <v>61.4519143883621</v>
      </c>
      <c r="BA78" s="2">
        <v>61.7326506199101</v>
      </c>
      <c r="BB78" s="2">
        <v>61.9656250023103</v>
      </c>
      <c r="BC78" s="2">
        <v>62.1908557834384</v>
      </c>
      <c r="BD78" s="2">
        <v>62.4124312631</v>
      </c>
      <c r="BE78" s="2">
        <v>62.631817573799</v>
      </c>
      <c r="BF78" s="2">
        <v>62.852659874463</v>
      </c>
      <c r="BG78" s="2">
        <v>63.0728825951757</v>
      </c>
      <c r="BH78" s="2">
        <v>63.3013485933656</v>
      </c>
      <c r="BI78" s="2">
        <v>63.5381802571839</v>
      </c>
      <c r="BJ78" s="2">
        <v>63.7631153787726</v>
      </c>
      <c r="BK78" s="2">
        <v>63.9919790909835</v>
      </c>
      <c r="BL78" s="2">
        <v>64.169725876266</v>
      </c>
      <c r="BM78" s="2">
        <v>64.3256308045369</v>
      </c>
      <c r="BN78" s="2">
        <v>64.5629774408212</v>
      </c>
      <c r="BO78" s="2">
        <v>3545.1030453841054</v>
      </c>
    </row>
    <row r="79" ht="14.25" customHeight="1">
      <c r="A79" s="2" t="s">
        <v>525</v>
      </c>
      <c r="B79" s="2">
        <v>45.0170741485597</v>
      </c>
      <c r="C79" s="2">
        <v>45.7548531601462</v>
      </c>
      <c r="D79" s="2">
        <v>46.4696119718954</v>
      </c>
      <c r="E79" s="2">
        <v>47.1849720445399</v>
      </c>
      <c r="F79" s="2">
        <v>47.90079627645</v>
      </c>
      <c r="G79" s="2">
        <v>48.6289595219177</v>
      </c>
      <c r="H79" s="2">
        <v>49.3385345376106</v>
      </c>
      <c r="I79" s="2">
        <v>50.0357043657333</v>
      </c>
      <c r="J79" s="2">
        <v>50.7340116700696</v>
      </c>
      <c r="K79" s="2">
        <v>51.4282759014756</v>
      </c>
      <c r="L79" s="2">
        <v>52.1158530133358</v>
      </c>
      <c r="M79" s="2">
        <v>52.779901376171</v>
      </c>
      <c r="N79" s="2">
        <v>53.4284913992823</v>
      </c>
      <c r="O79" s="2">
        <v>54.0732758169854</v>
      </c>
      <c r="P79" s="2">
        <v>54.7121996546498</v>
      </c>
      <c r="Q79" s="2">
        <v>55.3276495154849</v>
      </c>
      <c r="R79" s="2">
        <v>55.923513536316</v>
      </c>
      <c r="S79" s="2">
        <v>56.5086227217186</v>
      </c>
      <c r="T79" s="2">
        <v>57.0959319803624</v>
      </c>
      <c r="U79" s="2">
        <v>57.6058933758601</v>
      </c>
      <c r="V79" s="2">
        <v>58.0260472920753</v>
      </c>
      <c r="W79" s="2">
        <v>58.5463722012969</v>
      </c>
      <c r="X79" s="2">
        <v>59.097529758</v>
      </c>
      <c r="Y79" s="2">
        <v>59.645876106389</v>
      </c>
      <c r="Z79" s="2">
        <v>60.2025288243013</v>
      </c>
      <c r="AA79" s="2">
        <v>60.7434801796998</v>
      </c>
      <c r="AB79" s="2">
        <v>61.2380465602347</v>
      </c>
      <c r="AC79" s="2">
        <v>61.709126967427</v>
      </c>
      <c r="AD79" s="2">
        <v>62.1782088893989</v>
      </c>
      <c r="AE79" s="2">
        <v>62.5159056467515</v>
      </c>
      <c r="AF79" s="2">
        <v>62.709379854935</v>
      </c>
      <c r="AG79" s="2">
        <v>62.860867813454</v>
      </c>
      <c r="AH79" s="2">
        <v>62.9610022181527</v>
      </c>
      <c r="AI79" s="2">
        <v>63.0372390272075</v>
      </c>
      <c r="AJ79" s="2">
        <v>63.1093119376968</v>
      </c>
      <c r="AK79" s="2">
        <v>63.1806138940417</v>
      </c>
      <c r="AL79" s="2">
        <v>63.2439767741357</v>
      </c>
      <c r="AM79" s="2">
        <v>63.3130326374189</v>
      </c>
      <c r="AN79" s="2">
        <v>63.3905913772922</v>
      </c>
      <c r="AO79" s="2">
        <v>63.4712767633701</v>
      </c>
      <c r="AP79" s="2">
        <v>63.561740048542</v>
      </c>
      <c r="AQ79" s="2">
        <v>63.6750137137482</v>
      </c>
      <c r="AR79" s="2">
        <v>63.8085359530661</v>
      </c>
      <c r="AS79" s="2">
        <v>63.9584883645412</v>
      </c>
      <c r="AT79" s="2">
        <v>64.1167990826192</v>
      </c>
      <c r="AU79" s="2">
        <v>64.2792705525898</v>
      </c>
      <c r="AV79" s="2">
        <v>64.4441869181252</v>
      </c>
      <c r="AW79" s="2">
        <v>64.6132975111846</v>
      </c>
      <c r="AX79" s="2">
        <v>64.7910470567354</v>
      </c>
      <c r="AY79" s="2">
        <v>64.9652673388567</v>
      </c>
      <c r="AZ79" s="2">
        <v>65.1362336538206</v>
      </c>
      <c r="BA79" s="2">
        <v>65.2896834847151</v>
      </c>
      <c r="BB79" s="2">
        <v>65.4208965118103</v>
      </c>
      <c r="BC79" s="2">
        <v>65.5493192956303</v>
      </c>
      <c r="BD79" s="2">
        <v>65.6821834722408</v>
      </c>
      <c r="BE79" s="2">
        <v>65.8203157701267</v>
      </c>
      <c r="BF79" s="2">
        <v>65.9672037692397</v>
      </c>
      <c r="BG79" s="2">
        <v>66.1211888619255</v>
      </c>
      <c r="BH79" s="2">
        <v>66.2842724108461</v>
      </c>
      <c r="BI79" s="2">
        <v>66.4578157383552</v>
      </c>
      <c r="BJ79" s="2">
        <v>66.6377675914123</v>
      </c>
      <c r="BK79" s="2">
        <v>66.8270365388466</v>
      </c>
      <c r="BL79" s="2">
        <v>67.0058080559943</v>
      </c>
      <c r="BM79" s="2">
        <v>67.1812944997937</v>
      </c>
      <c r="BN79" s="2">
        <v>67.3900474271569</v>
      </c>
      <c r="BO79" s="2">
        <v>3902.229254333766</v>
      </c>
    </row>
    <row r="80" ht="14.25" customHeight="1">
      <c r="A80" s="2" t="s">
        <v>526</v>
      </c>
      <c r="B80" s="2">
        <v>58.6838548055159</v>
      </c>
      <c r="C80" s="2">
        <v>59.222446831347</v>
      </c>
      <c r="D80" s="2">
        <v>59.7572790831742</v>
      </c>
      <c r="E80" s="2">
        <v>60.3414249783147</v>
      </c>
      <c r="F80" s="2">
        <v>60.9248157856746</v>
      </c>
      <c r="G80" s="2">
        <v>61.5109841402173</v>
      </c>
      <c r="H80" s="2">
        <v>62.0811688016022</v>
      </c>
      <c r="I80" s="2">
        <v>62.6189616255052</v>
      </c>
      <c r="J80" s="2">
        <v>63.1227916191935</v>
      </c>
      <c r="K80" s="2">
        <v>63.5757658671769</v>
      </c>
      <c r="L80" s="2">
        <v>64.0228377372325</v>
      </c>
      <c r="M80" s="2">
        <v>64.4693494121661</v>
      </c>
      <c r="N80" s="2">
        <v>64.8804945531597</v>
      </c>
      <c r="O80" s="2">
        <v>65.2728830434736</v>
      </c>
      <c r="P80" s="2">
        <v>65.6528474640996</v>
      </c>
      <c r="Q80" s="2">
        <v>65.9889780823304</v>
      </c>
      <c r="R80" s="2">
        <v>66.2960151245065</v>
      </c>
      <c r="S80" s="2">
        <v>66.6229670648396</v>
      </c>
      <c r="T80" s="2">
        <v>66.9591162642208</v>
      </c>
      <c r="U80" s="2">
        <v>67.2832582573038</v>
      </c>
      <c r="V80" s="2">
        <v>67.5919957662218</v>
      </c>
      <c r="W80" s="2">
        <v>67.8645829147077</v>
      </c>
      <c r="X80" s="2">
        <v>68.060299597732</v>
      </c>
      <c r="Y80" s="2">
        <v>68.2235273066636</v>
      </c>
      <c r="Z80" s="2">
        <v>68.3568033021608</v>
      </c>
      <c r="AA80" s="2">
        <v>68.4798656157017</v>
      </c>
      <c r="AB80" s="2">
        <v>68.6302291375085</v>
      </c>
      <c r="AC80" s="2">
        <v>68.8393716267252</v>
      </c>
      <c r="AD80" s="2">
        <v>69.0445031634795</v>
      </c>
      <c r="AE80" s="2">
        <v>69.1991049638756</v>
      </c>
      <c r="AF80" s="2">
        <v>69.3690920054437</v>
      </c>
      <c r="AG80" s="2">
        <v>69.5590006501877</v>
      </c>
      <c r="AH80" s="2">
        <v>69.715890797604</v>
      </c>
      <c r="AI80" s="2">
        <v>69.8456835061612</v>
      </c>
      <c r="AJ80" s="2">
        <v>69.9860393033238</v>
      </c>
      <c r="AK80" s="2">
        <v>70.1268366665122</v>
      </c>
      <c r="AL80" s="2">
        <v>70.2668131567703</v>
      </c>
      <c r="AM80" s="2">
        <v>70.401525647547</v>
      </c>
      <c r="AN80" s="2">
        <v>70.533151845158</v>
      </c>
      <c r="AO80" s="2">
        <v>70.6697632296034</v>
      </c>
      <c r="AP80" s="2">
        <v>70.8257617510046</v>
      </c>
      <c r="AQ80" s="2">
        <v>71.0122593876759</v>
      </c>
      <c r="AR80" s="2">
        <v>71.2401628189884</v>
      </c>
      <c r="AS80" s="2">
        <v>71.4619792178923</v>
      </c>
      <c r="AT80" s="2">
        <v>71.6797455781348</v>
      </c>
      <c r="AU80" s="2">
        <v>71.897994774521</v>
      </c>
      <c r="AV80" s="2">
        <v>72.1140855435957</v>
      </c>
      <c r="AW80" s="2">
        <v>72.3331564783875</v>
      </c>
      <c r="AX80" s="2">
        <v>72.551034024552</v>
      </c>
      <c r="AY80" s="2">
        <v>72.7585269115745</v>
      </c>
      <c r="AZ80" s="2">
        <v>72.9664289080432</v>
      </c>
      <c r="BA80" s="2">
        <v>73.1608223836712</v>
      </c>
      <c r="BB80" s="2">
        <v>73.3498260906621</v>
      </c>
      <c r="BC80" s="2">
        <v>73.5388052677658</v>
      </c>
      <c r="BD80" s="2">
        <v>73.7231874097275</v>
      </c>
      <c r="BE80" s="2">
        <v>73.9141353825645</v>
      </c>
      <c r="BF80" s="2">
        <v>74.1111569045568</v>
      </c>
      <c r="BG80" s="2">
        <v>74.3137180838516</v>
      </c>
      <c r="BH80" s="2">
        <v>74.5212870645992</v>
      </c>
      <c r="BI80" s="2">
        <v>74.7405842986022</v>
      </c>
      <c r="BJ80" s="2">
        <v>74.9759872159918</v>
      </c>
      <c r="BK80" s="2">
        <v>75.2201807496594</v>
      </c>
      <c r="BL80" s="2">
        <v>75.4620574704141</v>
      </c>
      <c r="BM80" s="2">
        <v>75.7038805325455</v>
      </c>
      <c r="BN80" s="2">
        <v>75.949283176978</v>
      </c>
      <c r="BO80" s="2">
        <v>4487.5783681701</v>
      </c>
    </row>
    <row r="81" ht="14.25" customHeight="1">
      <c r="A81" s="2" t="s">
        <v>527</v>
      </c>
      <c r="B81" s="2">
        <v>21.383</v>
      </c>
      <c r="C81" s="2">
        <v>22.141</v>
      </c>
      <c r="D81" s="2">
        <v>22.962</v>
      </c>
      <c r="E81" s="2">
        <v>23.805</v>
      </c>
      <c r="F81" s="2">
        <v>24.669</v>
      </c>
      <c r="G81" s="2">
        <v>25.553</v>
      </c>
      <c r="H81" s="2">
        <v>26.328</v>
      </c>
      <c r="I81" s="2">
        <v>26.723</v>
      </c>
      <c r="J81" s="2">
        <v>27.122</v>
      </c>
      <c r="K81" s="2">
        <v>27.524</v>
      </c>
      <c r="L81" s="2">
        <v>27.951</v>
      </c>
      <c r="M81" s="2">
        <v>28.417</v>
      </c>
      <c r="N81" s="2">
        <v>28.888</v>
      </c>
      <c r="O81" s="2">
        <v>29.362</v>
      </c>
      <c r="P81" s="2">
        <v>29.842</v>
      </c>
      <c r="Q81" s="2">
        <v>30.326</v>
      </c>
      <c r="R81" s="2">
        <v>30.815</v>
      </c>
      <c r="S81" s="2">
        <v>31.307</v>
      </c>
      <c r="T81" s="2">
        <v>31.355</v>
      </c>
      <c r="U81" s="2">
        <v>31.27</v>
      </c>
      <c r="V81" s="2">
        <v>31.186</v>
      </c>
      <c r="W81" s="2">
        <v>31.101</v>
      </c>
      <c r="X81" s="2">
        <v>31.017</v>
      </c>
      <c r="Y81" s="2">
        <v>30.933</v>
      </c>
      <c r="Z81" s="2">
        <v>30.849</v>
      </c>
      <c r="AA81" s="2">
        <v>30.766</v>
      </c>
      <c r="AB81" s="2">
        <v>30.682</v>
      </c>
      <c r="AC81" s="2">
        <v>30.598</v>
      </c>
      <c r="AD81" s="2">
        <v>30.515</v>
      </c>
      <c r="AE81" s="2">
        <v>30.432</v>
      </c>
      <c r="AF81" s="2">
        <v>30.594</v>
      </c>
      <c r="AG81" s="2">
        <v>31.154</v>
      </c>
      <c r="AH81" s="2">
        <v>31.872</v>
      </c>
      <c r="AI81" s="2">
        <v>32.596</v>
      </c>
      <c r="AJ81" s="2">
        <v>33.33</v>
      </c>
      <c r="AK81" s="2">
        <v>34.071</v>
      </c>
      <c r="AL81" s="2">
        <v>34.822</v>
      </c>
      <c r="AM81" s="2">
        <v>35.354</v>
      </c>
      <c r="AN81" s="2">
        <v>35.654</v>
      </c>
      <c r="AO81" s="2">
        <v>35.86</v>
      </c>
      <c r="AP81" s="2">
        <v>36.337</v>
      </c>
      <c r="AQ81" s="2">
        <v>37.175</v>
      </c>
      <c r="AR81" s="2">
        <v>38.022</v>
      </c>
      <c r="AS81" s="2">
        <v>38.714</v>
      </c>
      <c r="AT81" s="2">
        <v>39.247</v>
      </c>
      <c r="AU81" s="2">
        <v>39.781</v>
      </c>
      <c r="AV81" s="2">
        <v>40.147</v>
      </c>
      <c r="AW81" s="2">
        <v>40.341</v>
      </c>
      <c r="AX81" s="2">
        <v>40.536</v>
      </c>
      <c r="AY81" s="2">
        <v>40.731</v>
      </c>
      <c r="AZ81" s="2">
        <v>40.926</v>
      </c>
      <c r="BA81" s="2">
        <v>41.088</v>
      </c>
      <c r="BB81" s="2">
        <v>41.225</v>
      </c>
      <c r="BC81" s="2">
        <v>41.363</v>
      </c>
      <c r="BD81" s="2">
        <v>41.501</v>
      </c>
      <c r="BE81" s="2">
        <v>41.638</v>
      </c>
      <c r="BF81" s="2">
        <v>41.777</v>
      </c>
      <c r="BG81" s="2">
        <v>41.914</v>
      </c>
      <c r="BH81" s="2">
        <v>42.064</v>
      </c>
      <c r="BI81" s="2">
        <v>42.225</v>
      </c>
      <c r="BJ81" s="2">
        <v>42.398</v>
      </c>
      <c r="BK81" s="2">
        <v>42.583</v>
      </c>
      <c r="BL81" s="2">
        <v>42.779</v>
      </c>
      <c r="BM81" s="2">
        <v>42.987</v>
      </c>
      <c r="BN81" s="2">
        <v>43.206</v>
      </c>
      <c r="BO81" s="2">
        <v>2211.8339999999994</v>
      </c>
    </row>
    <row r="82" ht="14.25" customHeight="1">
      <c r="A82" s="2" t="s">
        <v>51</v>
      </c>
      <c r="B82" s="2">
        <v>29.681</v>
      </c>
      <c r="C82" s="2">
        <v>30.248</v>
      </c>
      <c r="D82" s="2">
        <v>30.823</v>
      </c>
      <c r="E82" s="2">
        <v>31.403</v>
      </c>
      <c r="F82" s="2">
        <v>31.991</v>
      </c>
      <c r="G82" s="2">
        <v>32.582</v>
      </c>
      <c r="H82" s="2">
        <v>33.18</v>
      </c>
      <c r="I82" s="2">
        <v>33.604</v>
      </c>
      <c r="J82" s="2">
        <v>33.987</v>
      </c>
      <c r="K82" s="2">
        <v>34.371</v>
      </c>
      <c r="L82" s="2">
        <v>34.758</v>
      </c>
      <c r="M82" s="2">
        <v>35.147</v>
      </c>
      <c r="N82" s="2">
        <v>35.538</v>
      </c>
      <c r="O82" s="2">
        <v>35.93</v>
      </c>
      <c r="P82" s="2">
        <v>36.324</v>
      </c>
      <c r="Q82" s="2">
        <v>36.721</v>
      </c>
      <c r="R82" s="2">
        <v>37.119</v>
      </c>
      <c r="S82" s="2">
        <v>37.319</v>
      </c>
      <c r="T82" s="2">
        <v>37.469</v>
      </c>
      <c r="U82" s="2">
        <v>37.619</v>
      </c>
      <c r="V82" s="2">
        <v>37.769</v>
      </c>
      <c r="W82" s="2">
        <v>37.919</v>
      </c>
      <c r="X82" s="2">
        <v>38.07</v>
      </c>
      <c r="Y82" s="2">
        <v>38.221</v>
      </c>
      <c r="Z82" s="2">
        <v>38.372</v>
      </c>
      <c r="AA82" s="2">
        <v>38.523</v>
      </c>
      <c r="AB82" s="2">
        <v>38.675</v>
      </c>
      <c r="AC82" s="2">
        <v>39.327</v>
      </c>
      <c r="AD82" s="2">
        <v>40.085</v>
      </c>
      <c r="AE82" s="2">
        <v>40.845</v>
      </c>
      <c r="AF82" s="2">
        <v>41.611</v>
      </c>
      <c r="AG82" s="2">
        <v>42.381</v>
      </c>
      <c r="AH82" s="2">
        <v>43.156</v>
      </c>
      <c r="AI82" s="2">
        <v>43.933</v>
      </c>
      <c r="AJ82" s="2">
        <v>44.713</v>
      </c>
      <c r="AK82" s="2">
        <v>45.496</v>
      </c>
      <c r="AL82" s="2">
        <v>46.282</v>
      </c>
      <c r="AM82" s="2">
        <v>46.732</v>
      </c>
      <c r="AN82" s="2">
        <v>47.123</v>
      </c>
      <c r="AO82" s="2">
        <v>47.515</v>
      </c>
      <c r="AP82" s="2">
        <v>47.908</v>
      </c>
      <c r="AQ82" s="2">
        <v>48.3</v>
      </c>
      <c r="AR82" s="2">
        <v>48.692</v>
      </c>
      <c r="AS82" s="2">
        <v>49.085</v>
      </c>
      <c r="AT82" s="2">
        <v>49.479</v>
      </c>
      <c r="AU82" s="2">
        <v>49.871</v>
      </c>
      <c r="AV82" s="2">
        <v>50.264</v>
      </c>
      <c r="AW82" s="2">
        <v>50.657</v>
      </c>
      <c r="AX82" s="2">
        <v>51.146</v>
      </c>
      <c r="AY82" s="2">
        <v>51.658</v>
      </c>
      <c r="AZ82" s="2">
        <v>52.171</v>
      </c>
      <c r="BA82" s="2">
        <v>52.683</v>
      </c>
      <c r="BB82" s="2">
        <v>53.196</v>
      </c>
      <c r="BC82" s="2">
        <v>53.706</v>
      </c>
      <c r="BD82" s="2">
        <v>54.216</v>
      </c>
      <c r="BE82" s="2">
        <v>54.726</v>
      </c>
      <c r="BF82" s="2">
        <v>55.235</v>
      </c>
      <c r="BG82" s="2">
        <v>55.742</v>
      </c>
      <c r="BH82" s="2">
        <v>56.248</v>
      </c>
      <c r="BI82" s="2">
        <v>56.75</v>
      </c>
      <c r="BJ82" s="2">
        <v>57.247</v>
      </c>
      <c r="BK82" s="2">
        <v>57.74</v>
      </c>
      <c r="BL82" s="2">
        <v>58.229</v>
      </c>
      <c r="BM82" s="2">
        <v>58.713</v>
      </c>
      <c r="BN82" s="2">
        <v>59.192</v>
      </c>
      <c r="BO82" s="2">
        <v>2855.416</v>
      </c>
    </row>
    <row r="83" ht="14.25" customHeight="1">
      <c r="A83" s="2" t="s">
        <v>52</v>
      </c>
      <c r="B83" s="2">
        <v>55.29</v>
      </c>
      <c r="C83" s="2">
        <v>56.321</v>
      </c>
      <c r="D83" s="2">
        <v>57.162</v>
      </c>
      <c r="E83" s="2">
        <v>57.998</v>
      </c>
      <c r="F83" s="2">
        <v>58.832</v>
      </c>
      <c r="G83" s="2">
        <v>59.658</v>
      </c>
      <c r="H83" s="2">
        <v>60.48</v>
      </c>
      <c r="I83" s="2">
        <v>61.295</v>
      </c>
      <c r="J83" s="2">
        <v>62.106</v>
      </c>
      <c r="K83" s="2">
        <v>62.908</v>
      </c>
      <c r="L83" s="2">
        <v>63.704</v>
      </c>
      <c r="M83" s="2">
        <v>64.523</v>
      </c>
      <c r="N83" s="2">
        <v>65.366</v>
      </c>
      <c r="O83" s="2">
        <v>66.197</v>
      </c>
      <c r="P83" s="2">
        <v>67.019</v>
      </c>
      <c r="Q83" s="2">
        <v>67.831</v>
      </c>
      <c r="R83" s="2">
        <v>68.634</v>
      </c>
      <c r="S83" s="2">
        <v>69.423</v>
      </c>
      <c r="T83" s="2">
        <v>70.202</v>
      </c>
      <c r="U83" s="2">
        <v>70.97</v>
      </c>
      <c r="V83" s="2">
        <v>71.727</v>
      </c>
      <c r="W83" s="2">
        <v>72.528</v>
      </c>
      <c r="X83" s="2">
        <v>73.373</v>
      </c>
      <c r="Y83" s="2">
        <v>74.202</v>
      </c>
      <c r="Z83" s="2">
        <v>75.015</v>
      </c>
      <c r="AA83" s="2">
        <v>75.808</v>
      </c>
      <c r="AB83" s="2">
        <v>76.567</v>
      </c>
      <c r="AC83" s="2">
        <v>77.291</v>
      </c>
      <c r="AD83" s="2">
        <v>78.0</v>
      </c>
      <c r="AE83" s="2">
        <v>78.691</v>
      </c>
      <c r="AF83" s="2">
        <v>79.367</v>
      </c>
      <c r="AG83" s="2">
        <v>79.843</v>
      </c>
      <c r="AH83" s="2">
        <v>80.128</v>
      </c>
      <c r="AI83" s="2">
        <v>80.409</v>
      </c>
      <c r="AJ83" s="2">
        <v>80.688</v>
      </c>
      <c r="AK83" s="2">
        <v>80.963</v>
      </c>
      <c r="AL83" s="2">
        <v>81.223</v>
      </c>
      <c r="AM83" s="2">
        <v>81.466</v>
      </c>
      <c r="AN83" s="2">
        <v>81.707</v>
      </c>
      <c r="AO83" s="2">
        <v>81.946</v>
      </c>
      <c r="AP83" s="2">
        <v>82.183</v>
      </c>
      <c r="AQ83" s="2">
        <v>82.368</v>
      </c>
      <c r="AR83" s="2">
        <v>82.503</v>
      </c>
      <c r="AS83" s="2">
        <v>82.638</v>
      </c>
      <c r="AT83" s="2">
        <v>82.772</v>
      </c>
      <c r="AU83" s="2">
        <v>82.905</v>
      </c>
      <c r="AV83" s="2">
        <v>83.037</v>
      </c>
      <c r="AW83" s="2">
        <v>83.168</v>
      </c>
      <c r="AX83" s="2">
        <v>83.299</v>
      </c>
      <c r="AY83" s="2">
        <v>83.429</v>
      </c>
      <c r="AZ83" s="2">
        <v>83.77</v>
      </c>
      <c r="BA83" s="2">
        <v>84.313</v>
      </c>
      <c r="BB83" s="2">
        <v>84.841</v>
      </c>
      <c r="BC83" s="2">
        <v>85.125</v>
      </c>
      <c r="BD83" s="2">
        <v>85.175</v>
      </c>
      <c r="BE83" s="2">
        <v>85.225</v>
      </c>
      <c r="BF83" s="2">
        <v>85.275</v>
      </c>
      <c r="BG83" s="2">
        <v>85.325</v>
      </c>
      <c r="BH83" s="2">
        <v>85.382</v>
      </c>
      <c r="BI83" s="2">
        <v>85.446</v>
      </c>
      <c r="BJ83" s="2">
        <v>85.517</v>
      </c>
      <c r="BK83" s="2">
        <v>85.596</v>
      </c>
      <c r="BL83" s="2">
        <v>85.681</v>
      </c>
      <c r="BM83" s="2">
        <v>85.773</v>
      </c>
      <c r="BN83" s="2">
        <v>85.872</v>
      </c>
      <c r="BO83" s="2">
        <v>4933.479</v>
      </c>
    </row>
    <row r="84" ht="14.25" customHeight="1">
      <c r="A84" s="2" t="s">
        <v>528</v>
      </c>
      <c r="B84" s="2">
        <v>22.2405728418583</v>
      </c>
      <c r="C84" s="2">
        <v>22.673126420747</v>
      </c>
      <c r="D84" s="2">
        <v>23.102548607569</v>
      </c>
      <c r="E84" s="2">
        <v>23.5411765295411</v>
      </c>
      <c r="F84" s="2">
        <v>23.9786230219244</v>
      </c>
      <c r="G84" s="2">
        <v>24.4418760565968</v>
      </c>
      <c r="H84" s="2">
        <v>24.9024715679624</v>
      </c>
      <c r="I84" s="2">
        <v>25.3658423849483</v>
      </c>
      <c r="J84" s="2">
        <v>25.8205460420394</v>
      </c>
      <c r="K84" s="2">
        <v>26.274349168387</v>
      </c>
      <c r="L84" s="2">
        <v>26.7142878756453</v>
      </c>
      <c r="M84" s="2">
        <v>27.1769648504019</v>
      </c>
      <c r="N84" s="2">
        <v>27.6375667269138</v>
      </c>
      <c r="O84" s="2">
        <v>28.0749125307472</v>
      </c>
      <c r="P84" s="2">
        <v>28.4538674628548</v>
      </c>
      <c r="Q84" s="2">
        <v>28.830527199723</v>
      </c>
      <c r="R84" s="2">
        <v>29.1984372486992</v>
      </c>
      <c r="S84" s="2">
        <v>29.5618431375992</v>
      </c>
      <c r="T84" s="2">
        <v>29.9156480707927</v>
      </c>
      <c r="U84" s="2">
        <v>30.2612335077994</v>
      </c>
      <c r="V84" s="2">
        <v>30.6464568023018</v>
      </c>
      <c r="W84" s="2">
        <v>31.0887016142696</v>
      </c>
      <c r="X84" s="2">
        <v>31.4818028949582</v>
      </c>
      <c r="Y84" s="2">
        <v>31.8960239564836</v>
      </c>
      <c r="Z84" s="2">
        <v>32.3715292027542</v>
      </c>
      <c r="AA84" s="2">
        <v>32.848885231212</v>
      </c>
      <c r="AB84" s="2">
        <v>33.3357453663907</v>
      </c>
      <c r="AC84" s="2">
        <v>33.8253970874011</v>
      </c>
      <c r="AD84" s="2">
        <v>34.2836733572119</v>
      </c>
      <c r="AE84" s="2">
        <v>34.6861397101001</v>
      </c>
      <c r="AF84" s="2">
        <v>35.1732040413617</v>
      </c>
      <c r="AG84" s="2">
        <v>35.4192260571768</v>
      </c>
      <c r="AH84" s="2">
        <v>35.6697487714404</v>
      </c>
      <c r="AI84" s="2">
        <v>35.916746261391</v>
      </c>
      <c r="AJ84" s="2">
        <v>36.0811438392806</v>
      </c>
      <c r="AK84" s="2">
        <v>36.2173923810698</v>
      </c>
      <c r="AL84" s="2">
        <v>36.3915525647019</v>
      </c>
      <c r="AM84" s="2">
        <v>36.5790281022391</v>
      </c>
      <c r="AN84" s="2">
        <v>36.7641634950648</v>
      </c>
      <c r="AO84" s="2">
        <v>36.9575140262641</v>
      </c>
      <c r="AP84" s="2">
        <v>37.1691912917701</v>
      </c>
      <c r="AQ84" s="2">
        <v>37.4540643186163</v>
      </c>
      <c r="AR84" s="2">
        <v>37.7155534815032</v>
      </c>
      <c r="AS84" s="2">
        <v>37.9791887221475</v>
      </c>
      <c r="AT84" s="2">
        <v>38.25502259884</v>
      </c>
      <c r="AU84" s="2">
        <v>38.5403322301542</v>
      </c>
      <c r="AV84" s="2">
        <v>38.8139538806158</v>
      </c>
      <c r="AW84" s="2">
        <v>39.0465050357354</v>
      </c>
      <c r="AX84" s="2">
        <v>39.3944970504354</v>
      </c>
      <c r="AY84" s="2">
        <v>39.7494228049932</v>
      </c>
      <c r="AZ84" s="2">
        <v>40.1115303645566</v>
      </c>
      <c r="BA84" s="2">
        <v>40.4284190361874</v>
      </c>
      <c r="BB84" s="2">
        <v>40.744224534</v>
      </c>
      <c r="BC84" s="2">
        <v>41.0947458588811</v>
      </c>
      <c r="BD84" s="2">
        <v>41.4493013991036</v>
      </c>
      <c r="BE84" s="2">
        <v>41.8328369417415</v>
      </c>
      <c r="BF84" s="2">
        <v>42.2140242756674</v>
      </c>
      <c r="BG84" s="2">
        <v>42.584318531394</v>
      </c>
      <c r="BH84" s="2">
        <v>42.927213828579</v>
      </c>
      <c r="BI84" s="2">
        <v>43.26807795438</v>
      </c>
      <c r="BJ84" s="2">
        <v>43.6394229966267</v>
      </c>
      <c r="BK84" s="2">
        <v>44.0421070914077</v>
      </c>
      <c r="BL84" s="2">
        <v>44.4016464953069</v>
      </c>
      <c r="BM84" s="2">
        <v>44.7685871271884</v>
      </c>
      <c r="BN84" s="2">
        <v>45.2208730066018</v>
      </c>
      <c r="BO84" s="2">
        <v>2238.645556872257</v>
      </c>
    </row>
    <row r="85" ht="14.25" customHeight="1">
      <c r="A85" s="2" t="s">
        <v>53</v>
      </c>
      <c r="B85" s="2">
        <v>61.88</v>
      </c>
      <c r="C85" s="2">
        <v>62.607</v>
      </c>
      <c r="D85" s="2">
        <v>63.489</v>
      </c>
      <c r="E85" s="2">
        <v>64.702</v>
      </c>
      <c r="F85" s="2">
        <v>65.898</v>
      </c>
      <c r="G85" s="2">
        <v>67.071</v>
      </c>
      <c r="H85" s="2">
        <v>68.225</v>
      </c>
      <c r="I85" s="2">
        <v>69.357</v>
      </c>
      <c r="J85" s="2">
        <v>70.238</v>
      </c>
      <c r="K85" s="2">
        <v>70.648</v>
      </c>
      <c r="L85" s="2">
        <v>71.055</v>
      </c>
      <c r="M85" s="2">
        <v>71.459</v>
      </c>
      <c r="N85" s="2">
        <v>71.86</v>
      </c>
      <c r="O85" s="2">
        <v>72.256</v>
      </c>
      <c r="P85" s="2">
        <v>72.65</v>
      </c>
      <c r="Q85" s="2">
        <v>72.926</v>
      </c>
      <c r="R85" s="2">
        <v>72.997</v>
      </c>
      <c r="S85" s="2">
        <v>73.068</v>
      </c>
      <c r="T85" s="2">
        <v>73.14</v>
      </c>
      <c r="U85" s="2">
        <v>73.211</v>
      </c>
      <c r="V85" s="2">
        <v>73.282</v>
      </c>
      <c r="W85" s="2">
        <v>73.352</v>
      </c>
      <c r="X85" s="2">
        <v>73.425</v>
      </c>
      <c r="Y85" s="2">
        <v>73.5</v>
      </c>
      <c r="Z85" s="2">
        <v>73.575</v>
      </c>
      <c r="AA85" s="2">
        <v>73.65</v>
      </c>
      <c r="AB85" s="2">
        <v>73.725</v>
      </c>
      <c r="AC85" s="2">
        <v>73.8</v>
      </c>
      <c r="AD85" s="2">
        <v>73.875</v>
      </c>
      <c r="AE85" s="2">
        <v>73.95</v>
      </c>
      <c r="AF85" s="2">
        <v>74.056</v>
      </c>
      <c r="AG85" s="2">
        <v>74.229</v>
      </c>
      <c r="AH85" s="2">
        <v>74.401</v>
      </c>
      <c r="AI85" s="2">
        <v>74.572</v>
      </c>
      <c r="AJ85" s="2">
        <v>74.743</v>
      </c>
      <c r="AK85" s="2">
        <v>74.912</v>
      </c>
      <c r="AL85" s="2">
        <v>75.082</v>
      </c>
      <c r="AM85" s="2">
        <v>75.25</v>
      </c>
      <c r="AN85" s="2">
        <v>75.417</v>
      </c>
      <c r="AO85" s="2">
        <v>75.614</v>
      </c>
      <c r="AP85" s="2">
        <v>75.871</v>
      </c>
      <c r="AQ85" s="2">
        <v>76.127</v>
      </c>
      <c r="AR85" s="2">
        <v>76.38</v>
      </c>
      <c r="AS85" s="2">
        <v>76.632</v>
      </c>
      <c r="AT85" s="2">
        <v>76.883</v>
      </c>
      <c r="AU85" s="2">
        <v>77.13</v>
      </c>
      <c r="AV85" s="2">
        <v>77.377</v>
      </c>
      <c r="AW85" s="2">
        <v>77.621</v>
      </c>
      <c r="AX85" s="2">
        <v>77.868</v>
      </c>
      <c r="AY85" s="2">
        <v>78.117</v>
      </c>
      <c r="AZ85" s="2">
        <v>78.369</v>
      </c>
      <c r="BA85" s="2">
        <v>78.622</v>
      </c>
      <c r="BB85" s="2">
        <v>78.878</v>
      </c>
      <c r="BC85" s="2">
        <v>79.135</v>
      </c>
      <c r="BD85" s="2">
        <v>79.394</v>
      </c>
      <c r="BE85" s="2">
        <v>79.655</v>
      </c>
      <c r="BF85" s="2">
        <v>79.917</v>
      </c>
      <c r="BG85" s="2">
        <v>80.18</v>
      </c>
      <c r="BH85" s="2">
        <v>80.444</v>
      </c>
      <c r="BI85" s="2">
        <v>80.709</v>
      </c>
      <c r="BJ85" s="2">
        <v>80.975</v>
      </c>
      <c r="BK85" s="2">
        <v>81.242</v>
      </c>
      <c r="BL85" s="2">
        <v>81.509</v>
      </c>
      <c r="BM85" s="2">
        <v>81.777</v>
      </c>
      <c r="BN85" s="2">
        <v>82.044</v>
      </c>
      <c r="BO85" s="2">
        <v>4846.0030000000015</v>
      </c>
    </row>
    <row r="86" ht="14.25" customHeight="1">
      <c r="A86" s="2" t="s">
        <v>529</v>
      </c>
      <c r="B86" s="2">
        <v>42.281</v>
      </c>
      <c r="C86" s="2">
        <v>43.217</v>
      </c>
      <c r="D86" s="2">
        <v>44.16</v>
      </c>
      <c r="E86" s="2">
        <v>45.389</v>
      </c>
      <c r="F86" s="2">
        <v>46.783</v>
      </c>
      <c r="G86" s="2">
        <v>48.178</v>
      </c>
      <c r="H86" s="2">
        <v>49.578</v>
      </c>
      <c r="I86" s="2">
        <v>50.979</v>
      </c>
      <c r="J86" s="2">
        <v>52.38</v>
      </c>
      <c r="K86" s="2">
        <v>53.773</v>
      </c>
      <c r="L86" s="2">
        <v>55.162</v>
      </c>
      <c r="M86" s="2">
        <v>56.203</v>
      </c>
      <c r="N86" s="2">
        <v>56.718</v>
      </c>
      <c r="O86" s="2">
        <v>57.231</v>
      </c>
      <c r="P86" s="2">
        <v>57.742</v>
      </c>
      <c r="Q86" s="2">
        <v>58.252</v>
      </c>
      <c r="R86" s="2">
        <v>58.76</v>
      </c>
      <c r="S86" s="2">
        <v>59.171</v>
      </c>
      <c r="T86" s="2">
        <v>59.115</v>
      </c>
      <c r="U86" s="2">
        <v>59.059</v>
      </c>
      <c r="V86" s="2">
        <v>59.003</v>
      </c>
      <c r="W86" s="2">
        <v>58.948</v>
      </c>
      <c r="X86" s="2">
        <v>58.892</v>
      </c>
      <c r="Y86" s="2">
        <v>58.836</v>
      </c>
      <c r="Z86" s="2">
        <v>58.743</v>
      </c>
      <c r="AA86" s="2">
        <v>58.635</v>
      </c>
      <c r="AB86" s="2">
        <v>58.527</v>
      </c>
      <c r="AC86" s="2">
        <v>58.419</v>
      </c>
      <c r="AD86" s="2">
        <v>58.31</v>
      </c>
      <c r="AE86" s="2">
        <v>58.094</v>
      </c>
      <c r="AF86" s="2">
        <v>57.852</v>
      </c>
      <c r="AG86" s="2">
        <v>57.61</v>
      </c>
      <c r="AH86" s="2">
        <v>57.367</v>
      </c>
      <c r="AI86" s="2">
        <v>57.124</v>
      </c>
      <c r="AJ86" s="2">
        <v>56.881</v>
      </c>
      <c r="AK86" s="2">
        <v>56.637</v>
      </c>
      <c r="AL86" s="2">
        <v>56.393</v>
      </c>
      <c r="AM86" s="2">
        <v>56.285</v>
      </c>
      <c r="AN86" s="2">
        <v>56.205</v>
      </c>
      <c r="AO86" s="2">
        <v>56.126</v>
      </c>
      <c r="AP86" s="2">
        <v>56.047</v>
      </c>
      <c r="AQ86" s="2">
        <v>55.967</v>
      </c>
      <c r="AR86" s="2">
        <v>55.888</v>
      </c>
      <c r="AS86" s="2">
        <v>56.242</v>
      </c>
      <c r="AT86" s="2">
        <v>56.831</v>
      </c>
      <c r="AU86" s="2">
        <v>57.417</v>
      </c>
      <c r="AV86" s="2">
        <v>58.002</v>
      </c>
      <c r="AW86" s="2">
        <v>58.585</v>
      </c>
      <c r="AX86" s="2">
        <v>59.166</v>
      </c>
      <c r="AY86" s="2">
        <v>59.742</v>
      </c>
      <c r="AZ86" s="2">
        <v>60.317</v>
      </c>
      <c r="BA86" s="2">
        <v>60.889</v>
      </c>
      <c r="BB86" s="2">
        <v>61.459</v>
      </c>
      <c r="BC86" s="2">
        <v>61.583</v>
      </c>
      <c r="BD86" s="2">
        <v>61.633</v>
      </c>
      <c r="BE86" s="2">
        <v>61.683</v>
      </c>
      <c r="BF86" s="2">
        <v>61.734</v>
      </c>
      <c r="BG86" s="2">
        <v>61.784</v>
      </c>
      <c r="BH86" s="2">
        <v>61.834</v>
      </c>
      <c r="BI86" s="2">
        <v>61.897</v>
      </c>
      <c r="BJ86" s="2">
        <v>61.975</v>
      </c>
      <c r="BK86" s="2">
        <v>62.066</v>
      </c>
      <c r="BL86" s="2">
        <v>62.17</v>
      </c>
      <c r="BM86" s="2">
        <v>62.288</v>
      </c>
      <c r="BN86" s="2">
        <v>62.42</v>
      </c>
      <c r="BO86" s="2">
        <v>3708.637</v>
      </c>
    </row>
    <row r="87" ht="14.25" customHeight="1">
      <c r="A87" s="2" t="s">
        <v>454</v>
      </c>
      <c r="B87" s="2">
        <v>17.398</v>
      </c>
      <c r="C87" s="2">
        <v>18.33</v>
      </c>
      <c r="D87" s="2">
        <v>19.594</v>
      </c>
      <c r="E87" s="2">
        <v>20.923</v>
      </c>
      <c r="F87" s="2">
        <v>22.318</v>
      </c>
      <c r="G87" s="2">
        <v>23.775</v>
      </c>
      <c r="H87" s="2">
        <v>25.297</v>
      </c>
      <c r="I87" s="2">
        <v>26.883</v>
      </c>
      <c r="J87" s="2">
        <v>28.533</v>
      </c>
      <c r="K87" s="2">
        <v>30.237</v>
      </c>
      <c r="L87" s="2">
        <v>32.0</v>
      </c>
      <c r="M87" s="2">
        <v>34.082</v>
      </c>
      <c r="N87" s="2">
        <v>36.231</v>
      </c>
      <c r="O87" s="2">
        <v>38.43</v>
      </c>
      <c r="P87" s="2">
        <v>40.681</v>
      </c>
      <c r="Q87" s="2">
        <v>42.971</v>
      </c>
      <c r="R87" s="2">
        <v>45.295</v>
      </c>
      <c r="S87" s="2">
        <v>47.633</v>
      </c>
      <c r="T87" s="2">
        <v>49.985</v>
      </c>
      <c r="U87" s="2">
        <v>52.337</v>
      </c>
      <c r="V87" s="2">
        <v>54.682</v>
      </c>
      <c r="W87" s="2">
        <v>57.0</v>
      </c>
      <c r="X87" s="2">
        <v>58.372</v>
      </c>
      <c r="Y87" s="2">
        <v>59.73</v>
      </c>
      <c r="Z87" s="2">
        <v>61.076</v>
      </c>
      <c r="AA87" s="2">
        <v>62.402</v>
      </c>
      <c r="AB87" s="2">
        <v>63.711</v>
      </c>
      <c r="AC87" s="2">
        <v>65.0</v>
      </c>
      <c r="AD87" s="2">
        <v>66.412</v>
      </c>
      <c r="AE87" s="2">
        <v>67.792</v>
      </c>
      <c r="AF87" s="2">
        <v>69.143</v>
      </c>
      <c r="AG87" s="2">
        <v>70.462</v>
      </c>
      <c r="AH87" s="2">
        <v>71.749</v>
      </c>
      <c r="AI87" s="2">
        <v>72.999</v>
      </c>
      <c r="AJ87" s="2">
        <v>73.921</v>
      </c>
      <c r="AK87" s="2">
        <v>74.797</v>
      </c>
      <c r="AL87" s="2">
        <v>75.654</v>
      </c>
      <c r="AM87" s="2">
        <v>76.49</v>
      </c>
      <c r="AN87" s="2">
        <v>77.306</v>
      </c>
      <c r="AO87" s="2">
        <v>78.102</v>
      </c>
      <c r="AP87" s="2">
        <v>78.879</v>
      </c>
      <c r="AQ87" s="2">
        <v>79.633</v>
      </c>
      <c r="AR87" s="2">
        <v>80.368</v>
      </c>
      <c r="AS87" s="2">
        <v>81.083</v>
      </c>
      <c r="AT87" s="2">
        <v>81.778</v>
      </c>
      <c r="AU87" s="2">
        <v>82.452</v>
      </c>
      <c r="AV87" s="2">
        <v>83.107</v>
      </c>
      <c r="AW87" s="2">
        <v>83.742</v>
      </c>
      <c r="AX87" s="2">
        <v>84.359</v>
      </c>
      <c r="AY87" s="2">
        <v>84.955</v>
      </c>
      <c r="AZ87" s="2">
        <v>85.533</v>
      </c>
      <c r="BA87" s="2">
        <v>86.092</v>
      </c>
      <c r="BB87" s="2">
        <v>86.634</v>
      </c>
      <c r="BC87" s="2">
        <v>87.156</v>
      </c>
      <c r="BD87" s="2">
        <v>87.651</v>
      </c>
      <c r="BE87" s="2">
        <v>88.118</v>
      </c>
      <c r="BF87" s="2">
        <v>88.559</v>
      </c>
      <c r="BG87" s="2">
        <v>88.976</v>
      </c>
      <c r="BH87" s="2">
        <v>89.37</v>
      </c>
      <c r="BI87" s="2">
        <v>89.741</v>
      </c>
      <c r="BJ87" s="2">
        <v>90.092</v>
      </c>
      <c r="BK87" s="2">
        <v>90.423</v>
      </c>
      <c r="BL87" s="2">
        <v>90.735</v>
      </c>
      <c r="BM87" s="2">
        <v>91.029</v>
      </c>
      <c r="BN87" s="2">
        <v>91.307</v>
      </c>
      <c r="BO87" s="2">
        <v>4161.504999999999</v>
      </c>
    </row>
    <row r="88" ht="14.25" customHeight="1">
      <c r="A88" s="2" t="s">
        <v>54</v>
      </c>
      <c r="B88" s="2">
        <v>12.129</v>
      </c>
      <c r="C88" s="2">
        <v>12.331</v>
      </c>
      <c r="D88" s="2">
        <v>12.535</v>
      </c>
      <c r="E88" s="2">
        <v>12.862</v>
      </c>
      <c r="F88" s="2">
        <v>13.677</v>
      </c>
      <c r="G88" s="2">
        <v>14.533</v>
      </c>
      <c r="H88" s="2">
        <v>15.433</v>
      </c>
      <c r="I88" s="2">
        <v>16.379</v>
      </c>
      <c r="J88" s="2">
        <v>17.373</v>
      </c>
      <c r="K88" s="2">
        <v>18.41</v>
      </c>
      <c r="L88" s="2">
        <v>19.496</v>
      </c>
      <c r="M88" s="2">
        <v>20.63</v>
      </c>
      <c r="N88" s="2">
        <v>21.814</v>
      </c>
      <c r="O88" s="2">
        <v>22.941</v>
      </c>
      <c r="P88" s="2">
        <v>23.675</v>
      </c>
      <c r="Q88" s="2">
        <v>24.426</v>
      </c>
      <c r="R88" s="2">
        <v>25.193</v>
      </c>
      <c r="S88" s="2">
        <v>25.974</v>
      </c>
      <c r="T88" s="2">
        <v>26.772</v>
      </c>
      <c r="U88" s="2">
        <v>27.585</v>
      </c>
      <c r="V88" s="2">
        <v>28.414</v>
      </c>
      <c r="W88" s="2">
        <v>29.256</v>
      </c>
      <c r="X88" s="2">
        <v>30.113</v>
      </c>
      <c r="Y88" s="2">
        <v>31.008</v>
      </c>
      <c r="Z88" s="2">
        <v>32.007</v>
      </c>
      <c r="AA88" s="2">
        <v>33.019</v>
      </c>
      <c r="AB88" s="2">
        <v>34.049</v>
      </c>
      <c r="AC88" s="2">
        <v>35.094</v>
      </c>
      <c r="AD88" s="2">
        <v>36.155</v>
      </c>
      <c r="AE88" s="2">
        <v>37.226</v>
      </c>
      <c r="AF88" s="2">
        <v>38.312</v>
      </c>
      <c r="AG88" s="2">
        <v>39.41</v>
      </c>
      <c r="AH88" s="2">
        <v>40.52</v>
      </c>
      <c r="AI88" s="2">
        <v>41.586</v>
      </c>
      <c r="AJ88" s="2">
        <v>42.472</v>
      </c>
      <c r="AK88" s="2">
        <v>43.362</v>
      </c>
      <c r="AL88" s="2">
        <v>44.258</v>
      </c>
      <c r="AM88" s="2">
        <v>45.155</v>
      </c>
      <c r="AN88" s="2">
        <v>46.057</v>
      </c>
      <c r="AO88" s="2">
        <v>46.961</v>
      </c>
      <c r="AP88" s="2">
        <v>47.868</v>
      </c>
      <c r="AQ88" s="2">
        <v>48.775</v>
      </c>
      <c r="AR88" s="2">
        <v>49.683</v>
      </c>
      <c r="AS88" s="2">
        <v>50.555</v>
      </c>
      <c r="AT88" s="2">
        <v>51.288</v>
      </c>
      <c r="AU88" s="2">
        <v>52.02</v>
      </c>
      <c r="AV88" s="2">
        <v>52.751</v>
      </c>
      <c r="AW88" s="2">
        <v>53.481</v>
      </c>
      <c r="AX88" s="2">
        <v>54.211</v>
      </c>
      <c r="AY88" s="2">
        <v>54.937</v>
      </c>
      <c r="AZ88" s="2">
        <v>55.662</v>
      </c>
      <c r="BA88" s="2">
        <v>56.384</v>
      </c>
      <c r="BB88" s="2">
        <v>57.105</v>
      </c>
      <c r="BC88" s="2">
        <v>57.82</v>
      </c>
      <c r="BD88" s="2">
        <v>58.528</v>
      </c>
      <c r="BE88" s="2">
        <v>59.228</v>
      </c>
      <c r="BF88" s="2">
        <v>59.918</v>
      </c>
      <c r="BG88" s="2">
        <v>60.599</v>
      </c>
      <c r="BH88" s="2">
        <v>61.27</v>
      </c>
      <c r="BI88" s="2">
        <v>61.931</v>
      </c>
      <c r="BJ88" s="2">
        <v>62.582</v>
      </c>
      <c r="BK88" s="2">
        <v>63.222</v>
      </c>
      <c r="BL88" s="2">
        <v>63.852</v>
      </c>
      <c r="BM88" s="2">
        <v>64.472</v>
      </c>
      <c r="BN88" s="2">
        <v>65.08</v>
      </c>
      <c r="BO88" s="2">
        <v>2561.824</v>
      </c>
    </row>
    <row r="89" ht="14.25" customHeight="1">
      <c r="A89" s="2" t="s">
        <v>455</v>
      </c>
      <c r="B89" s="2">
        <v>43.069</v>
      </c>
      <c r="C89" s="2">
        <v>43.559</v>
      </c>
      <c r="D89" s="2">
        <v>44.051</v>
      </c>
      <c r="E89" s="2">
        <v>44.544</v>
      </c>
      <c r="F89" s="2">
        <v>45.039</v>
      </c>
      <c r="G89" s="2">
        <v>45.534</v>
      </c>
      <c r="H89" s="2">
        <v>46.03</v>
      </c>
      <c r="I89" s="2">
        <v>46.527</v>
      </c>
      <c r="J89" s="2">
        <v>47.025</v>
      </c>
      <c r="K89" s="2">
        <v>47.522</v>
      </c>
      <c r="L89" s="2">
        <v>48.006</v>
      </c>
      <c r="M89" s="2">
        <v>48.474</v>
      </c>
      <c r="N89" s="2">
        <v>48.942</v>
      </c>
      <c r="O89" s="2">
        <v>49.409</v>
      </c>
      <c r="P89" s="2">
        <v>49.876</v>
      </c>
      <c r="Q89" s="2">
        <v>50.344</v>
      </c>
      <c r="R89" s="2">
        <v>50.812</v>
      </c>
      <c r="S89" s="2">
        <v>51.279</v>
      </c>
      <c r="T89" s="2">
        <v>51.747</v>
      </c>
      <c r="U89" s="2">
        <v>52.156</v>
      </c>
      <c r="V89" s="2">
        <v>52.497</v>
      </c>
      <c r="W89" s="2">
        <v>52.836</v>
      </c>
      <c r="X89" s="2">
        <v>53.176</v>
      </c>
      <c r="Y89" s="2">
        <v>53.516</v>
      </c>
      <c r="Z89" s="2">
        <v>53.855</v>
      </c>
      <c r="AA89" s="2">
        <v>54.194</v>
      </c>
      <c r="AB89" s="2">
        <v>54.532</v>
      </c>
      <c r="AC89" s="2">
        <v>54.87</v>
      </c>
      <c r="AD89" s="2">
        <v>55.208</v>
      </c>
      <c r="AE89" s="2">
        <v>55.277</v>
      </c>
      <c r="AF89" s="2">
        <v>55.038</v>
      </c>
      <c r="AG89" s="2">
        <v>54.799</v>
      </c>
      <c r="AH89" s="2">
        <v>54.559</v>
      </c>
      <c r="AI89" s="2">
        <v>54.32</v>
      </c>
      <c r="AJ89" s="2">
        <v>54.08</v>
      </c>
      <c r="AK89" s="2">
        <v>53.841</v>
      </c>
      <c r="AL89" s="2">
        <v>53.6</v>
      </c>
      <c r="AM89" s="2">
        <v>53.36</v>
      </c>
      <c r="AN89" s="2">
        <v>53.12</v>
      </c>
      <c r="AO89" s="2">
        <v>52.879</v>
      </c>
      <c r="AP89" s="2">
        <v>52.638</v>
      </c>
      <c r="AQ89" s="2">
        <v>52.398</v>
      </c>
      <c r="AR89" s="2">
        <v>52.441</v>
      </c>
      <c r="AS89" s="2">
        <v>52.83</v>
      </c>
      <c r="AT89" s="2">
        <v>53.218</v>
      </c>
      <c r="AU89" s="2">
        <v>53.605</v>
      </c>
      <c r="AV89" s="2">
        <v>53.992</v>
      </c>
      <c r="AW89" s="2">
        <v>54.379</v>
      </c>
      <c r="AX89" s="2">
        <v>54.765</v>
      </c>
      <c r="AY89" s="2">
        <v>55.15</v>
      </c>
      <c r="AZ89" s="2">
        <v>55.535</v>
      </c>
      <c r="BA89" s="2">
        <v>55.919</v>
      </c>
      <c r="BB89" s="2">
        <v>56.303</v>
      </c>
      <c r="BC89" s="2">
        <v>56.685</v>
      </c>
      <c r="BD89" s="2">
        <v>57.067</v>
      </c>
      <c r="BE89" s="2">
        <v>57.448</v>
      </c>
      <c r="BF89" s="2">
        <v>57.837</v>
      </c>
      <c r="BG89" s="2">
        <v>58.231</v>
      </c>
      <c r="BH89" s="2">
        <v>58.632</v>
      </c>
      <c r="BI89" s="2">
        <v>59.039</v>
      </c>
      <c r="BJ89" s="2">
        <v>59.453</v>
      </c>
      <c r="BK89" s="2">
        <v>59.872</v>
      </c>
      <c r="BL89" s="2">
        <v>60.297</v>
      </c>
      <c r="BM89" s="2">
        <v>60.727</v>
      </c>
      <c r="BN89" s="2">
        <v>61.162</v>
      </c>
      <c r="BO89" s="2">
        <v>3443.124999999998</v>
      </c>
    </row>
    <row r="90" ht="14.25" customHeight="1">
      <c r="A90" s="2" t="s">
        <v>55</v>
      </c>
      <c r="B90" s="2">
        <v>71.384</v>
      </c>
      <c r="C90" s="2">
        <v>71.697</v>
      </c>
      <c r="D90" s="2">
        <v>71.762</v>
      </c>
      <c r="E90" s="2">
        <v>71.826</v>
      </c>
      <c r="F90" s="2">
        <v>71.891</v>
      </c>
      <c r="G90" s="2">
        <v>71.955</v>
      </c>
      <c r="H90" s="2">
        <v>72.019</v>
      </c>
      <c r="I90" s="2">
        <v>72.083</v>
      </c>
      <c r="J90" s="2">
        <v>72.147</v>
      </c>
      <c r="K90" s="2">
        <v>72.211</v>
      </c>
      <c r="L90" s="2">
        <v>72.274</v>
      </c>
      <c r="M90" s="2">
        <v>72.332</v>
      </c>
      <c r="N90" s="2">
        <v>72.389</v>
      </c>
      <c r="O90" s="2">
        <v>72.446</v>
      </c>
      <c r="P90" s="2">
        <v>72.503</v>
      </c>
      <c r="Q90" s="2">
        <v>72.56</v>
      </c>
      <c r="R90" s="2">
        <v>72.617</v>
      </c>
      <c r="S90" s="2">
        <v>72.674</v>
      </c>
      <c r="T90" s="2">
        <v>72.73</v>
      </c>
      <c r="U90" s="2">
        <v>72.787</v>
      </c>
      <c r="V90" s="2">
        <v>72.844</v>
      </c>
      <c r="W90" s="2">
        <v>72.989</v>
      </c>
      <c r="X90" s="2">
        <v>73.107</v>
      </c>
      <c r="Y90" s="2">
        <v>73.103</v>
      </c>
      <c r="Z90" s="2">
        <v>72.943</v>
      </c>
      <c r="AA90" s="2">
        <v>72.711</v>
      </c>
      <c r="AB90" s="2">
        <v>72.617</v>
      </c>
      <c r="AC90" s="2">
        <v>72.836</v>
      </c>
      <c r="AD90" s="2">
        <v>72.999</v>
      </c>
      <c r="AE90" s="2">
        <v>72.976</v>
      </c>
      <c r="AF90" s="2">
        <v>73.118</v>
      </c>
      <c r="AG90" s="2">
        <v>73.269</v>
      </c>
      <c r="AH90" s="2">
        <v>73.36</v>
      </c>
      <c r="AI90" s="2">
        <v>73.497</v>
      </c>
      <c r="AJ90" s="2">
        <v>73.71</v>
      </c>
      <c r="AK90" s="2">
        <v>73.922</v>
      </c>
      <c r="AL90" s="2">
        <v>74.133</v>
      </c>
      <c r="AM90" s="2">
        <v>74.342</v>
      </c>
      <c r="AN90" s="2">
        <v>74.551</v>
      </c>
      <c r="AO90" s="2">
        <v>74.758</v>
      </c>
      <c r="AP90" s="2">
        <v>74.965</v>
      </c>
      <c r="AQ90" s="2">
        <v>75.17</v>
      </c>
      <c r="AR90" s="2">
        <v>75.374</v>
      </c>
      <c r="AS90" s="2">
        <v>75.577</v>
      </c>
      <c r="AT90" s="2">
        <v>75.779</v>
      </c>
      <c r="AU90" s="2">
        <v>75.98</v>
      </c>
      <c r="AV90" s="2">
        <v>76.179</v>
      </c>
      <c r="AW90" s="2">
        <v>76.378</v>
      </c>
      <c r="AX90" s="2">
        <v>76.575</v>
      </c>
      <c r="AY90" s="2">
        <v>76.771</v>
      </c>
      <c r="AZ90" s="2">
        <v>76.966</v>
      </c>
      <c r="BA90" s="2">
        <v>77.16</v>
      </c>
      <c r="BB90" s="2">
        <v>77.17</v>
      </c>
      <c r="BC90" s="2">
        <v>77.18</v>
      </c>
      <c r="BD90" s="2">
        <v>77.19</v>
      </c>
      <c r="BE90" s="2">
        <v>77.2</v>
      </c>
      <c r="BF90" s="2">
        <v>77.224</v>
      </c>
      <c r="BG90" s="2">
        <v>77.261</v>
      </c>
      <c r="BH90" s="2">
        <v>77.312</v>
      </c>
      <c r="BI90" s="2">
        <v>77.376</v>
      </c>
      <c r="BJ90" s="2">
        <v>77.453</v>
      </c>
      <c r="BK90" s="2">
        <v>77.544</v>
      </c>
      <c r="BL90" s="2">
        <v>77.648</v>
      </c>
      <c r="BM90" s="2">
        <v>77.765</v>
      </c>
      <c r="BN90" s="2">
        <v>77.895</v>
      </c>
      <c r="BO90" s="2">
        <v>4831.164000000002</v>
      </c>
    </row>
    <row r="91" ht="14.25" customHeight="1">
      <c r="A91" s="2" t="s">
        <v>56</v>
      </c>
      <c r="B91" s="2">
        <v>23.252</v>
      </c>
      <c r="C91" s="2">
        <v>23.797</v>
      </c>
      <c r="D91" s="2">
        <v>24.352</v>
      </c>
      <c r="E91" s="2">
        <v>24.915</v>
      </c>
      <c r="F91" s="2">
        <v>25.488</v>
      </c>
      <c r="G91" s="2">
        <v>26.067</v>
      </c>
      <c r="H91" s="2">
        <v>26.656</v>
      </c>
      <c r="I91" s="2">
        <v>27.254</v>
      </c>
      <c r="J91" s="2">
        <v>27.86</v>
      </c>
      <c r="K91" s="2">
        <v>28.473</v>
      </c>
      <c r="L91" s="2">
        <v>28.958</v>
      </c>
      <c r="M91" s="2">
        <v>29.174</v>
      </c>
      <c r="N91" s="2">
        <v>29.392</v>
      </c>
      <c r="O91" s="2">
        <v>29.61</v>
      </c>
      <c r="P91" s="2">
        <v>29.829</v>
      </c>
      <c r="Q91" s="2">
        <v>30.049</v>
      </c>
      <c r="R91" s="2">
        <v>30.27</v>
      </c>
      <c r="S91" s="2">
        <v>30.492</v>
      </c>
      <c r="T91" s="2">
        <v>30.714</v>
      </c>
      <c r="U91" s="2">
        <v>30.938</v>
      </c>
      <c r="V91" s="2">
        <v>31.163</v>
      </c>
      <c r="W91" s="2">
        <v>31.388</v>
      </c>
      <c r="X91" s="2">
        <v>31.614</v>
      </c>
      <c r="Y91" s="2">
        <v>31.842</v>
      </c>
      <c r="Z91" s="2">
        <v>32.209</v>
      </c>
      <c r="AA91" s="2">
        <v>32.896</v>
      </c>
      <c r="AB91" s="2">
        <v>33.591</v>
      </c>
      <c r="AC91" s="2">
        <v>34.293</v>
      </c>
      <c r="AD91" s="2">
        <v>35.004</v>
      </c>
      <c r="AE91" s="2">
        <v>35.719</v>
      </c>
      <c r="AF91" s="2">
        <v>36.441</v>
      </c>
      <c r="AG91" s="2">
        <v>37.17</v>
      </c>
      <c r="AH91" s="2">
        <v>37.905</v>
      </c>
      <c r="AI91" s="2">
        <v>38.644</v>
      </c>
      <c r="AJ91" s="2">
        <v>39.39</v>
      </c>
      <c r="AK91" s="2">
        <v>40.14</v>
      </c>
      <c r="AL91" s="2">
        <v>40.896</v>
      </c>
      <c r="AM91" s="2">
        <v>41.654</v>
      </c>
      <c r="AN91" s="2">
        <v>42.418</v>
      </c>
      <c r="AO91" s="2">
        <v>43.184</v>
      </c>
      <c r="AP91" s="2">
        <v>43.929</v>
      </c>
      <c r="AQ91" s="2">
        <v>44.601</v>
      </c>
      <c r="AR91" s="2">
        <v>45.275</v>
      </c>
      <c r="AS91" s="2">
        <v>45.951</v>
      </c>
      <c r="AT91" s="2">
        <v>46.63</v>
      </c>
      <c r="AU91" s="2">
        <v>47.308</v>
      </c>
      <c r="AV91" s="2">
        <v>47.988</v>
      </c>
      <c r="AW91" s="2">
        <v>48.669</v>
      </c>
      <c r="AX91" s="2">
        <v>49.351</v>
      </c>
      <c r="AY91" s="2">
        <v>50.031</v>
      </c>
      <c r="AZ91" s="2">
        <v>50.713</v>
      </c>
      <c r="BA91" s="2">
        <v>51.394</v>
      </c>
      <c r="BB91" s="2">
        <v>52.073</v>
      </c>
      <c r="BC91" s="2">
        <v>52.748</v>
      </c>
      <c r="BD91" s="2">
        <v>53.419</v>
      </c>
      <c r="BE91" s="2">
        <v>54.086</v>
      </c>
      <c r="BF91" s="2">
        <v>54.749</v>
      </c>
      <c r="BG91" s="2">
        <v>55.407</v>
      </c>
      <c r="BH91" s="2">
        <v>56.06</v>
      </c>
      <c r="BI91" s="2">
        <v>56.707</v>
      </c>
      <c r="BJ91" s="2">
        <v>57.349</v>
      </c>
      <c r="BK91" s="2">
        <v>57.985</v>
      </c>
      <c r="BL91" s="2">
        <v>58.615</v>
      </c>
      <c r="BM91" s="2">
        <v>59.238</v>
      </c>
      <c r="BN91" s="2">
        <v>59.854</v>
      </c>
      <c r="BO91" s="2">
        <v>2585.231</v>
      </c>
    </row>
    <row r="92" ht="14.25" customHeight="1">
      <c r="A92" s="2" t="s">
        <v>530</v>
      </c>
      <c r="B92" s="2">
        <v>100.0</v>
      </c>
      <c r="C92" s="2">
        <v>100.0</v>
      </c>
      <c r="D92" s="2">
        <v>100.0</v>
      </c>
      <c r="E92" s="2">
        <v>100.0</v>
      </c>
      <c r="F92" s="2">
        <v>100.0</v>
      </c>
      <c r="G92" s="2">
        <v>100.0</v>
      </c>
      <c r="H92" s="2">
        <v>100.0</v>
      </c>
      <c r="I92" s="2">
        <v>100.0</v>
      </c>
      <c r="J92" s="2">
        <v>100.0</v>
      </c>
      <c r="K92" s="2">
        <v>100.0</v>
      </c>
      <c r="L92" s="2">
        <v>100.0</v>
      </c>
      <c r="M92" s="2">
        <v>100.0</v>
      </c>
      <c r="N92" s="2">
        <v>100.0</v>
      </c>
      <c r="O92" s="2">
        <v>100.0</v>
      </c>
      <c r="P92" s="2">
        <v>100.0</v>
      </c>
      <c r="Q92" s="2">
        <v>100.0</v>
      </c>
      <c r="R92" s="2">
        <v>100.0</v>
      </c>
      <c r="S92" s="2">
        <v>100.0</v>
      </c>
      <c r="T92" s="2">
        <v>100.0</v>
      </c>
      <c r="U92" s="2">
        <v>100.0</v>
      </c>
      <c r="V92" s="2">
        <v>100.0</v>
      </c>
      <c r="W92" s="2">
        <v>100.0</v>
      </c>
      <c r="X92" s="2">
        <v>100.0</v>
      </c>
      <c r="Y92" s="2">
        <v>100.0</v>
      </c>
      <c r="Z92" s="2">
        <v>100.0</v>
      </c>
      <c r="AA92" s="2">
        <v>100.0</v>
      </c>
      <c r="AB92" s="2">
        <v>100.0</v>
      </c>
      <c r="AC92" s="2">
        <v>100.0</v>
      </c>
      <c r="AD92" s="2">
        <v>100.0</v>
      </c>
      <c r="AE92" s="2">
        <v>100.0</v>
      </c>
      <c r="AF92" s="2">
        <v>100.0</v>
      </c>
      <c r="AG92" s="2">
        <v>100.0</v>
      </c>
      <c r="AH92" s="2">
        <v>100.0</v>
      </c>
      <c r="AI92" s="2">
        <v>100.0</v>
      </c>
      <c r="AJ92" s="2">
        <v>100.0</v>
      </c>
      <c r="AK92" s="2">
        <v>100.0</v>
      </c>
      <c r="AL92" s="2">
        <v>100.0</v>
      </c>
      <c r="AM92" s="2">
        <v>100.0</v>
      </c>
      <c r="AN92" s="2">
        <v>100.0</v>
      </c>
      <c r="AO92" s="2">
        <v>100.0</v>
      </c>
      <c r="AP92" s="2">
        <v>100.0</v>
      </c>
      <c r="AQ92" s="2">
        <v>100.0</v>
      </c>
      <c r="AR92" s="2">
        <v>100.0</v>
      </c>
      <c r="AS92" s="2">
        <v>100.0</v>
      </c>
      <c r="AT92" s="2">
        <v>100.0</v>
      </c>
      <c r="AU92" s="2">
        <v>100.0</v>
      </c>
      <c r="AV92" s="2">
        <v>100.0</v>
      </c>
      <c r="AW92" s="2">
        <v>100.0</v>
      </c>
      <c r="AX92" s="2">
        <v>100.0</v>
      </c>
      <c r="AY92" s="2">
        <v>100.0</v>
      </c>
      <c r="AZ92" s="2">
        <v>100.0</v>
      </c>
      <c r="BA92" s="2">
        <v>100.0</v>
      </c>
      <c r="BB92" s="2">
        <v>100.0</v>
      </c>
      <c r="BC92" s="2">
        <v>100.0</v>
      </c>
      <c r="BD92" s="2">
        <v>100.0</v>
      </c>
      <c r="BE92" s="2">
        <v>100.0</v>
      </c>
      <c r="BF92" s="2">
        <v>100.0</v>
      </c>
      <c r="BG92" s="2">
        <v>100.0</v>
      </c>
      <c r="BH92" s="2">
        <v>100.0</v>
      </c>
      <c r="BI92" s="2">
        <v>100.0</v>
      </c>
      <c r="BJ92" s="2">
        <v>100.0</v>
      </c>
      <c r="BK92" s="2">
        <v>100.0</v>
      </c>
      <c r="BL92" s="2">
        <v>100.0</v>
      </c>
      <c r="BM92" s="2">
        <v>100.0</v>
      </c>
      <c r="BN92" s="2">
        <v>100.0</v>
      </c>
      <c r="BO92" s="2">
        <v>6500.0</v>
      </c>
    </row>
    <row r="93" ht="14.25" customHeight="1">
      <c r="A93" s="2" t="s">
        <v>57</v>
      </c>
      <c r="B93" s="2">
        <v>55.936</v>
      </c>
      <c r="C93" s="2">
        <v>56.453</v>
      </c>
      <c r="D93" s="2">
        <v>57.34</v>
      </c>
      <c r="E93" s="2">
        <v>58.222</v>
      </c>
      <c r="F93" s="2">
        <v>59.099</v>
      </c>
      <c r="G93" s="2">
        <v>59.969</v>
      </c>
      <c r="H93" s="2">
        <v>60.833</v>
      </c>
      <c r="I93" s="2">
        <v>61.691</v>
      </c>
      <c r="J93" s="2">
        <v>62.543</v>
      </c>
      <c r="K93" s="2">
        <v>63.385</v>
      </c>
      <c r="L93" s="2">
        <v>64.22</v>
      </c>
      <c r="M93" s="2">
        <v>64.951</v>
      </c>
      <c r="N93" s="2">
        <v>65.454</v>
      </c>
      <c r="O93" s="2">
        <v>65.952</v>
      </c>
      <c r="P93" s="2">
        <v>66.448</v>
      </c>
      <c r="Q93" s="2">
        <v>66.94</v>
      </c>
      <c r="R93" s="2">
        <v>67.429</v>
      </c>
      <c r="S93" s="2">
        <v>67.912</v>
      </c>
      <c r="T93" s="2">
        <v>68.393</v>
      </c>
      <c r="U93" s="2">
        <v>68.87</v>
      </c>
      <c r="V93" s="2">
        <v>69.343</v>
      </c>
      <c r="W93" s="2">
        <v>69.746</v>
      </c>
      <c r="X93" s="2">
        <v>69.94</v>
      </c>
      <c r="Y93" s="2">
        <v>70.134</v>
      </c>
      <c r="Z93" s="2">
        <v>70.327</v>
      </c>
      <c r="AA93" s="2">
        <v>70.518</v>
      </c>
      <c r="AB93" s="2">
        <v>70.709</v>
      </c>
      <c r="AC93" s="2">
        <v>70.9</v>
      </c>
      <c r="AD93" s="2">
        <v>71.09</v>
      </c>
      <c r="AE93" s="2">
        <v>71.279</v>
      </c>
      <c r="AF93" s="2">
        <v>71.467</v>
      </c>
      <c r="AG93" s="2">
        <v>71.635</v>
      </c>
      <c r="AH93" s="2">
        <v>71.757</v>
      </c>
      <c r="AI93" s="2">
        <v>71.878</v>
      </c>
      <c r="AJ93" s="2">
        <v>71.998</v>
      </c>
      <c r="AK93" s="2">
        <v>72.119</v>
      </c>
      <c r="AL93" s="2">
        <v>72.239</v>
      </c>
      <c r="AM93" s="2">
        <v>72.358</v>
      </c>
      <c r="AN93" s="2">
        <v>72.478</v>
      </c>
      <c r="AO93" s="2">
        <v>72.597</v>
      </c>
      <c r="AP93" s="2">
        <v>72.716</v>
      </c>
      <c r="AQ93" s="2">
        <v>72.913</v>
      </c>
      <c r="AR93" s="2">
        <v>73.303</v>
      </c>
      <c r="AS93" s="2">
        <v>73.689</v>
      </c>
      <c r="AT93" s="2">
        <v>74.073</v>
      </c>
      <c r="AU93" s="2">
        <v>74.452</v>
      </c>
      <c r="AV93" s="2">
        <v>74.827</v>
      </c>
      <c r="AW93" s="2">
        <v>75.199</v>
      </c>
      <c r="AX93" s="2">
        <v>75.568</v>
      </c>
      <c r="AY93" s="2">
        <v>75.932</v>
      </c>
      <c r="AZ93" s="2">
        <v>76.292</v>
      </c>
      <c r="BA93" s="2">
        <v>76.649</v>
      </c>
      <c r="BB93" s="2">
        <v>77.004</v>
      </c>
      <c r="BC93" s="2">
        <v>77.355</v>
      </c>
      <c r="BD93" s="2">
        <v>77.702</v>
      </c>
      <c r="BE93" s="2">
        <v>78.046</v>
      </c>
      <c r="BF93" s="2">
        <v>78.387</v>
      </c>
      <c r="BG93" s="2">
        <v>78.724</v>
      </c>
      <c r="BH93" s="2">
        <v>79.058</v>
      </c>
      <c r="BI93" s="2">
        <v>79.388</v>
      </c>
      <c r="BJ93" s="2">
        <v>79.715</v>
      </c>
      <c r="BK93" s="2">
        <v>80.038</v>
      </c>
      <c r="BL93" s="2">
        <v>80.357</v>
      </c>
      <c r="BM93" s="2">
        <v>80.673</v>
      </c>
      <c r="BN93" s="2">
        <v>80.984</v>
      </c>
      <c r="BO93" s="2">
        <v>4609.596000000001</v>
      </c>
    </row>
    <row r="94" ht="14.25" customHeight="1">
      <c r="A94" s="2" t="s">
        <v>531</v>
      </c>
      <c r="B94" s="2">
        <v>58.534</v>
      </c>
      <c r="C94" s="2">
        <v>59.806</v>
      </c>
      <c r="D94" s="2">
        <v>61.406</v>
      </c>
      <c r="E94" s="2">
        <v>62.983</v>
      </c>
      <c r="F94" s="2">
        <v>64.534</v>
      </c>
      <c r="G94" s="2">
        <v>66.05</v>
      </c>
      <c r="H94" s="2">
        <v>67.491</v>
      </c>
      <c r="I94" s="2">
        <v>68.853</v>
      </c>
      <c r="J94" s="2">
        <v>70.186</v>
      </c>
      <c r="K94" s="2">
        <v>71.481</v>
      </c>
      <c r="L94" s="2">
        <v>72.744</v>
      </c>
      <c r="M94" s="2">
        <v>73.433</v>
      </c>
      <c r="N94" s="2">
        <v>73.675</v>
      </c>
      <c r="O94" s="2">
        <v>73.914</v>
      </c>
      <c r="P94" s="2">
        <v>74.152</v>
      </c>
      <c r="Q94" s="2">
        <v>74.389</v>
      </c>
      <c r="R94" s="2">
        <v>74.625</v>
      </c>
      <c r="S94" s="2">
        <v>74.966</v>
      </c>
      <c r="T94" s="2">
        <v>75.355</v>
      </c>
      <c r="U94" s="2">
        <v>75.74</v>
      </c>
      <c r="V94" s="2">
        <v>76.121</v>
      </c>
      <c r="W94" s="2">
        <v>76.497</v>
      </c>
      <c r="X94" s="2">
        <v>76.869</v>
      </c>
      <c r="Y94" s="2">
        <v>77.237</v>
      </c>
      <c r="Z94" s="2">
        <v>77.602</v>
      </c>
      <c r="AA94" s="2">
        <v>77.961</v>
      </c>
      <c r="AB94" s="2">
        <v>78.317</v>
      </c>
      <c r="AC94" s="2">
        <v>78.668</v>
      </c>
      <c r="AD94" s="2">
        <v>79.016</v>
      </c>
      <c r="AE94" s="2">
        <v>79.359</v>
      </c>
      <c r="AF94" s="2">
        <v>79.698</v>
      </c>
      <c r="AG94" s="2">
        <v>80.033</v>
      </c>
      <c r="AH94" s="2">
        <v>80.301</v>
      </c>
      <c r="AI94" s="2">
        <v>80.503</v>
      </c>
      <c r="AJ94" s="2">
        <v>80.703</v>
      </c>
      <c r="AK94" s="2">
        <v>80.902</v>
      </c>
      <c r="AL94" s="2">
        <v>81.1</v>
      </c>
      <c r="AM94" s="2">
        <v>81.226</v>
      </c>
      <c r="AN94" s="2">
        <v>81.351</v>
      </c>
      <c r="AO94" s="2">
        <v>81.476</v>
      </c>
      <c r="AP94" s="2">
        <v>81.6</v>
      </c>
      <c r="AQ94" s="2">
        <v>81.849</v>
      </c>
      <c r="AR94" s="2">
        <v>82.095</v>
      </c>
      <c r="AS94" s="2">
        <v>82.338</v>
      </c>
      <c r="AT94" s="2">
        <v>82.58</v>
      </c>
      <c r="AU94" s="2">
        <v>82.858</v>
      </c>
      <c r="AV94" s="2">
        <v>83.172</v>
      </c>
      <c r="AW94" s="2">
        <v>83.482</v>
      </c>
      <c r="AX94" s="2">
        <v>83.787</v>
      </c>
      <c r="AY94" s="2">
        <v>84.087</v>
      </c>
      <c r="AZ94" s="2">
        <v>84.383</v>
      </c>
      <c r="BA94" s="2">
        <v>84.755</v>
      </c>
      <c r="BB94" s="2">
        <v>85.2</v>
      </c>
      <c r="BC94" s="2">
        <v>85.551</v>
      </c>
      <c r="BD94" s="2">
        <v>85.813</v>
      </c>
      <c r="BE94" s="2">
        <v>86.071</v>
      </c>
      <c r="BF94" s="2">
        <v>86.326</v>
      </c>
      <c r="BG94" s="2">
        <v>86.574</v>
      </c>
      <c r="BH94" s="2">
        <v>86.816</v>
      </c>
      <c r="BI94" s="2">
        <v>87.052</v>
      </c>
      <c r="BJ94" s="2">
        <v>87.282</v>
      </c>
      <c r="BK94" s="2">
        <v>87.507</v>
      </c>
      <c r="BL94" s="2">
        <v>87.727</v>
      </c>
      <c r="BM94" s="2">
        <v>87.94</v>
      </c>
      <c r="BN94" s="2">
        <v>88.149</v>
      </c>
      <c r="BO94" s="2">
        <v>5104.250999999999</v>
      </c>
    </row>
    <row r="95" ht="14.25" customHeight="1">
      <c r="A95" s="2" t="s">
        <v>532</v>
      </c>
      <c r="B95" s="2">
        <v>30.332</v>
      </c>
      <c r="C95" s="2">
        <v>30.519</v>
      </c>
      <c r="D95" s="2">
        <v>30.707</v>
      </c>
      <c r="E95" s="2">
        <v>30.895</v>
      </c>
      <c r="F95" s="2">
        <v>31.085</v>
      </c>
      <c r="G95" s="2">
        <v>31.274</v>
      </c>
      <c r="H95" s="2">
        <v>31.465</v>
      </c>
      <c r="I95" s="2">
        <v>31.656</v>
      </c>
      <c r="J95" s="2">
        <v>31.848</v>
      </c>
      <c r="K95" s="2">
        <v>32.04</v>
      </c>
      <c r="L95" s="2">
        <v>32.212</v>
      </c>
      <c r="M95" s="2">
        <v>32.281</v>
      </c>
      <c r="N95" s="2">
        <v>32.351</v>
      </c>
      <c r="O95" s="2">
        <v>32.421</v>
      </c>
      <c r="P95" s="2">
        <v>32.491</v>
      </c>
      <c r="Q95" s="2">
        <v>32.561</v>
      </c>
      <c r="R95" s="2">
        <v>32.631</v>
      </c>
      <c r="S95" s="2">
        <v>32.701</v>
      </c>
      <c r="T95" s="2">
        <v>32.771</v>
      </c>
      <c r="U95" s="2">
        <v>32.841</v>
      </c>
      <c r="V95" s="2">
        <v>32.912</v>
      </c>
      <c r="W95" s="2">
        <v>32.978</v>
      </c>
      <c r="X95" s="2">
        <v>33.028</v>
      </c>
      <c r="Y95" s="2">
        <v>33.078</v>
      </c>
      <c r="Z95" s="2">
        <v>33.128</v>
      </c>
      <c r="AA95" s="2">
        <v>33.177</v>
      </c>
      <c r="AB95" s="2">
        <v>33.227</v>
      </c>
      <c r="AC95" s="2">
        <v>33.277</v>
      </c>
      <c r="AD95" s="2">
        <v>33.327</v>
      </c>
      <c r="AE95" s="2">
        <v>33.377</v>
      </c>
      <c r="AF95" s="2">
        <v>33.427</v>
      </c>
      <c r="AG95" s="2">
        <v>33.503</v>
      </c>
      <c r="AH95" s="2">
        <v>33.744</v>
      </c>
      <c r="AI95" s="2">
        <v>33.985</v>
      </c>
      <c r="AJ95" s="2">
        <v>34.227</v>
      </c>
      <c r="AK95" s="2">
        <v>34.47</v>
      </c>
      <c r="AL95" s="2">
        <v>34.714</v>
      </c>
      <c r="AM95" s="2">
        <v>34.959</v>
      </c>
      <c r="AN95" s="2">
        <v>35.204</v>
      </c>
      <c r="AO95" s="2">
        <v>35.45</v>
      </c>
      <c r="AP95" s="2">
        <v>35.698</v>
      </c>
      <c r="AQ95" s="2">
        <v>35.919</v>
      </c>
      <c r="AR95" s="2">
        <v>35.913</v>
      </c>
      <c r="AS95" s="2">
        <v>35.907</v>
      </c>
      <c r="AT95" s="2">
        <v>35.901</v>
      </c>
      <c r="AU95" s="2">
        <v>35.895</v>
      </c>
      <c r="AV95" s="2">
        <v>35.889</v>
      </c>
      <c r="AW95" s="2">
        <v>35.883</v>
      </c>
      <c r="AX95" s="2">
        <v>35.877</v>
      </c>
      <c r="AY95" s="2">
        <v>35.871</v>
      </c>
      <c r="AZ95" s="2">
        <v>35.865</v>
      </c>
      <c r="BA95" s="2">
        <v>35.859</v>
      </c>
      <c r="BB95" s="2">
        <v>35.869</v>
      </c>
      <c r="BC95" s="2">
        <v>35.896</v>
      </c>
      <c r="BD95" s="2">
        <v>35.938</v>
      </c>
      <c r="BE95" s="2">
        <v>35.997</v>
      </c>
      <c r="BF95" s="2">
        <v>36.072</v>
      </c>
      <c r="BG95" s="2">
        <v>36.164</v>
      </c>
      <c r="BH95" s="2">
        <v>36.272</v>
      </c>
      <c r="BI95" s="2">
        <v>36.396</v>
      </c>
      <c r="BJ95" s="2">
        <v>36.537</v>
      </c>
      <c r="BK95" s="2">
        <v>36.694</v>
      </c>
      <c r="BL95" s="2">
        <v>36.868</v>
      </c>
      <c r="BM95" s="2">
        <v>37.059</v>
      </c>
      <c r="BN95" s="2">
        <v>37.267</v>
      </c>
      <c r="BO95" s="2">
        <v>2215.7799999999997</v>
      </c>
    </row>
    <row r="96" ht="14.25" customHeight="1">
      <c r="A96" s="2" t="s">
        <v>533</v>
      </c>
      <c r="B96" s="2">
        <v>50.147</v>
      </c>
      <c r="C96" s="2">
        <v>51.23</v>
      </c>
      <c r="D96" s="2">
        <v>52.314</v>
      </c>
      <c r="E96" s="2">
        <v>53.396</v>
      </c>
      <c r="F96" s="2">
        <v>54.475</v>
      </c>
      <c r="G96" s="2">
        <v>55.548</v>
      </c>
      <c r="H96" s="2">
        <v>56.617</v>
      </c>
      <c r="I96" s="2">
        <v>57.68</v>
      </c>
      <c r="J96" s="2">
        <v>58.738</v>
      </c>
      <c r="K96" s="2">
        <v>59.784</v>
      </c>
      <c r="L96" s="2">
        <v>61.92</v>
      </c>
      <c r="M96" s="2">
        <v>67.153</v>
      </c>
      <c r="N96" s="2">
        <v>71.999</v>
      </c>
      <c r="O96" s="2">
        <v>76.371</v>
      </c>
      <c r="P96" s="2">
        <v>80.252</v>
      </c>
      <c r="Q96" s="2">
        <v>83.632</v>
      </c>
      <c r="R96" s="2">
        <v>86.534</v>
      </c>
      <c r="S96" s="2">
        <v>88.983</v>
      </c>
      <c r="T96" s="2">
        <v>91.036</v>
      </c>
      <c r="U96" s="2">
        <v>92.737</v>
      </c>
      <c r="V96" s="2">
        <v>93.753</v>
      </c>
      <c r="W96" s="2">
        <v>93.491</v>
      </c>
      <c r="X96" s="2">
        <v>93.219</v>
      </c>
      <c r="Y96" s="2">
        <v>92.937</v>
      </c>
      <c r="Z96" s="2">
        <v>92.643</v>
      </c>
      <c r="AA96" s="2">
        <v>92.339</v>
      </c>
      <c r="AB96" s="2">
        <v>92.023</v>
      </c>
      <c r="AC96" s="2">
        <v>91.695</v>
      </c>
      <c r="AD96" s="2">
        <v>91.354</v>
      </c>
      <c r="AE96" s="2">
        <v>91.002</v>
      </c>
      <c r="AF96" s="2">
        <v>90.796</v>
      </c>
      <c r="AG96" s="2">
        <v>91.061</v>
      </c>
      <c r="AH96" s="2">
        <v>91.32</v>
      </c>
      <c r="AI96" s="2">
        <v>91.571</v>
      </c>
      <c r="AJ96" s="2">
        <v>91.816</v>
      </c>
      <c r="AK96" s="2">
        <v>92.055</v>
      </c>
      <c r="AL96" s="2">
        <v>92.287</v>
      </c>
      <c r="AM96" s="2">
        <v>92.513</v>
      </c>
      <c r="AN96" s="2">
        <v>92.733</v>
      </c>
      <c r="AO96" s="2">
        <v>92.946</v>
      </c>
      <c r="AP96" s="2">
        <v>93.129</v>
      </c>
      <c r="AQ96" s="2">
        <v>93.233</v>
      </c>
      <c r="AR96" s="2">
        <v>93.334</v>
      </c>
      <c r="AS96" s="2">
        <v>93.435</v>
      </c>
      <c r="AT96" s="2">
        <v>93.534</v>
      </c>
      <c r="AU96" s="2">
        <v>93.631</v>
      </c>
      <c r="AV96" s="2">
        <v>93.727</v>
      </c>
      <c r="AW96" s="2">
        <v>93.822</v>
      </c>
      <c r="AX96" s="2">
        <v>93.916</v>
      </c>
      <c r="AY96" s="2">
        <v>94.008</v>
      </c>
      <c r="AZ96" s="2">
        <v>94.099</v>
      </c>
      <c r="BA96" s="2">
        <v>94.188</v>
      </c>
      <c r="BB96" s="2">
        <v>94.277</v>
      </c>
      <c r="BC96" s="2">
        <v>94.364</v>
      </c>
      <c r="BD96" s="2">
        <v>94.449</v>
      </c>
      <c r="BE96" s="2">
        <v>94.534</v>
      </c>
      <c r="BF96" s="2">
        <v>94.617</v>
      </c>
      <c r="BG96" s="2">
        <v>94.699</v>
      </c>
      <c r="BH96" s="2">
        <v>94.78</v>
      </c>
      <c r="BI96" s="2">
        <v>94.859</v>
      </c>
      <c r="BJ96" s="2">
        <v>94.938</v>
      </c>
      <c r="BK96" s="2">
        <v>95.015</v>
      </c>
      <c r="BL96" s="2">
        <v>95.091</v>
      </c>
      <c r="BM96" s="2">
        <v>95.166</v>
      </c>
      <c r="BN96" s="2">
        <v>95.24</v>
      </c>
      <c r="BO96" s="2">
        <v>5550.1849999999995</v>
      </c>
    </row>
    <row r="97" ht="14.25" customHeight="1">
      <c r="A97" s="2" t="s">
        <v>58</v>
      </c>
      <c r="B97" s="2">
        <v>31.121</v>
      </c>
      <c r="C97" s="2">
        <v>31.768</v>
      </c>
      <c r="D97" s="2">
        <v>32.424</v>
      </c>
      <c r="E97" s="2">
        <v>33.086</v>
      </c>
      <c r="F97" s="2">
        <v>33.682</v>
      </c>
      <c r="G97" s="2">
        <v>33.989</v>
      </c>
      <c r="H97" s="2">
        <v>34.298</v>
      </c>
      <c r="I97" s="2">
        <v>34.608</v>
      </c>
      <c r="J97" s="2">
        <v>34.919</v>
      </c>
      <c r="K97" s="2">
        <v>35.232</v>
      </c>
      <c r="L97" s="2">
        <v>35.545</v>
      </c>
      <c r="M97" s="2">
        <v>35.861</v>
      </c>
      <c r="N97" s="2">
        <v>36.177</v>
      </c>
      <c r="O97" s="2">
        <v>36.494</v>
      </c>
      <c r="P97" s="2">
        <v>36.809</v>
      </c>
      <c r="Q97" s="2">
        <v>37.125</v>
      </c>
      <c r="R97" s="2">
        <v>37.443</v>
      </c>
      <c r="S97" s="2">
        <v>37.762</v>
      </c>
      <c r="T97" s="2">
        <v>38.081</v>
      </c>
      <c r="U97" s="2">
        <v>38.402</v>
      </c>
      <c r="V97" s="2">
        <v>38.724</v>
      </c>
      <c r="W97" s="2">
        <v>39.047</v>
      </c>
      <c r="X97" s="2">
        <v>39.37</v>
      </c>
      <c r="Y97" s="2">
        <v>39.695</v>
      </c>
      <c r="Z97" s="2">
        <v>40.021</v>
      </c>
      <c r="AA97" s="2">
        <v>40.347</v>
      </c>
      <c r="AB97" s="2">
        <v>40.674</v>
      </c>
      <c r="AC97" s="2">
        <v>41.002</v>
      </c>
      <c r="AD97" s="2">
        <v>41.332</v>
      </c>
      <c r="AE97" s="2">
        <v>41.661</v>
      </c>
      <c r="AF97" s="2">
        <v>41.992</v>
      </c>
      <c r="AG97" s="2">
        <v>42.323</v>
      </c>
      <c r="AH97" s="2">
        <v>42.655</v>
      </c>
      <c r="AI97" s="2">
        <v>42.987</v>
      </c>
      <c r="AJ97" s="2">
        <v>43.32</v>
      </c>
      <c r="AK97" s="2">
        <v>43.654</v>
      </c>
      <c r="AL97" s="2">
        <v>43.989</v>
      </c>
      <c r="AM97" s="2">
        <v>44.323</v>
      </c>
      <c r="AN97" s="2">
        <v>44.659</v>
      </c>
      <c r="AO97" s="2">
        <v>44.995</v>
      </c>
      <c r="AP97" s="2">
        <v>45.332</v>
      </c>
      <c r="AQ97" s="2">
        <v>45.668</v>
      </c>
      <c r="AR97" s="2">
        <v>46.005</v>
      </c>
      <c r="AS97" s="2">
        <v>46.318</v>
      </c>
      <c r="AT97" s="2">
        <v>46.616</v>
      </c>
      <c r="AU97" s="2">
        <v>46.913</v>
      </c>
      <c r="AV97" s="2">
        <v>47.21</v>
      </c>
      <c r="AW97" s="2">
        <v>47.508</v>
      </c>
      <c r="AX97" s="2">
        <v>47.807</v>
      </c>
      <c r="AY97" s="2">
        <v>48.104</v>
      </c>
      <c r="AZ97" s="2">
        <v>48.403</v>
      </c>
      <c r="BA97" s="2">
        <v>48.701</v>
      </c>
      <c r="BB97" s="2">
        <v>49.0</v>
      </c>
      <c r="BC97" s="2">
        <v>49.311</v>
      </c>
      <c r="BD97" s="2">
        <v>49.634</v>
      </c>
      <c r="BE97" s="2">
        <v>49.971</v>
      </c>
      <c r="BF97" s="2">
        <v>50.319</v>
      </c>
      <c r="BG97" s="2">
        <v>50.68</v>
      </c>
      <c r="BH97" s="2">
        <v>51.054</v>
      </c>
      <c r="BI97" s="2">
        <v>51.439</v>
      </c>
      <c r="BJ97" s="2">
        <v>51.836</v>
      </c>
      <c r="BK97" s="2">
        <v>52.245</v>
      </c>
      <c r="BL97" s="2">
        <v>52.666</v>
      </c>
      <c r="BM97" s="2">
        <v>53.098</v>
      </c>
      <c r="BN97" s="2">
        <v>53.542</v>
      </c>
      <c r="BO97" s="2">
        <v>2770.976</v>
      </c>
    </row>
    <row r="98" ht="14.25" customHeight="1">
      <c r="A98" s="2" t="s">
        <v>456</v>
      </c>
      <c r="B98" s="2">
        <v>10.472</v>
      </c>
      <c r="C98" s="2">
        <v>10.936</v>
      </c>
      <c r="D98" s="2">
        <v>11.418</v>
      </c>
      <c r="E98" s="2">
        <v>11.919</v>
      </c>
      <c r="F98" s="2">
        <v>12.439</v>
      </c>
      <c r="G98" s="2">
        <v>12.978</v>
      </c>
      <c r="H98" s="2">
        <v>13.537</v>
      </c>
      <c r="I98" s="2">
        <v>14.116</v>
      </c>
      <c r="J98" s="2">
        <v>14.716</v>
      </c>
      <c r="K98" s="2">
        <v>15.336</v>
      </c>
      <c r="L98" s="2">
        <v>15.977</v>
      </c>
      <c r="M98" s="2">
        <v>16.641</v>
      </c>
      <c r="N98" s="2">
        <v>17.327</v>
      </c>
      <c r="O98" s="2">
        <v>18.033</v>
      </c>
      <c r="P98" s="2">
        <v>18.763</v>
      </c>
      <c r="Q98" s="2">
        <v>19.515</v>
      </c>
      <c r="R98" s="2">
        <v>20.291</v>
      </c>
      <c r="S98" s="2">
        <v>21.087</v>
      </c>
      <c r="T98" s="2">
        <v>21.907</v>
      </c>
      <c r="U98" s="2">
        <v>22.75</v>
      </c>
      <c r="V98" s="2">
        <v>23.617</v>
      </c>
      <c r="W98" s="2">
        <v>24.503</v>
      </c>
      <c r="X98" s="2">
        <v>25.414</v>
      </c>
      <c r="Y98" s="2">
        <v>26.072</v>
      </c>
      <c r="Z98" s="2">
        <v>26.346</v>
      </c>
      <c r="AA98" s="2">
        <v>26.621</v>
      </c>
      <c r="AB98" s="2">
        <v>26.898</v>
      </c>
      <c r="AC98" s="2">
        <v>27.178</v>
      </c>
      <c r="AD98" s="2">
        <v>27.459</v>
      </c>
      <c r="AE98" s="2">
        <v>27.741</v>
      </c>
      <c r="AF98" s="2">
        <v>28.026</v>
      </c>
      <c r="AG98" s="2">
        <v>28.312</v>
      </c>
      <c r="AH98" s="2">
        <v>28.601</v>
      </c>
      <c r="AI98" s="2">
        <v>28.89</v>
      </c>
      <c r="AJ98" s="2">
        <v>29.182</v>
      </c>
      <c r="AK98" s="2">
        <v>29.475</v>
      </c>
      <c r="AL98" s="2">
        <v>29.77</v>
      </c>
      <c r="AM98" s="2">
        <v>30.052</v>
      </c>
      <c r="AN98" s="2">
        <v>30.323</v>
      </c>
      <c r="AO98" s="2">
        <v>30.595</v>
      </c>
      <c r="AP98" s="2">
        <v>30.869</v>
      </c>
      <c r="AQ98" s="2">
        <v>31.144</v>
      </c>
      <c r="AR98" s="2">
        <v>31.42</v>
      </c>
      <c r="AS98" s="2">
        <v>31.698</v>
      </c>
      <c r="AT98" s="2">
        <v>31.977</v>
      </c>
      <c r="AU98" s="2">
        <v>32.257</v>
      </c>
      <c r="AV98" s="2">
        <v>32.539</v>
      </c>
      <c r="AW98" s="2">
        <v>32.822</v>
      </c>
      <c r="AX98" s="2">
        <v>33.106</v>
      </c>
      <c r="AY98" s="2">
        <v>33.391</v>
      </c>
      <c r="AZ98" s="2">
        <v>33.678</v>
      </c>
      <c r="BA98" s="2">
        <v>33.966</v>
      </c>
      <c r="BB98" s="2">
        <v>34.255</v>
      </c>
      <c r="BC98" s="2">
        <v>34.545</v>
      </c>
      <c r="BD98" s="2">
        <v>34.836</v>
      </c>
      <c r="BE98" s="2">
        <v>35.141</v>
      </c>
      <c r="BF98" s="2">
        <v>35.46</v>
      </c>
      <c r="BG98" s="2">
        <v>35.793</v>
      </c>
      <c r="BH98" s="2">
        <v>36.14</v>
      </c>
      <c r="BI98" s="2">
        <v>36.5</v>
      </c>
      <c r="BJ98" s="2">
        <v>36.875</v>
      </c>
      <c r="BK98" s="2">
        <v>37.264</v>
      </c>
      <c r="BL98" s="2">
        <v>37.668</v>
      </c>
      <c r="BM98" s="2">
        <v>38.085</v>
      </c>
      <c r="BN98" s="2">
        <v>38.517</v>
      </c>
      <c r="BO98" s="2">
        <v>1735.179</v>
      </c>
    </row>
    <row r="99" ht="14.25" customHeight="1">
      <c r="A99" s="2" t="s">
        <v>457</v>
      </c>
      <c r="B99" s="2">
        <v>13.6</v>
      </c>
      <c r="C99" s="2">
        <v>13.747</v>
      </c>
      <c r="D99" s="2">
        <v>13.895</v>
      </c>
      <c r="E99" s="2">
        <v>14.045</v>
      </c>
      <c r="F99" s="2">
        <v>14.197</v>
      </c>
      <c r="G99" s="2">
        <v>14.349</v>
      </c>
      <c r="H99" s="2">
        <v>14.503</v>
      </c>
      <c r="I99" s="2">
        <v>14.658</v>
      </c>
      <c r="J99" s="2">
        <v>14.815</v>
      </c>
      <c r="K99" s="2">
        <v>14.972</v>
      </c>
      <c r="L99" s="2">
        <v>15.132</v>
      </c>
      <c r="M99" s="2">
        <v>15.293</v>
      </c>
      <c r="N99" s="2">
        <v>15.455</v>
      </c>
      <c r="O99" s="2">
        <v>15.618</v>
      </c>
      <c r="P99" s="2">
        <v>15.783</v>
      </c>
      <c r="Q99" s="2">
        <v>15.95</v>
      </c>
      <c r="R99" s="2">
        <v>16.118</v>
      </c>
      <c r="S99" s="2">
        <v>16.287</v>
      </c>
      <c r="T99" s="2">
        <v>16.457</v>
      </c>
      <c r="U99" s="2">
        <v>16.77</v>
      </c>
      <c r="V99" s="2">
        <v>17.804</v>
      </c>
      <c r="W99" s="2">
        <v>18.883</v>
      </c>
      <c r="X99" s="2">
        <v>20.013</v>
      </c>
      <c r="Y99" s="2">
        <v>21.194</v>
      </c>
      <c r="Z99" s="2">
        <v>22.426</v>
      </c>
      <c r="AA99" s="2">
        <v>23.704</v>
      </c>
      <c r="AB99" s="2">
        <v>25.034</v>
      </c>
      <c r="AC99" s="2">
        <v>26.413</v>
      </c>
      <c r="AD99" s="2">
        <v>27.841</v>
      </c>
      <c r="AE99" s="2">
        <v>29.312</v>
      </c>
      <c r="AF99" s="2">
        <v>30.83</v>
      </c>
      <c r="AG99" s="2">
        <v>32.39</v>
      </c>
      <c r="AH99" s="2">
        <v>33.271</v>
      </c>
      <c r="AI99" s="2">
        <v>33.635</v>
      </c>
      <c r="AJ99" s="2">
        <v>34.002</v>
      </c>
      <c r="AK99" s="2">
        <v>34.371</v>
      </c>
      <c r="AL99" s="2">
        <v>34.742</v>
      </c>
      <c r="AM99" s="2">
        <v>35.114</v>
      </c>
      <c r="AN99" s="2">
        <v>35.488</v>
      </c>
      <c r="AO99" s="2">
        <v>35.865</v>
      </c>
      <c r="AP99" s="2">
        <v>36.243</v>
      </c>
      <c r="AQ99" s="2">
        <v>36.622</v>
      </c>
      <c r="AR99" s="2">
        <v>37.004</v>
      </c>
      <c r="AS99" s="2">
        <v>37.387</v>
      </c>
      <c r="AT99" s="2">
        <v>37.772</v>
      </c>
      <c r="AU99" s="2">
        <v>38.157</v>
      </c>
      <c r="AV99" s="2">
        <v>38.545</v>
      </c>
      <c r="AW99" s="2">
        <v>38.934</v>
      </c>
      <c r="AX99" s="2">
        <v>39.325</v>
      </c>
      <c r="AY99" s="2">
        <v>39.716</v>
      </c>
      <c r="AZ99" s="2">
        <v>40.111</v>
      </c>
      <c r="BA99" s="2">
        <v>40.508</v>
      </c>
      <c r="BB99" s="2">
        <v>40.908</v>
      </c>
      <c r="BC99" s="2">
        <v>41.31</v>
      </c>
      <c r="BD99" s="2">
        <v>41.715</v>
      </c>
      <c r="BE99" s="2">
        <v>42.123</v>
      </c>
      <c r="BF99" s="2">
        <v>42.533</v>
      </c>
      <c r="BG99" s="2">
        <v>42.945</v>
      </c>
      <c r="BH99" s="2">
        <v>43.36</v>
      </c>
      <c r="BI99" s="2">
        <v>43.777</v>
      </c>
      <c r="BJ99" s="2">
        <v>44.196</v>
      </c>
      <c r="BK99" s="2">
        <v>44.617</v>
      </c>
      <c r="BL99" s="2">
        <v>45.041</v>
      </c>
      <c r="BM99" s="2">
        <v>45.466</v>
      </c>
      <c r="BN99" s="2">
        <v>45.893</v>
      </c>
      <c r="BO99" s="2">
        <v>1898.1839999999993</v>
      </c>
    </row>
    <row r="100" ht="14.25" customHeight="1">
      <c r="A100" s="2" t="s">
        <v>59</v>
      </c>
      <c r="B100" s="2">
        <v>29.009</v>
      </c>
      <c r="C100" s="2">
        <v>29.049</v>
      </c>
      <c r="D100" s="2">
        <v>29.089</v>
      </c>
      <c r="E100" s="2">
        <v>29.129</v>
      </c>
      <c r="F100" s="2">
        <v>29.169</v>
      </c>
      <c r="G100" s="2">
        <v>29.209</v>
      </c>
      <c r="H100" s="2">
        <v>29.249</v>
      </c>
      <c r="I100" s="2">
        <v>29.289</v>
      </c>
      <c r="J100" s="2">
        <v>29.329</v>
      </c>
      <c r="K100" s="2">
        <v>29.369</v>
      </c>
      <c r="L100" s="2">
        <v>29.425</v>
      </c>
      <c r="M100" s="2">
        <v>29.533</v>
      </c>
      <c r="N100" s="2">
        <v>29.641</v>
      </c>
      <c r="O100" s="2">
        <v>29.75</v>
      </c>
      <c r="P100" s="2">
        <v>29.858</v>
      </c>
      <c r="Q100" s="2">
        <v>29.967</v>
      </c>
      <c r="R100" s="2">
        <v>30.076</v>
      </c>
      <c r="S100" s="2">
        <v>30.186</v>
      </c>
      <c r="T100" s="2">
        <v>30.295</v>
      </c>
      <c r="U100" s="2">
        <v>30.405</v>
      </c>
      <c r="V100" s="2">
        <v>30.488</v>
      </c>
      <c r="W100" s="2">
        <v>30.396</v>
      </c>
      <c r="X100" s="2">
        <v>30.305</v>
      </c>
      <c r="Y100" s="2">
        <v>30.215</v>
      </c>
      <c r="Z100" s="2">
        <v>30.124</v>
      </c>
      <c r="AA100" s="2">
        <v>30.033</v>
      </c>
      <c r="AB100" s="2">
        <v>29.943</v>
      </c>
      <c r="AC100" s="2">
        <v>29.853</v>
      </c>
      <c r="AD100" s="2">
        <v>29.763</v>
      </c>
      <c r="AE100" s="2">
        <v>29.673</v>
      </c>
      <c r="AF100" s="2">
        <v>29.583</v>
      </c>
      <c r="AG100" s="2">
        <v>29.493</v>
      </c>
      <c r="AH100" s="2">
        <v>29.404</v>
      </c>
      <c r="AI100" s="2">
        <v>29.315</v>
      </c>
      <c r="AJ100" s="2">
        <v>29.226</v>
      </c>
      <c r="AK100" s="2">
        <v>29.137</v>
      </c>
      <c r="AL100" s="2">
        <v>29.048</v>
      </c>
      <c r="AM100" s="2">
        <v>28.959</v>
      </c>
      <c r="AN100" s="2">
        <v>28.871</v>
      </c>
      <c r="AO100" s="2">
        <v>28.782</v>
      </c>
      <c r="AP100" s="2">
        <v>28.694</v>
      </c>
      <c r="AQ100" s="2">
        <v>28.606</v>
      </c>
      <c r="AR100" s="2">
        <v>28.518</v>
      </c>
      <c r="AS100" s="2">
        <v>28.307</v>
      </c>
      <c r="AT100" s="2">
        <v>28.064</v>
      </c>
      <c r="AU100" s="2">
        <v>27.822</v>
      </c>
      <c r="AV100" s="2">
        <v>27.582</v>
      </c>
      <c r="AW100" s="2">
        <v>27.343</v>
      </c>
      <c r="AX100" s="2">
        <v>27.105</v>
      </c>
      <c r="AY100" s="2">
        <v>26.869</v>
      </c>
      <c r="AZ100" s="2">
        <v>26.634</v>
      </c>
      <c r="BA100" s="2">
        <v>26.4</v>
      </c>
      <c r="BB100" s="2">
        <v>26.4</v>
      </c>
      <c r="BC100" s="2">
        <v>26.4</v>
      </c>
      <c r="BD100" s="2">
        <v>26.414</v>
      </c>
      <c r="BE100" s="2">
        <v>26.441</v>
      </c>
      <c r="BF100" s="2">
        <v>26.482</v>
      </c>
      <c r="BG100" s="2">
        <v>26.538</v>
      </c>
      <c r="BH100" s="2">
        <v>26.606</v>
      </c>
      <c r="BI100" s="2">
        <v>26.689</v>
      </c>
      <c r="BJ100" s="2">
        <v>26.786</v>
      </c>
      <c r="BK100" s="2">
        <v>26.897</v>
      </c>
      <c r="BL100" s="2">
        <v>27.022</v>
      </c>
      <c r="BM100" s="2">
        <v>27.162</v>
      </c>
      <c r="BN100" s="2">
        <v>27.316</v>
      </c>
      <c r="BO100" s="2">
        <v>1862.7340000000004</v>
      </c>
    </row>
    <row r="101" ht="14.25" customHeight="1">
      <c r="A101" s="2" t="s">
        <v>60</v>
      </c>
      <c r="B101" s="2">
        <v>15.593</v>
      </c>
      <c r="C101" s="2">
        <v>15.975</v>
      </c>
      <c r="D101" s="2">
        <v>16.365</v>
      </c>
      <c r="E101" s="2">
        <v>16.762</v>
      </c>
      <c r="F101" s="2">
        <v>17.168</v>
      </c>
      <c r="G101" s="2">
        <v>17.58</v>
      </c>
      <c r="H101" s="2">
        <v>18.001</v>
      </c>
      <c r="I101" s="2">
        <v>18.429</v>
      </c>
      <c r="J101" s="2">
        <v>18.866</v>
      </c>
      <c r="K101" s="2">
        <v>19.31</v>
      </c>
      <c r="L101" s="2">
        <v>19.762</v>
      </c>
      <c r="M101" s="2">
        <v>20.222</v>
      </c>
      <c r="N101" s="2">
        <v>20.323</v>
      </c>
      <c r="O101" s="2">
        <v>20.35</v>
      </c>
      <c r="P101" s="2">
        <v>20.377</v>
      </c>
      <c r="Q101" s="2">
        <v>20.404</v>
      </c>
      <c r="R101" s="2">
        <v>20.431</v>
      </c>
      <c r="S101" s="2">
        <v>20.459</v>
      </c>
      <c r="T101" s="2">
        <v>20.486</v>
      </c>
      <c r="U101" s="2">
        <v>20.513</v>
      </c>
      <c r="V101" s="2">
        <v>20.541</v>
      </c>
      <c r="W101" s="2">
        <v>20.568</v>
      </c>
      <c r="X101" s="2">
        <v>20.595</v>
      </c>
      <c r="Y101" s="2">
        <v>21.36</v>
      </c>
      <c r="Z101" s="2">
        <v>22.297</v>
      </c>
      <c r="AA101" s="2">
        <v>23.261</v>
      </c>
      <c r="AB101" s="2">
        <v>24.255</v>
      </c>
      <c r="AC101" s="2">
        <v>25.277</v>
      </c>
      <c r="AD101" s="2">
        <v>26.329</v>
      </c>
      <c r="AE101" s="2">
        <v>27.405</v>
      </c>
      <c r="AF101" s="2">
        <v>28.51</v>
      </c>
      <c r="AG101" s="2">
        <v>29.641</v>
      </c>
      <c r="AH101" s="2">
        <v>30.8</v>
      </c>
      <c r="AI101" s="2">
        <v>31.39</v>
      </c>
      <c r="AJ101" s="2">
        <v>31.987</v>
      </c>
      <c r="AK101" s="2">
        <v>32.59</v>
      </c>
      <c r="AL101" s="2">
        <v>33.2</v>
      </c>
      <c r="AM101" s="2">
        <v>33.792</v>
      </c>
      <c r="AN101" s="2">
        <v>34.389</v>
      </c>
      <c r="AO101" s="2">
        <v>34.992</v>
      </c>
      <c r="AP101" s="2">
        <v>35.6</v>
      </c>
      <c r="AQ101" s="2">
        <v>37.251</v>
      </c>
      <c r="AR101" s="2">
        <v>38.935</v>
      </c>
      <c r="AS101" s="2">
        <v>40.645</v>
      </c>
      <c r="AT101" s="2">
        <v>41.679</v>
      </c>
      <c r="AU101" s="2">
        <v>42.638</v>
      </c>
      <c r="AV101" s="2">
        <v>43.604</v>
      </c>
      <c r="AW101" s="2">
        <v>44.574</v>
      </c>
      <c r="AX101" s="2">
        <v>45.551</v>
      </c>
      <c r="AY101" s="2">
        <v>46.528</v>
      </c>
      <c r="AZ101" s="2">
        <v>47.509</v>
      </c>
      <c r="BA101" s="2">
        <v>48.492</v>
      </c>
      <c r="BB101" s="2">
        <v>49.477</v>
      </c>
      <c r="BC101" s="2">
        <v>50.46</v>
      </c>
      <c r="BD101" s="2">
        <v>51.444</v>
      </c>
      <c r="BE101" s="2">
        <v>52.427</v>
      </c>
      <c r="BF101" s="2">
        <v>53.396</v>
      </c>
      <c r="BG101" s="2">
        <v>54.346</v>
      </c>
      <c r="BH101" s="2">
        <v>55.278</v>
      </c>
      <c r="BI101" s="2">
        <v>56.192</v>
      </c>
      <c r="BJ101" s="2">
        <v>57.088</v>
      </c>
      <c r="BK101" s="2">
        <v>57.964</v>
      </c>
      <c r="BL101" s="2">
        <v>58.82</v>
      </c>
      <c r="BM101" s="2">
        <v>59.656</v>
      </c>
      <c r="BN101" s="2">
        <v>60.472</v>
      </c>
      <c r="BO101" s="2">
        <v>2160.581</v>
      </c>
    </row>
    <row r="102" ht="14.25" customHeight="1">
      <c r="A102" s="2" t="s">
        <v>534</v>
      </c>
      <c r="B102" s="2">
        <v>12.4188743674623</v>
      </c>
      <c r="C102" s="2">
        <v>12.7660052269012</v>
      </c>
      <c r="D102" s="2">
        <v>13.1225064275501</v>
      </c>
      <c r="E102" s="2">
        <v>13.496853685388</v>
      </c>
      <c r="F102" s="2">
        <v>13.894014808605</v>
      </c>
      <c r="G102" s="2">
        <v>14.3054475637109</v>
      </c>
      <c r="H102" s="2">
        <v>14.7128453698059</v>
      </c>
      <c r="I102" s="2">
        <v>15.1339422862542</v>
      </c>
      <c r="J102" s="2">
        <v>15.5676302858935</v>
      </c>
      <c r="K102" s="2">
        <v>16.0169851941922</v>
      </c>
      <c r="L102" s="2">
        <v>16.4497983654086</v>
      </c>
      <c r="M102" s="2">
        <v>16.8894173424511</v>
      </c>
      <c r="N102" s="2">
        <v>17.3382119184104</v>
      </c>
      <c r="O102" s="2">
        <v>17.7902968626253</v>
      </c>
      <c r="P102" s="2">
        <v>18.2242405616068</v>
      </c>
      <c r="Q102" s="2">
        <v>18.6659795931818</v>
      </c>
      <c r="R102" s="2">
        <v>19.114651646093</v>
      </c>
      <c r="S102" s="2">
        <v>19.562784693198</v>
      </c>
      <c r="T102" s="2">
        <v>20.0278897675283</v>
      </c>
      <c r="U102" s="2">
        <v>20.4325797178612</v>
      </c>
      <c r="V102" s="2">
        <v>20.859071712916</v>
      </c>
      <c r="W102" s="2">
        <v>21.2700857454597</v>
      </c>
      <c r="X102" s="2">
        <v>21.6603073020714</v>
      </c>
      <c r="Y102" s="2">
        <v>22.0879711035149</v>
      </c>
      <c r="Z102" s="2">
        <v>22.5631337912945</v>
      </c>
      <c r="AA102" s="2">
        <v>23.0801268893243</v>
      </c>
      <c r="AB102" s="2">
        <v>23.5964307652328</v>
      </c>
      <c r="AC102" s="2">
        <v>24.0989886190868</v>
      </c>
      <c r="AD102" s="2">
        <v>24.5843765172004</v>
      </c>
      <c r="AE102" s="2">
        <v>25.02971767809</v>
      </c>
      <c r="AF102" s="2">
        <v>25.4610376793832</v>
      </c>
      <c r="AG102" s="2">
        <v>25.8417989185358</v>
      </c>
      <c r="AH102" s="2">
        <v>26.2192942193122</v>
      </c>
      <c r="AI102" s="2">
        <v>26.5825676165241</v>
      </c>
      <c r="AJ102" s="2">
        <v>26.9515537750485</v>
      </c>
      <c r="AK102" s="2">
        <v>27.2931297298689</v>
      </c>
      <c r="AL102" s="2">
        <v>27.551870433657</v>
      </c>
      <c r="AM102" s="2">
        <v>27.8343530529652</v>
      </c>
      <c r="AN102" s="2">
        <v>28.1348226871196</v>
      </c>
      <c r="AO102" s="2">
        <v>28.4385651468002</v>
      </c>
      <c r="AP102" s="2">
        <v>28.751206646209</v>
      </c>
      <c r="AQ102" s="2">
        <v>29.0997842101012</v>
      </c>
      <c r="AR102" s="2">
        <v>29.4405452459864</v>
      </c>
      <c r="AS102" s="2">
        <v>29.7848750098506</v>
      </c>
      <c r="AT102" s="2">
        <v>30.1319847165403</v>
      </c>
      <c r="AU102" s="2">
        <v>30.5007055923899</v>
      </c>
      <c r="AV102" s="2">
        <v>30.8754644673953</v>
      </c>
      <c r="AW102" s="2">
        <v>31.1918387091866</v>
      </c>
      <c r="AX102" s="2">
        <v>31.6240989205184</v>
      </c>
      <c r="AY102" s="2">
        <v>32.0530756202666</v>
      </c>
      <c r="AZ102" s="2">
        <v>32.4915129666729</v>
      </c>
      <c r="BA102" s="2">
        <v>32.9335581402091</v>
      </c>
      <c r="BB102" s="2">
        <v>33.3590439921105</v>
      </c>
      <c r="BC102" s="2">
        <v>33.7920341062954</v>
      </c>
      <c r="BD102" s="2">
        <v>34.2342020425184</v>
      </c>
      <c r="BE102" s="2">
        <v>34.6901904052385</v>
      </c>
      <c r="BF102" s="2">
        <v>35.1570287833477</v>
      </c>
      <c r="BG102" s="2">
        <v>35.6246731078243</v>
      </c>
      <c r="BH102" s="2">
        <v>36.0931323349764</v>
      </c>
      <c r="BI102" s="2">
        <v>36.5663214736184</v>
      </c>
      <c r="BJ102" s="2">
        <v>37.0465389661088</v>
      </c>
      <c r="BK102" s="2">
        <v>37.5368693810027</v>
      </c>
      <c r="BL102" s="2">
        <v>38.0398695478935</v>
      </c>
      <c r="BM102" s="2">
        <v>38.5476985045552</v>
      </c>
      <c r="BN102" s="2">
        <v>39.0592030211583</v>
      </c>
      <c r="BO102" s="2">
        <v>1663.6956149795074</v>
      </c>
    </row>
    <row r="103" ht="14.25" customHeight="1">
      <c r="A103" s="2" t="s">
        <v>133</v>
      </c>
      <c r="B103" s="2">
        <v>61.3881844370618</v>
      </c>
      <c r="C103" s="2">
        <v>61.9478269176498</v>
      </c>
      <c r="D103" s="2">
        <v>62.511295845261</v>
      </c>
      <c r="E103" s="2">
        <v>63.0885003735131</v>
      </c>
      <c r="F103" s="2">
        <v>63.665538337718</v>
      </c>
      <c r="G103" s="2">
        <v>64.2395674469321</v>
      </c>
      <c r="H103" s="2">
        <v>64.8009552542807</v>
      </c>
      <c r="I103" s="2">
        <v>65.3687915969866</v>
      </c>
      <c r="J103" s="2">
        <v>65.9219389944067</v>
      </c>
      <c r="K103" s="2">
        <v>66.4491829784391</v>
      </c>
      <c r="L103" s="2">
        <v>66.9593542215777</v>
      </c>
      <c r="M103" s="2">
        <v>67.420154232202</v>
      </c>
      <c r="N103" s="2">
        <v>67.8495811790658</v>
      </c>
      <c r="O103" s="2">
        <v>68.2701376957862</v>
      </c>
      <c r="P103" s="2">
        <v>68.6858354682861</v>
      </c>
      <c r="Q103" s="2">
        <v>69.0872460981536</v>
      </c>
      <c r="R103" s="2">
        <v>69.4381242038611</v>
      </c>
      <c r="S103" s="2">
        <v>69.7841804985594</v>
      </c>
      <c r="T103" s="2">
        <v>70.1347449434895</v>
      </c>
      <c r="U103" s="2">
        <v>70.4675221831642</v>
      </c>
      <c r="V103" s="2">
        <v>70.7815119902142</v>
      </c>
      <c r="W103" s="2">
        <v>71.1117331759452</v>
      </c>
      <c r="X103" s="2">
        <v>71.4048793699514</v>
      </c>
      <c r="Y103" s="2">
        <v>71.6810694002322</v>
      </c>
      <c r="Z103" s="2">
        <v>71.9450144945252</v>
      </c>
      <c r="AA103" s="2">
        <v>72.2047847323432</v>
      </c>
      <c r="AB103" s="2">
        <v>72.4886056563926</v>
      </c>
      <c r="AC103" s="2">
        <v>72.7974258701767</v>
      </c>
      <c r="AD103" s="2">
        <v>73.0962037989181</v>
      </c>
      <c r="AE103" s="2">
        <v>73.3462470824798</v>
      </c>
      <c r="AF103" s="2">
        <v>73.5709038561538</v>
      </c>
      <c r="AG103" s="2">
        <v>73.8198499338838</v>
      </c>
      <c r="AH103" s="2">
        <v>74.0555189250113</v>
      </c>
      <c r="AI103" s="2">
        <v>74.27307102676</v>
      </c>
      <c r="AJ103" s="2">
        <v>74.4922157839919</v>
      </c>
      <c r="AK103" s="2">
        <v>74.7107846167855</v>
      </c>
      <c r="AL103" s="2">
        <v>74.9215613556474</v>
      </c>
      <c r="AM103" s="2">
        <v>75.1219856014955</v>
      </c>
      <c r="AN103" s="2">
        <v>75.3209831759015</v>
      </c>
      <c r="AO103" s="2">
        <v>75.5194394451946</v>
      </c>
      <c r="AP103" s="2">
        <v>75.7159104606566</v>
      </c>
      <c r="AQ103" s="2">
        <v>76.0217333975494</v>
      </c>
      <c r="AR103" s="2">
        <v>76.3770316647446</v>
      </c>
      <c r="AS103" s="2">
        <v>76.7142748013634</v>
      </c>
      <c r="AT103" s="2">
        <v>77.042176882353</v>
      </c>
      <c r="AU103" s="2">
        <v>77.3601853804245</v>
      </c>
      <c r="AV103" s="2">
        <v>77.6555109257518</v>
      </c>
      <c r="AW103" s="2">
        <v>77.9419987843462</v>
      </c>
      <c r="AX103" s="2">
        <v>78.2197380662392</v>
      </c>
      <c r="AY103" s="2">
        <v>78.4817631800137</v>
      </c>
      <c r="AZ103" s="2">
        <v>78.7302909686589</v>
      </c>
      <c r="BA103" s="2">
        <v>78.92346650909</v>
      </c>
      <c r="BB103" s="2">
        <v>79.0924332402722</v>
      </c>
      <c r="BC103" s="2">
        <v>79.2656707284999</v>
      </c>
      <c r="BD103" s="2">
        <v>79.438706118654</v>
      </c>
      <c r="BE103" s="2">
        <v>79.6164028862011</v>
      </c>
      <c r="BF103" s="2">
        <v>79.7971842507953</v>
      </c>
      <c r="BG103" s="2">
        <v>79.9779465106785</v>
      </c>
      <c r="BH103" s="2">
        <v>80.1568320346379</v>
      </c>
      <c r="BI103" s="2">
        <v>80.3466412738277</v>
      </c>
      <c r="BJ103" s="2">
        <v>80.5443858638506</v>
      </c>
      <c r="BK103" s="2">
        <v>80.732211145294</v>
      </c>
      <c r="BL103" s="2">
        <v>80.941962138335</v>
      </c>
      <c r="BM103" s="2">
        <v>81.1614698861601</v>
      </c>
      <c r="BN103" s="2">
        <v>81.3822975288007</v>
      </c>
      <c r="BO103" s="2">
        <v>4765.780676825598</v>
      </c>
    </row>
    <row r="104" ht="14.25" customHeight="1">
      <c r="A104" s="2" t="s">
        <v>61</v>
      </c>
      <c r="B104" s="2">
        <v>22.747</v>
      </c>
      <c r="C104" s="2">
        <v>23.318</v>
      </c>
      <c r="D104" s="2">
        <v>23.9</v>
      </c>
      <c r="E104" s="2">
        <v>24.491</v>
      </c>
      <c r="F104" s="2">
        <v>25.094</v>
      </c>
      <c r="G104" s="2">
        <v>25.704</v>
      </c>
      <c r="H104" s="2">
        <v>26.325</v>
      </c>
      <c r="I104" s="2">
        <v>26.955</v>
      </c>
      <c r="J104" s="2">
        <v>27.596</v>
      </c>
      <c r="K104" s="2">
        <v>28.244</v>
      </c>
      <c r="L104" s="2">
        <v>28.902</v>
      </c>
      <c r="M104" s="2">
        <v>29.569</v>
      </c>
      <c r="N104" s="2">
        <v>30.246</v>
      </c>
      <c r="O104" s="2">
        <v>30.93</v>
      </c>
      <c r="P104" s="2">
        <v>31.571</v>
      </c>
      <c r="Q104" s="2">
        <v>32.11</v>
      </c>
      <c r="R104" s="2">
        <v>32.653</v>
      </c>
      <c r="S104" s="2">
        <v>33.2</v>
      </c>
      <c r="T104" s="2">
        <v>33.752</v>
      </c>
      <c r="U104" s="2">
        <v>34.309</v>
      </c>
      <c r="V104" s="2">
        <v>34.87</v>
      </c>
      <c r="W104" s="2">
        <v>35.435</v>
      </c>
      <c r="X104" s="2">
        <v>36.004</v>
      </c>
      <c r="Y104" s="2">
        <v>36.577</v>
      </c>
      <c r="Z104" s="2">
        <v>37.155</v>
      </c>
      <c r="AA104" s="2">
        <v>37.735</v>
      </c>
      <c r="AB104" s="2">
        <v>38.319</v>
      </c>
      <c r="AC104" s="2">
        <v>38.907</v>
      </c>
      <c r="AD104" s="2">
        <v>39.481</v>
      </c>
      <c r="AE104" s="2">
        <v>39.969</v>
      </c>
      <c r="AF104" s="2">
        <v>40.46</v>
      </c>
      <c r="AG104" s="2">
        <v>40.953</v>
      </c>
      <c r="AH104" s="2">
        <v>41.448</v>
      </c>
      <c r="AI104" s="2">
        <v>41.943</v>
      </c>
      <c r="AJ104" s="2">
        <v>42.441</v>
      </c>
      <c r="AK104" s="2">
        <v>42.941</v>
      </c>
      <c r="AL104" s="2">
        <v>43.442</v>
      </c>
      <c r="AM104" s="2">
        <v>43.944</v>
      </c>
      <c r="AN104" s="2">
        <v>44.447</v>
      </c>
      <c r="AO104" s="2">
        <v>44.952</v>
      </c>
      <c r="AP104" s="2">
        <v>45.458</v>
      </c>
      <c r="AQ104" s="2">
        <v>45.964</v>
      </c>
      <c r="AR104" s="2">
        <v>46.61</v>
      </c>
      <c r="AS104" s="2">
        <v>47.267</v>
      </c>
      <c r="AT104" s="2">
        <v>47.927</v>
      </c>
      <c r="AU104" s="2">
        <v>48.585</v>
      </c>
      <c r="AV104" s="2">
        <v>49.245</v>
      </c>
      <c r="AW104" s="2">
        <v>49.905</v>
      </c>
      <c r="AX104" s="2">
        <v>50.566</v>
      </c>
      <c r="AY104" s="2">
        <v>51.225</v>
      </c>
      <c r="AZ104" s="2">
        <v>51.885</v>
      </c>
      <c r="BA104" s="2">
        <v>52.543</v>
      </c>
      <c r="BB104" s="2">
        <v>53.202</v>
      </c>
      <c r="BC104" s="2">
        <v>53.858</v>
      </c>
      <c r="BD104" s="2">
        <v>54.514</v>
      </c>
      <c r="BE104" s="2">
        <v>55.165</v>
      </c>
      <c r="BF104" s="2">
        <v>55.813</v>
      </c>
      <c r="BG104" s="2">
        <v>56.457</v>
      </c>
      <c r="BH104" s="2">
        <v>57.096</v>
      </c>
      <c r="BI104" s="2">
        <v>57.73</v>
      </c>
      <c r="BJ104" s="2">
        <v>58.359</v>
      </c>
      <c r="BK104" s="2">
        <v>58.982</v>
      </c>
      <c r="BL104" s="2">
        <v>59.6</v>
      </c>
      <c r="BM104" s="2">
        <v>60.212</v>
      </c>
      <c r="BN104" s="2">
        <v>60.818</v>
      </c>
      <c r="BO104" s="2">
        <v>2702.025</v>
      </c>
    </row>
    <row r="105" ht="14.25" customHeight="1">
      <c r="A105" s="2" t="s">
        <v>62</v>
      </c>
      <c r="B105" s="2">
        <v>85.2</v>
      </c>
      <c r="C105" s="2">
        <v>85.293</v>
      </c>
      <c r="D105" s="2">
        <v>85.582</v>
      </c>
      <c r="E105" s="2">
        <v>85.867</v>
      </c>
      <c r="F105" s="2">
        <v>86.147</v>
      </c>
      <c r="G105" s="2">
        <v>86.422</v>
      </c>
      <c r="H105" s="2">
        <v>86.692</v>
      </c>
      <c r="I105" s="2">
        <v>86.958</v>
      </c>
      <c r="J105" s="2">
        <v>87.22</v>
      </c>
      <c r="K105" s="2">
        <v>87.476</v>
      </c>
      <c r="L105" s="2">
        <v>87.729</v>
      </c>
      <c r="M105" s="2">
        <v>88.039</v>
      </c>
      <c r="N105" s="2">
        <v>88.474</v>
      </c>
      <c r="O105" s="2">
        <v>88.894</v>
      </c>
      <c r="P105" s="2">
        <v>89.301</v>
      </c>
      <c r="Q105" s="2">
        <v>89.695</v>
      </c>
      <c r="R105" s="2">
        <v>90.077</v>
      </c>
      <c r="S105" s="2">
        <v>90.445</v>
      </c>
      <c r="T105" s="2">
        <v>90.801</v>
      </c>
      <c r="U105" s="2">
        <v>91.145</v>
      </c>
      <c r="V105" s="2">
        <v>91.478</v>
      </c>
      <c r="W105" s="2">
        <v>91.794</v>
      </c>
      <c r="X105" s="2">
        <v>92.09</v>
      </c>
      <c r="Y105" s="2">
        <v>92.376</v>
      </c>
      <c r="Z105" s="2">
        <v>92.653</v>
      </c>
      <c r="AA105" s="2">
        <v>92.92</v>
      </c>
      <c r="AB105" s="2">
        <v>94.248</v>
      </c>
      <c r="AC105" s="2">
        <v>96.86</v>
      </c>
      <c r="AD105" s="2">
        <v>98.309</v>
      </c>
      <c r="AE105" s="2">
        <v>99.094</v>
      </c>
      <c r="AF105" s="2">
        <v>99.517</v>
      </c>
      <c r="AG105" s="2">
        <v>99.832</v>
      </c>
      <c r="AH105" s="2">
        <v>99.979</v>
      </c>
      <c r="AI105" s="2">
        <v>100.0</v>
      </c>
      <c r="AJ105" s="2">
        <v>100.0</v>
      </c>
      <c r="AK105" s="2">
        <v>100.0</v>
      </c>
      <c r="AL105" s="2">
        <v>100.0</v>
      </c>
      <c r="AM105" s="2">
        <v>100.0</v>
      </c>
      <c r="AN105" s="2">
        <v>100.0</v>
      </c>
      <c r="AO105" s="2">
        <v>100.0</v>
      </c>
      <c r="AP105" s="2">
        <v>100.0</v>
      </c>
      <c r="AQ105" s="2">
        <v>100.0</v>
      </c>
      <c r="AR105" s="2">
        <v>100.0</v>
      </c>
      <c r="AS105" s="2">
        <v>100.0</v>
      </c>
      <c r="AT105" s="2">
        <v>100.0</v>
      </c>
      <c r="AU105" s="2">
        <v>100.0</v>
      </c>
      <c r="AV105" s="2">
        <v>100.0</v>
      </c>
      <c r="AW105" s="2">
        <v>100.0</v>
      </c>
      <c r="AX105" s="2">
        <v>100.0</v>
      </c>
      <c r="AY105" s="2">
        <v>100.0</v>
      </c>
      <c r="AZ105" s="2">
        <v>100.0</v>
      </c>
      <c r="BA105" s="2">
        <v>100.0</v>
      </c>
      <c r="BB105" s="2">
        <v>100.0</v>
      </c>
      <c r="BC105" s="2">
        <v>100.0</v>
      </c>
      <c r="BD105" s="2">
        <v>100.0</v>
      </c>
      <c r="BE105" s="2">
        <v>100.0</v>
      </c>
      <c r="BF105" s="2">
        <v>100.0</v>
      </c>
      <c r="BG105" s="2">
        <v>100.0</v>
      </c>
      <c r="BH105" s="2">
        <v>100.0</v>
      </c>
      <c r="BI105" s="2">
        <v>100.0</v>
      </c>
      <c r="BJ105" s="2">
        <v>100.0</v>
      </c>
      <c r="BK105" s="2">
        <v>100.0</v>
      </c>
      <c r="BL105" s="2">
        <v>100.0</v>
      </c>
      <c r="BM105" s="2">
        <v>100.0</v>
      </c>
      <c r="BN105" s="2">
        <v>100.0</v>
      </c>
      <c r="BO105" s="2">
        <v>6198.607</v>
      </c>
    </row>
    <row r="106" ht="14.25" customHeight="1">
      <c r="A106" s="2" t="s">
        <v>63</v>
      </c>
      <c r="B106" s="2">
        <v>55.911</v>
      </c>
      <c r="C106" s="2">
        <v>56.335</v>
      </c>
      <c r="D106" s="2">
        <v>56.758</v>
      </c>
      <c r="E106" s="2">
        <v>57.181</v>
      </c>
      <c r="F106" s="2">
        <v>57.603</v>
      </c>
      <c r="G106" s="2">
        <v>58.022</v>
      </c>
      <c r="H106" s="2">
        <v>58.441</v>
      </c>
      <c r="I106" s="2">
        <v>58.859</v>
      </c>
      <c r="J106" s="2">
        <v>59.276</v>
      </c>
      <c r="K106" s="2">
        <v>59.691</v>
      </c>
      <c r="L106" s="2">
        <v>60.112</v>
      </c>
      <c r="M106" s="2">
        <v>60.539</v>
      </c>
      <c r="N106" s="2">
        <v>60.965</v>
      </c>
      <c r="O106" s="2">
        <v>61.388</v>
      </c>
      <c r="P106" s="2">
        <v>61.81</v>
      </c>
      <c r="Q106" s="2">
        <v>62.231</v>
      </c>
      <c r="R106" s="2">
        <v>62.65</v>
      </c>
      <c r="S106" s="2">
        <v>63.066</v>
      </c>
      <c r="T106" s="2">
        <v>63.48</v>
      </c>
      <c r="U106" s="2">
        <v>63.893</v>
      </c>
      <c r="V106" s="2">
        <v>64.191</v>
      </c>
      <c r="W106" s="2">
        <v>64.372</v>
      </c>
      <c r="X106" s="2">
        <v>64.553</v>
      </c>
      <c r="Y106" s="2">
        <v>64.734</v>
      </c>
      <c r="Z106" s="2">
        <v>64.915</v>
      </c>
      <c r="AA106" s="2">
        <v>65.095</v>
      </c>
      <c r="AB106" s="2">
        <v>65.274</v>
      </c>
      <c r="AC106" s="2">
        <v>65.453</v>
      </c>
      <c r="AD106" s="2">
        <v>65.632</v>
      </c>
      <c r="AE106" s="2">
        <v>65.81</v>
      </c>
      <c r="AF106" s="2">
        <v>65.838</v>
      </c>
      <c r="AG106" s="2">
        <v>65.713</v>
      </c>
      <c r="AH106" s="2">
        <v>65.587</v>
      </c>
      <c r="AI106" s="2">
        <v>65.461</v>
      </c>
      <c r="AJ106" s="2">
        <v>65.335</v>
      </c>
      <c r="AK106" s="2">
        <v>65.209</v>
      </c>
      <c r="AL106" s="2">
        <v>65.083</v>
      </c>
      <c r="AM106" s="2">
        <v>64.956</v>
      </c>
      <c r="AN106" s="2">
        <v>64.829</v>
      </c>
      <c r="AO106" s="2">
        <v>64.702</v>
      </c>
      <c r="AP106" s="2">
        <v>64.575</v>
      </c>
      <c r="AQ106" s="2">
        <v>64.67</v>
      </c>
      <c r="AR106" s="2">
        <v>65.081</v>
      </c>
      <c r="AS106" s="2">
        <v>65.489</v>
      </c>
      <c r="AT106" s="2">
        <v>65.896</v>
      </c>
      <c r="AU106" s="2">
        <v>66.365</v>
      </c>
      <c r="AV106" s="2">
        <v>66.895</v>
      </c>
      <c r="AW106" s="2">
        <v>67.421</v>
      </c>
      <c r="AX106" s="2">
        <v>67.943</v>
      </c>
      <c r="AY106" s="2">
        <v>68.46</v>
      </c>
      <c r="AZ106" s="2">
        <v>68.911</v>
      </c>
      <c r="BA106" s="2">
        <v>69.358</v>
      </c>
      <c r="BB106" s="2">
        <v>69.678</v>
      </c>
      <c r="BC106" s="2">
        <v>69.953</v>
      </c>
      <c r="BD106" s="2">
        <v>70.227</v>
      </c>
      <c r="BE106" s="2">
        <v>70.5</v>
      </c>
      <c r="BF106" s="2">
        <v>70.779</v>
      </c>
      <c r="BG106" s="2">
        <v>71.062</v>
      </c>
      <c r="BH106" s="2">
        <v>71.351</v>
      </c>
      <c r="BI106" s="2">
        <v>71.644</v>
      </c>
      <c r="BJ106" s="2">
        <v>71.942</v>
      </c>
      <c r="BK106" s="2">
        <v>72.245</v>
      </c>
      <c r="BL106" s="2">
        <v>72.552</v>
      </c>
      <c r="BM106" s="2">
        <v>72.864</v>
      </c>
      <c r="BN106" s="2">
        <v>73.179</v>
      </c>
      <c r="BO106" s="2">
        <v>4229.993</v>
      </c>
    </row>
    <row r="107" ht="14.25" customHeight="1">
      <c r="A107" s="2" t="s">
        <v>535</v>
      </c>
      <c r="B107" s="2">
        <v>26.0923794081668</v>
      </c>
      <c r="C107" s="2">
        <v>26.663237738836</v>
      </c>
      <c r="D107" s="2">
        <v>27.1897779206434</v>
      </c>
      <c r="E107" s="2">
        <v>27.665309102048</v>
      </c>
      <c r="F107" s="2">
        <v>28.1495402436871</v>
      </c>
      <c r="G107" s="2">
        <v>28.3715196007176</v>
      </c>
      <c r="H107" s="2">
        <v>28.5833824156194</v>
      </c>
      <c r="I107" s="2">
        <v>28.8095172455328</v>
      </c>
      <c r="J107" s="2">
        <v>29.0322338912365</v>
      </c>
      <c r="K107" s="2">
        <v>29.2460329890177</v>
      </c>
      <c r="L107" s="2">
        <v>29.4504550243569</v>
      </c>
      <c r="M107" s="2">
        <v>29.6657660448283</v>
      </c>
      <c r="N107" s="2">
        <v>29.9244776723567</v>
      </c>
      <c r="O107" s="2">
        <v>30.2258735240718</v>
      </c>
      <c r="P107" s="2">
        <v>30.5732422837958</v>
      </c>
      <c r="Q107" s="2">
        <v>30.9314184444476</v>
      </c>
      <c r="R107" s="2">
        <v>31.2814104796411</v>
      </c>
      <c r="S107" s="2">
        <v>31.6383089258418</v>
      </c>
      <c r="T107" s="2">
        <v>32.1096698903938</v>
      </c>
      <c r="U107" s="2">
        <v>32.6870608085032</v>
      </c>
      <c r="V107" s="2">
        <v>33.2669425351202</v>
      </c>
      <c r="W107" s="2">
        <v>33.8633723450897</v>
      </c>
      <c r="X107" s="2">
        <v>34.440339099462</v>
      </c>
      <c r="Y107" s="2">
        <v>34.9639628731389</v>
      </c>
      <c r="Z107" s="2">
        <v>35.5025736014109</v>
      </c>
      <c r="AA107" s="2">
        <v>36.0399608895904</v>
      </c>
      <c r="AB107" s="2">
        <v>36.5714553747456</v>
      </c>
      <c r="AC107" s="2">
        <v>37.0947948483911</v>
      </c>
      <c r="AD107" s="2">
        <v>37.6141387039346</v>
      </c>
      <c r="AE107" s="2">
        <v>38.1180822912567</v>
      </c>
      <c r="AF107" s="2">
        <v>38.6008817767568</v>
      </c>
      <c r="AG107" s="2">
        <v>39.1002085291282</v>
      </c>
      <c r="AH107" s="2">
        <v>39.5997174427914</v>
      </c>
      <c r="AI107" s="2">
        <v>40.1008602035958</v>
      </c>
      <c r="AJ107" s="2">
        <v>40.6059365330483</v>
      </c>
      <c r="AK107" s="2">
        <v>41.1110734585053</v>
      </c>
      <c r="AL107" s="2">
        <v>41.617533205956</v>
      </c>
      <c r="AM107" s="2">
        <v>42.1295463678513</v>
      </c>
      <c r="AN107" s="2">
        <v>42.6516720993921</v>
      </c>
      <c r="AO107" s="2">
        <v>43.1800008997637</v>
      </c>
      <c r="AP107" s="2">
        <v>43.7183512473417</v>
      </c>
      <c r="AQ107" s="2">
        <v>44.3038011635736</v>
      </c>
      <c r="AR107" s="2">
        <v>44.9425890080496</v>
      </c>
      <c r="AS107" s="2">
        <v>45.5921181600685</v>
      </c>
      <c r="AT107" s="2">
        <v>46.2510960003965</v>
      </c>
      <c r="AU107" s="2">
        <v>46.9164837158728</v>
      </c>
      <c r="AV107" s="2">
        <v>47.5698188024491</v>
      </c>
      <c r="AW107" s="2">
        <v>48.211486258334</v>
      </c>
      <c r="AX107" s="2">
        <v>48.8610009971071</v>
      </c>
      <c r="AY107" s="2">
        <v>49.5107521258833</v>
      </c>
      <c r="AZ107" s="2">
        <v>50.1584462571237</v>
      </c>
      <c r="BA107" s="2">
        <v>50.7771939299899</v>
      </c>
      <c r="BB107" s="2">
        <v>51.3872104622612</v>
      </c>
      <c r="BC107" s="2">
        <v>52.0043833909345</v>
      </c>
      <c r="BD107" s="2">
        <v>52.6285015720936</v>
      </c>
      <c r="BE107" s="2">
        <v>53.249256825779</v>
      </c>
      <c r="BF107" s="2">
        <v>53.8630279498436</v>
      </c>
      <c r="BG107" s="2">
        <v>54.4730525266222</v>
      </c>
      <c r="BH107" s="2">
        <v>55.0771234775401</v>
      </c>
      <c r="BI107" s="2">
        <v>55.6730186862017</v>
      </c>
      <c r="BJ107" s="2">
        <v>56.2572383997406</v>
      </c>
      <c r="BK107" s="2">
        <v>56.8369027884103</v>
      </c>
      <c r="BL107" s="2">
        <v>57.4051949405732</v>
      </c>
      <c r="BM107" s="2">
        <v>57.9586084947402</v>
      </c>
      <c r="BN107" s="2">
        <v>58.51006436089</v>
      </c>
      <c r="BO107" s="2">
        <v>2636.6003882744913</v>
      </c>
    </row>
    <row r="108" ht="14.25" customHeight="1">
      <c r="A108" s="2" t="s">
        <v>64</v>
      </c>
      <c r="B108" s="2">
        <v>80.3</v>
      </c>
      <c r="C108" s="2">
        <v>80.803</v>
      </c>
      <c r="D108" s="2">
        <v>81.297</v>
      </c>
      <c r="E108" s="2">
        <v>81.781</v>
      </c>
      <c r="F108" s="2">
        <v>82.256</v>
      </c>
      <c r="G108" s="2">
        <v>82.72</v>
      </c>
      <c r="H108" s="2">
        <v>83.175</v>
      </c>
      <c r="I108" s="2">
        <v>83.621</v>
      </c>
      <c r="J108" s="2">
        <v>84.057</v>
      </c>
      <c r="K108" s="2">
        <v>84.483</v>
      </c>
      <c r="L108" s="2">
        <v>84.9</v>
      </c>
      <c r="M108" s="2">
        <v>85.269</v>
      </c>
      <c r="N108" s="2">
        <v>85.63</v>
      </c>
      <c r="O108" s="2">
        <v>85.983</v>
      </c>
      <c r="P108" s="2">
        <v>86.33</v>
      </c>
      <c r="Q108" s="2">
        <v>86.669</v>
      </c>
      <c r="R108" s="2">
        <v>87.002</v>
      </c>
      <c r="S108" s="2">
        <v>87.326</v>
      </c>
      <c r="T108" s="2">
        <v>87.644</v>
      </c>
      <c r="U108" s="2">
        <v>87.955</v>
      </c>
      <c r="V108" s="2">
        <v>88.26</v>
      </c>
      <c r="W108" s="2">
        <v>88.533</v>
      </c>
      <c r="X108" s="2">
        <v>88.8</v>
      </c>
      <c r="Y108" s="2">
        <v>89.062</v>
      </c>
      <c r="Z108" s="2">
        <v>89.319</v>
      </c>
      <c r="AA108" s="2">
        <v>89.57</v>
      </c>
      <c r="AB108" s="2">
        <v>89.816</v>
      </c>
      <c r="AC108" s="2">
        <v>90.057</v>
      </c>
      <c r="AD108" s="2">
        <v>90.294</v>
      </c>
      <c r="AE108" s="2">
        <v>90.524</v>
      </c>
      <c r="AF108" s="2">
        <v>90.75</v>
      </c>
      <c r="AG108" s="2">
        <v>90.932</v>
      </c>
      <c r="AH108" s="2">
        <v>91.112</v>
      </c>
      <c r="AI108" s="2">
        <v>91.287</v>
      </c>
      <c r="AJ108" s="2">
        <v>91.46</v>
      </c>
      <c r="AK108" s="2">
        <v>91.63</v>
      </c>
      <c r="AL108" s="2">
        <v>91.797</v>
      </c>
      <c r="AM108" s="2">
        <v>91.96</v>
      </c>
      <c r="AN108" s="2">
        <v>92.121</v>
      </c>
      <c r="AO108" s="2">
        <v>92.267</v>
      </c>
      <c r="AP108" s="2">
        <v>92.401</v>
      </c>
      <c r="AQ108" s="2">
        <v>92.532</v>
      </c>
      <c r="AR108" s="2">
        <v>92.662</v>
      </c>
      <c r="AS108" s="2">
        <v>92.789</v>
      </c>
      <c r="AT108" s="2">
        <v>92.914</v>
      </c>
      <c r="AU108" s="2">
        <v>93.037</v>
      </c>
      <c r="AV108" s="2">
        <v>93.159</v>
      </c>
      <c r="AW108" s="2">
        <v>93.278</v>
      </c>
      <c r="AX108" s="2">
        <v>93.395</v>
      </c>
      <c r="AY108" s="2">
        <v>93.511</v>
      </c>
      <c r="AZ108" s="2">
        <v>93.574</v>
      </c>
      <c r="BA108" s="2">
        <v>93.587</v>
      </c>
      <c r="BB108" s="2">
        <v>93.6</v>
      </c>
      <c r="BC108" s="2">
        <v>93.633</v>
      </c>
      <c r="BD108" s="2">
        <v>93.667</v>
      </c>
      <c r="BE108" s="2">
        <v>93.7</v>
      </c>
      <c r="BF108" s="2">
        <v>93.735</v>
      </c>
      <c r="BG108" s="2">
        <v>93.773</v>
      </c>
      <c r="BH108" s="2">
        <v>93.813</v>
      </c>
      <c r="BI108" s="2">
        <v>93.855</v>
      </c>
      <c r="BJ108" s="2">
        <v>93.898</v>
      </c>
      <c r="BK108" s="2">
        <v>93.944</v>
      </c>
      <c r="BL108" s="2">
        <v>93.992</v>
      </c>
      <c r="BM108" s="2">
        <v>94.042</v>
      </c>
      <c r="BN108" s="2">
        <v>94.094</v>
      </c>
      <c r="BO108" s="2">
        <v>5835.337000000001</v>
      </c>
    </row>
    <row r="109" ht="14.25" customHeight="1">
      <c r="A109" s="2" t="s">
        <v>536</v>
      </c>
      <c r="B109" s="2">
        <v>23.9534441100278</v>
      </c>
      <c r="C109" s="2">
        <v>24.4524655410005</v>
      </c>
      <c r="D109" s="2">
        <v>24.9246489489854</v>
      </c>
      <c r="E109" s="2">
        <v>25.367215089366</v>
      </c>
      <c r="F109" s="2">
        <v>25.817211796872</v>
      </c>
      <c r="G109" s="2">
        <v>26.0512533073388</v>
      </c>
      <c r="H109" s="2">
        <v>26.2783817120262</v>
      </c>
      <c r="I109" s="2">
        <v>26.5197296716711</v>
      </c>
      <c r="J109" s="2">
        <v>26.7596894185235</v>
      </c>
      <c r="K109" s="2">
        <v>26.9951135826699</v>
      </c>
      <c r="L109" s="2">
        <v>27.2244061832449</v>
      </c>
      <c r="M109" s="2">
        <v>27.4727431062871</v>
      </c>
      <c r="N109" s="2">
        <v>27.7558376395932</v>
      </c>
      <c r="O109" s="2">
        <v>28.069537144134</v>
      </c>
      <c r="P109" s="2">
        <v>28.420042841831</v>
      </c>
      <c r="Q109" s="2">
        <v>28.7286934100111</v>
      </c>
      <c r="R109" s="2">
        <v>29.0884238982693</v>
      </c>
      <c r="S109" s="2">
        <v>29.4542571237602</v>
      </c>
      <c r="T109" s="2">
        <v>29.914766152232</v>
      </c>
      <c r="U109" s="2">
        <v>30.4546176889831</v>
      </c>
      <c r="V109" s="2">
        <v>31.0022477555691</v>
      </c>
      <c r="W109" s="2">
        <v>31.5602774736987</v>
      </c>
      <c r="X109" s="2">
        <v>32.0795104986136</v>
      </c>
      <c r="Y109" s="2">
        <v>32.5581691791458</v>
      </c>
      <c r="Z109" s="2">
        <v>33.0550001471507</v>
      </c>
      <c r="AA109" s="2">
        <v>33.5545823263755</v>
      </c>
      <c r="AB109" s="2">
        <v>34.0508161860358</v>
      </c>
      <c r="AC109" s="2">
        <v>34.5410888323363</v>
      </c>
      <c r="AD109" s="2">
        <v>35.02803694509</v>
      </c>
      <c r="AE109" s="2">
        <v>35.4996497754463</v>
      </c>
      <c r="AF109" s="2">
        <v>35.9541913923965</v>
      </c>
      <c r="AG109" s="2">
        <v>36.4070076947703</v>
      </c>
      <c r="AH109" s="2">
        <v>36.8522959475112</v>
      </c>
      <c r="AI109" s="2">
        <v>37.2940482495811</v>
      </c>
      <c r="AJ109" s="2">
        <v>37.7387193113081</v>
      </c>
      <c r="AK109" s="2">
        <v>38.1806262269381</v>
      </c>
      <c r="AL109" s="2">
        <v>38.6161270718519</v>
      </c>
      <c r="AM109" s="2">
        <v>39.0580734308558</v>
      </c>
      <c r="AN109" s="2">
        <v>39.5089501981334</v>
      </c>
      <c r="AO109" s="2">
        <v>39.9631828163031</v>
      </c>
      <c r="AP109" s="2">
        <v>40.4256351619026</v>
      </c>
      <c r="AQ109" s="2">
        <v>40.9375084118375</v>
      </c>
      <c r="AR109" s="2">
        <v>41.4906722431938</v>
      </c>
      <c r="AS109" s="2">
        <v>42.0506422507729</v>
      </c>
      <c r="AT109" s="2">
        <v>42.6187392141779</v>
      </c>
      <c r="AU109" s="2">
        <v>43.1927558051342</v>
      </c>
      <c r="AV109" s="2">
        <v>43.7570148528773</v>
      </c>
      <c r="AW109" s="2">
        <v>44.3057503243016</v>
      </c>
      <c r="AX109" s="2">
        <v>44.8713386379589</v>
      </c>
      <c r="AY109" s="2">
        <v>45.4361583517828</v>
      </c>
      <c r="AZ109" s="2">
        <v>46.0007901850596</v>
      </c>
      <c r="BA109" s="2">
        <v>46.5374985760836</v>
      </c>
      <c r="BB109" s="2">
        <v>47.0659337967184</v>
      </c>
      <c r="BC109" s="2">
        <v>47.6048093056322</v>
      </c>
      <c r="BD109" s="2">
        <v>48.1466258633627</v>
      </c>
      <c r="BE109" s="2">
        <v>48.6925864607722</v>
      </c>
      <c r="BF109" s="2">
        <v>49.233633582592</v>
      </c>
      <c r="BG109" s="2">
        <v>49.7713538751916</v>
      </c>
      <c r="BH109" s="2">
        <v>50.301080152151</v>
      </c>
      <c r="BI109" s="2">
        <v>50.8211355459861</v>
      </c>
      <c r="BJ109" s="2">
        <v>51.3285959695125</v>
      </c>
      <c r="BK109" s="2">
        <v>51.8301784271447</v>
      </c>
      <c r="BL109" s="2">
        <v>52.3261779252217</v>
      </c>
      <c r="BM109" s="2">
        <v>52.8141913129966</v>
      </c>
      <c r="BN109" s="2">
        <v>53.3036885100507</v>
      </c>
      <c r="BO109" s="2">
        <v>2431.0695745683533</v>
      </c>
    </row>
    <row r="110" ht="14.25" customHeight="1">
      <c r="A110" s="2" t="s">
        <v>537</v>
      </c>
      <c r="B110" s="2">
        <v>18.5916179106281</v>
      </c>
      <c r="C110" s="2">
        <v>18.9406159323124</v>
      </c>
      <c r="D110" s="2">
        <v>19.2434095848265</v>
      </c>
      <c r="E110" s="2">
        <v>19.5626252895306</v>
      </c>
      <c r="F110" s="2">
        <v>19.888881877381</v>
      </c>
      <c r="G110" s="2">
        <v>20.2197186089187</v>
      </c>
      <c r="H110" s="2">
        <v>20.5308926588528</v>
      </c>
      <c r="I110" s="2">
        <v>20.8510329044249</v>
      </c>
      <c r="J110" s="2">
        <v>21.1764135060609</v>
      </c>
      <c r="K110" s="2">
        <v>21.5049797086528</v>
      </c>
      <c r="L110" s="2">
        <v>21.8491732763516</v>
      </c>
      <c r="M110" s="2">
        <v>22.2782243353043</v>
      </c>
      <c r="N110" s="2">
        <v>22.7020556128799</v>
      </c>
      <c r="O110" s="2">
        <v>23.1527610339639</v>
      </c>
      <c r="P110" s="2">
        <v>23.6171250482078</v>
      </c>
      <c r="Q110" s="2">
        <v>24.0896534526782</v>
      </c>
      <c r="R110" s="2">
        <v>24.578448080283</v>
      </c>
      <c r="S110" s="2">
        <v>25.0447677494404</v>
      </c>
      <c r="T110" s="2">
        <v>25.5175297795795</v>
      </c>
      <c r="U110" s="2">
        <v>25.9346691646861</v>
      </c>
      <c r="V110" s="2">
        <v>26.301618108602</v>
      </c>
      <c r="W110" s="2">
        <v>26.7314876694834</v>
      </c>
      <c r="X110" s="2">
        <v>27.1381521981767</v>
      </c>
      <c r="Y110" s="2">
        <v>27.554986299427</v>
      </c>
      <c r="Z110" s="2">
        <v>27.9803618909468</v>
      </c>
      <c r="AA110" s="2">
        <v>28.4076420138897</v>
      </c>
      <c r="AB110" s="2">
        <v>28.8420521177034</v>
      </c>
      <c r="AC110" s="2">
        <v>29.2802383884356</v>
      </c>
      <c r="AD110" s="2">
        <v>29.7143680768941</v>
      </c>
      <c r="AE110" s="2">
        <v>30.1702888605917</v>
      </c>
      <c r="AF110" s="2">
        <v>30.6594749842499</v>
      </c>
      <c r="AG110" s="2">
        <v>31.0342177299774</v>
      </c>
      <c r="AH110" s="2">
        <v>31.412274862256</v>
      </c>
      <c r="AI110" s="2">
        <v>31.7818366053961</v>
      </c>
      <c r="AJ110" s="2">
        <v>32.1522251258426</v>
      </c>
      <c r="AK110" s="2">
        <v>32.5241025225483</v>
      </c>
      <c r="AL110" s="2">
        <v>32.8981361992507</v>
      </c>
      <c r="AM110" s="2">
        <v>33.2701841345974</v>
      </c>
      <c r="AN110" s="2">
        <v>33.6338925007206</v>
      </c>
      <c r="AO110" s="2">
        <v>33.9853797503498</v>
      </c>
      <c r="AP110" s="2">
        <v>34.3374216788524</v>
      </c>
      <c r="AQ110" s="2">
        <v>34.779170094102</v>
      </c>
      <c r="AR110" s="2">
        <v>35.2250948464066</v>
      </c>
      <c r="AS110" s="2">
        <v>35.6631354707663</v>
      </c>
      <c r="AT110" s="2">
        <v>36.1043508060074</v>
      </c>
      <c r="AU110" s="2">
        <v>36.5500826830597</v>
      </c>
      <c r="AV110" s="2">
        <v>37.0010477697796</v>
      </c>
      <c r="AW110" s="2">
        <v>37.4547842206775</v>
      </c>
      <c r="AX110" s="2">
        <v>37.9130743414928</v>
      </c>
      <c r="AY110" s="2">
        <v>38.3771044163807</v>
      </c>
      <c r="AZ110" s="2">
        <v>38.8477483223638</v>
      </c>
      <c r="BA110" s="2">
        <v>39.3061853673143</v>
      </c>
      <c r="BB110" s="2">
        <v>39.7556762799773</v>
      </c>
      <c r="BC110" s="2">
        <v>40.2116278109994</v>
      </c>
      <c r="BD110" s="2">
        <v>40.6764393527976</v>
      </c>
      <c r="BE110" s="2">
        <v>41.1483774380694</v>
      </c>
      <c r="BF110" s="2">
        <v>41.6223732730942</v>
      </c>
      <c r="BG110" s="2">
        <v>42.0942678623109</v>
      </c>
      <c r="BH110" s="2">
        <v>42.5683722492779</v>
      </c>
      <c r="BI110" s="2">
        <v>43.0461551836081</v>
      </c>
      <c r="BJ110" s="2">
        <v>43.5265803418559</v>
      </c>
      <c r="BK110" s="2">
        <v>44.0111666695768</v>
      </c>
      <c r="BL110" s="2">
        <v>44.5056762549498</v>
      </c>
      <c r="BM110" s="2">
        <v>45.01184766814</v>
      </c>
      <c r="BN110" s="2">
        <v>45.523336410348</v>
      </c>
      <c r="BO110" s="2">
        <v>2040.008612366511</v>
      </c>
    </row>
    <row r="111" ht="14.25" customHeight="1">
      <c r="A111" s="2" t="s">
        <v>538</v>
      </c>
      <c r="B111" s="2">
        <v>11.4247157150487</v>
      </c>
      <c r="C111" s="2">
        <v>11.693730854403</v>
      </c>
      <c r="D111" s="2">
        <v>11.9800995537886</v>
      </c>
      <c r="E111" s="2">
        <v>12.2811637512352</v>
      </c>
      <c r="F111" s="2">
        <v>12.59492060347</v>
      </c>
      <c r="G111" s="2">
        <v>12.9184851640636</v>
      </c>
      <c r="H111" s="2">
        <v>13.2536351863441</v>
      </c>
      <c r="I111" s="2">
        <v>13.6177111438527</v>
      </c>
      <c r="J111" s="2">
        <v>13.9937489565163</v>
      </c>
      <c r="K111" s="2">
        <v>14.3841757278119</v>
      </c>
      <c r="L111" s="2">
        <v>14.7673908293439</v>
      </c>
      <c r="M111" s="2">
        <v>15.1694940355304</v>
      </c>
      <c r="N111" s="2">
        <v>15.584308547819</v>
      </c>
      <c r="O111" s="2">
        <v>15.9856123139428</v>
      </c>
      <c r="P111" s="2">
        <v>16.3852532373372</v>
      </c>
      <c r="Q111" s="2">
        <v>16.369156307001</v>
      </c>
      <c r="R111" s="2">
        <v>16.8133924861073</v>
      </c>
      <c r="S111" s="2">
        <v>17.2749717371896</v>
      </c>
      <c r="T111" s="2">
        <v>17.7599258932917</v>
      </c>
      <c r="U111" s="2">
        <v>18.2332068257979</v>
      </c>
      <c r="V111" s="2">
        <v>18.7609090410506</v>
      </c>
      <c r="W111" s="2">
        <v>19.2215895021166</v>
      </c>
      <c r="X111" s="2">
        <v>19.5321203798268</v>
      </c>
      <c r="Y111" s="2">
        <v>19.8782930074056</v>
      </c>
      <c r="Z111" s="2">
        <v>20.2690159078228</v>
      </c>
      <c r="AA111" s="2">
        <v>20.6896251179452</v>
      </c>
      <c r="AB111" s="2">
        <v>21.1155099319743</v>
      </c>
      <c r="AC111" s="2">
        <v>21.5431707622874</v>
      </c>
      <c r="AD111" s="2">
        <v>21.9721829094993</v>
      </c>
      <c r="AE111" s="2">
        <v>22.3748246515434</v>
      </c>
      <c r="AF111" s="2">
        <v>22.7643068789544</v>
      </c>
      <c r="AG111" s="2">
        <v>23.113277400006</v>
      </c>
      <c r="AH111" s="2">
        <v>23.4424605364344</v>
      </c>
      <c r="AI111" s="2">
        <v>23.7714741207034</v>
      </c>
      <c r="AJ111" s="2">
        <v>24.1015108881167</v>
      </c>
      <c r="AK111" s="2">
        <v>24.4155956049466</v>
      </c>
      <c r="AL111" s="2">
        <v>24.6827457449033</v>
      </c>
      <c r="AM111" s="2">
        <v>24.9671837180154</v>
      </c>
      <c r="AN111" s="2">
        <v>25.2697787111935</v>
      </c>
      <c r="AO111" s="2">
        <v>25.5775056601632</v>
      </c>
      <c r="AP111" s="2">
        <v>25.8941609350284</v>
      </c>
      <c r="AQ111" s="2">
        <v>26.2608279859372</v>
      </c>
      <c r="AR111" s="2">
        <v>26.6495494656366</v>
      </c>
      <c r="AS111" s="2">
        <v>27.0441556783663</v>
      </c>
      <c r="AT111" s="2">
        <v>27.4414754237189</v>
      </c>
      <c r="AU111" s="2">
        <v>27.8549122566498</v>
      </c>
      <c r="AV111" s="2">
        <v>28.282277084807</v>
      </c>
      <c r="AW111" s="2">
        <v>28.6819260955074</v>
      </c>
      <c r="AX111" s="2">
        <v>29.1475307752031</v>
      </c>
      <c r="AY111" s="2">
        <v>29.6040063641326</v>
      </c>
      <c r="AZ111" s="2">
        <v>30.0717178105173</v>
      </c>
      <c r="BA111" s="2">
        <v>30.5089327560199</v>
      </c>
      <c r="BB111" s="2">
        <v>30.9267678051136</v>
      </c>
      <c r="BC111" s="2">
        <v>31.3447448290354</v>
      </c>
      <c r="BD111" s="2">
        <v>31.7629487268722</v>
      </c>
      <c r="BE111" s="2">
        <v>32.2393173119926</v>
      </c>
      <c r="BF111" s="2">
        <v>32.7399434484205</v>
      </c>
      <c r="BG111" s="2">
        <v>33.2541343513232</v>
      </c>
      <c r="BH111" s="2">
        <v>33.7704062246334</v>
      </c>
      <c r="BI111" s="2">
        <v>34.2901441341823</v>
      </c>
      <c r="BJ111" s="2">
        <v>34.8127799417596</v>
      </c>
      <c r="BK111" s="2">
        <v>35.341768273807</v>
      </c>
      <c r="BL111" s="2">
        <v>35.8907865413649</v>
      </c>
      <c r="BM111" s="2">
        <v>36.4509757079158</v>
      </c>
      <c r="BN111" s="2">
        <v>37.0140733608173</v>
      </c>
      <c r="BO111" s="2">
        <v>1517.228442633566</v>
      </c>
    </row>
    <row r="112" ht="14.25" customHeight="1">
      <c r="A112" s="2" t="s">
        <v>539</v>
      </c>
      <c r="B112" s="2">
        <v>13.6860535000967</v>
      </c>
      <c r="C112" s="2">
        <v>13.9816161633507</v>
      </c>
      <c r="D112" s="2">
        <v>14.2747916215509</v>
      </c>
      <c r="E112" s="2">
        <v>14.5837321059569</v>
      </c>
      <c r="F112" s="2">
        <v>14.9035074096189</v>
      </c>
      <c r="G112" s="2">
        <v>15.2313774944741</v>
      </c>
      <c r="H112" s="2">
        <v>15.5610146873089</v>
      </c>
      <c r="I112" s="2">
        <v>15.9126593524493</v>
      </c>
      <c r="J112" s="2">
        <v>16.273833891468</v>
      </c>
      <c r="K112" s="2">
        <v>16.6465074128317</v>
      </c>
      <c r="L112" s="2">
        <v>17.0207047751938</v>
      </c>
      <c r="M112" s="2">
        <v>17.4369911093011</v>
      </c>
      <c r="N112" s="2">
        <v>17.8601776282393</v>
      </c>
      <c r="O112" s="2">
        <v>18.280840190225</v>
      </c>
      <c r="P112" s="2">
        <v>18.7054514786534</v>
      </c>
      <c r="Q112" s="2">
        <v>18.8537184869519</v>
      </c>
      <c r="R112" s="2">
        <v>19.321722650476</v>
      </c>
      <c r="S112" s="2">
        <v>19.7957108276635</v>
      </c>
      <c r="T112" s="2">
        <v>20.2863685085529</v>
      </c>
      <c r="U112" s="2">
        <v>20.7511215135548</v>
      </c>
      <c r="V112" s="2">
        <v>21.2464930097323</v>
      </c>
      <c r="W112" s="2">
        <v>21.7200888317723</v>
      </c>
      <c r="X112" s="2">
        <v>22.0765541393473</v>
      </c>
      <c r="Y112" s="2">
        <v>22.4535805549051</v>
      </c>
      <c r="Z112" s="2">
        <v>22.8620970828869</v>
      </c>
      <c r="AA112" s="2">
        <v>23.2938353311181</v>
      </c>
      <c r="AB112" s="2">
        <v>23.7326867191744</v>
      </c>
      <c r="AC112" s="2">
        <v>24.1738973667324</v>
      </c>
      <c r="AD112" s="2">
        <v>24.6149355465992</v>
      </c>
      <c r="AE112" s="2">
        <v>25.0454638179669</v>
      </c>
      <c r="AF112" s="2">
        <v>25.480169860317</v>
      </c>
      <c r="AG112" s="2">
        <v>25.8487009389814</v>
      </c>
      <c r="AH112" s="2">
        <v>26.1989886823484</v>
      </c>
      <c r="AI112" s="2">
        <v>26.5422163018209</v>
      </c>
      <c r="AJ112" s="2">
        <v>26.8873792208165</v>
      </c>
      <c r="AK112" s="2">
        <v>27.2237183795876</v>
      </c>
      <c r="AL112" s="2">
        <v>27.5309037171393</v>
      </c>
      <c r="AM112" s="2">
        <v>27.8490388352281</v>
      </c>
      <c r="AN112" s="2">
        <v>28.176090911403</v>
      </c>
      <c r="AO112" s="2">
        <v>28.5014546205036</v>
      </c>
      <c r="AP112" s="2">
        <v>28.83492029164</v>
      </c>
      <c r="AQ112" s="2">
        <v>29.2338394275422</v>
      </c>
      <c r="AR112" s="2">
        <v>29.6445267359147</v>
      </c>
      <c r="AS112" s="2">
        <v>30.0556870624883</v>
      </c>
      <c r="AT112" s="2">
        <v>30.4722825018541</v>
      </c>
      <c r="AU112" s="2">
        <v>30.9004679937344</v>
      </c>
      <c r="AV112" s="2">
        <v>31.3387528021494</v>
      </c>
      <c r="AW112" s="2">
        <v>31.7629409079578</v>
      </c>
      <c r="AX112" s="2">
        <v>32.2331359972254</v>
      </c>
      <c r="AY112" s="2">
        <v>32.6991149671495</v>
      </c>
      <c r="AZ112" s="2">
        <v>33.1742847185102</v>
      </c>
      <c r="BA112" s="2">
        <v>33.6230185144664</v>
      </c>
      <c r="BB112" s="2">
        <v>34.0533287657888</v>
      </c>
      <c r="BC112" s="2">
        <v>34.4862632810099</v>
      </c>
      <c r="BD112" s="2">
        <v>34.920461990074</v>
      </c>
      <c r="BE112" s="2">
        <v>35.3930381648969</v>
      </c>
      <c r="BF112" s="2">
        <v>35.8790773172987</v>
      </c>
      <c r="BG112" s="2">
        <v>36.3728522356198</v>
      </c>
      <c r="BH112" s="2">
        <v>36.8687600281852</v>
      </c>
      <c r="BI112" s="2">
        <v>37.3669945784169</v>
      </c>
      <c r="BJ112" s="2">
        <v>37.8684932787533</v>
      </c>
      <c r="BK112" s="2">
        <v>38.3770927534876</v>
      </c>
      <c r="BL112" s="2">
        <v>38.9024403010932</v>
      </c>
      <c r="BM112" s="2">
        <v>39.4372870426606</v>
      </c>
      <c r="BN112" s="2">
        <v>39.9754060039184</v>
      </c>
      <c r="BO112" s="2">
        <v>1694.7006623381344</v>
      </c>
    </row>
    <row r="113" ht="14.25" customHeight="1">
      <c r="A113" s="2" t="s">
        <v>65</v>
      </c>
      <c r="B113" s="2">
        <v>17.924</v>
      </c>
      <c r="C113" s="2">
        <v>18.032</v>
      </c>
      <c r="D113" s="2">
        <v>18.218</v>
      </c>
      <c r="E113" s="2">
        <v>18.405</v>
      </c>
      <c r="F113" s="2">
        <v>18.595</v>
      </c>
      <c r="G113" s="2">
        <v>18.785</v>
      </c>
      <c r="H113" s="2">
        <v>18.977</v>
      </c>
      <c r="I113" s="2">
        <v>19.171</v>
      </c>
      <c r="J113" s="2">
        <v>19.366</v>
      </c>
      <c r="K113" s="2">
        <v>19.562</v>
      </c>
      <c r="L113" s="2">
        <v>19.76</v>
      </c>
      <c r="M113" s="2">
        <v>19.991</v>
      </c>
      <c r="N113" s="2">
        <v>20.321</v>
      </c>
      <c r="O113" s="2">
        <v>20.653</v>
      </c>
      <c r="P113" s="2">
        <v>20.991</v>
      </c>
      <c r="Q113" s="2">
        <v>21.332</v>
      </c>
      <c r="R113" s="2">
        <v>21.677</v>
      </c>
      <c r="S113" s="2">
        <v>22.026</v>
      </c>
      <c r="T113" s="2">
        <v>22.379</v>
      </c>
      <c r="U113" s="2">
        <v>22.736</v>
      </c>
      <c r="V113" s="2">
        <v>23.098</v>
      </c>
      <c r="W113" s="2">
        <v>23.417</v>
      </c>
      <c r="X113" s="2">
        <v>23.647</v>
      </c>
      <c r="Y113" s="2">
        <v>23.879</v>
      </c>
      <c r="Z113" s="2">
        <v>24.113</v>
      </c>
      <c r="AA113" s="2">
        <v>24.348</v>
      </c>
      <c r="AB113" s="2">
        <v>24.585</v>
      </c>
      <c r="AC113" s="2">
        <v>24.823</v>
      </c>
      <c r="AD113" s="2">
        <v>25.063</v>
      </c>
      <c r="AE113" s="2">
        <v>25.305</v>
      </c>
      <c r="AF113" s="2">
        <v>25.547</v>
      </c>
      <c r="AG113" s="2">
        <v>25.778</v>
      </c>
      <c r="AH113" s="2">
        <v>25.984</v>
      </c>
      <c r="AI113" s="2">
        <v>26.191</v>
      </c>
      <c r="AJ113" s="2">
        <v>26.399</v>
      </c>
      <c r="AK113" s="2">
        <v>26.607</v>
      </c>
      <c r="AL113" s="2">
        <v>26.817</v>
      </c>
      <c r="AM113" s="2">
        <v>27.028</v>
      </c>
      <c r="AN113" s="2">
        <v>27.24</v>
      </c>
      <c r="AO113" s="2">
        <v>27.453</v>
      </c>
      <c r="AP113" s="2">
        <v>27.667</v>
      </c>
      <c r="AQ113" s="2">
        <v>27.918</v>
      </c>
      <c r="AR113" s="2">
        <v>28.244</v>
      </c>
      <c r="AS113" s="2">
        <v>28.572</v>
      </c>
      <c r="AT113" s="2">
        <v>28.903</v>
      </c>
      <c r="AU113" s="2">
        <v>29.235</v>
      </c>
      <c r="AV113" s="2">
        <v>29.569</v>
      </c>
      <c r="AW113" s="2">
        <v>29.906</v>
      </c>
      <c r="AX113" s="2">
        <v>30.246</v>
      </c>
      <c r="AY113" s="2">
        <v>30.587</v>
      </c>
      <c r="AZ113" s="2">
        <v>30.93</v>
      </c>
      <c r="BA113" s="2">
        <v>31.276</v>
      </c>
      <c r="BB113" s="2">
        <v>31.634</v>
      </c>
      <c r="BC113" s="2">
        <v>32.003</v>
      </c>
      <c r="BD113" s="2">
        <v>32.384</v>
      </c>
      <c r="BE113" s="2">
        <v>32.777</v>
      </c>
      <c r="BF113" s="2">
        <v>33.182</v>
      </c>
      <c r="BG113" s="2">
        <v>33.6</v>
      </c>
      <c r="BH113" s="2">
        <v>34.03</v>
      </c>
      <c r="BI113" s="2">
        <v>34.472</v>
      </c>
      <c r="BJ113" s="2">
        <v>34.926</v>
      </c>
      <c r="BK113" s="2">
        <v>35.393</v>
      </c>
      <c r="BL113" s="2">
        <v>35.872</v>
      </c>
      <c r="BM113" s="2">
        <v>36.364</v>
      </c>
      <c r="BN113" s="2">
        <v>36.867</v>
      </c>
      <c r="BO113" s="2">
        <v>1702.78</v>
      </c>
    </row>
    <row r="114" ht="14.25" customHeight="1">
      <c r="A114" s="2" t="s">
        <v>66</v>
      </c>
      <c r="B114" s="2">
        <v>14.586</v>
      </c>
      <c r="C114" s="2">
        <v>14.821</v>
      </c>
      <c r="D114" s="2">
        <v>15.058</v>
      </c>
      <c r="E114" s="2">
        <v>15.299</v>
      </c>
      <c r="F114" s="2">
        <v>15.543</v>
      </c>
      <c r="G114" s="2">
        <v>15.789</v>
      </c>
      <c r="H114" s="2">
        <v>16.039</v>
      </c>
      <c r="I114" s="2">
        <v>16.293</v>
      </c>
      <c r="J114" s="2">
        <v>16.549</v>
      </c>
      <c r="K114" s="2">
        <v>16.809</v>
      </c>
      <c r="L114" s="2">
        <v>17.071</v>
      </c>
      <c r="M114" s="2">
        <v>17.338</v>
      </c>
      <c r="N114" s="2">
        <v>17.779</v>
      </c>
      <c r="O114" s="2">
        <v>18.28</v>
      </c>
      <c r="P114" s="2">
        <v>18.793</v>
      </c>
      <c r="Q114" s="2">
        <v>19.317</v>
      </c>
      <c r="R114" s="2">
        <v>19.853</v>
      </c>
      <c r="S114" s="2">
        <v>20.398</v>
      </c>
      <c r="T114" s="2">
        <v>20.956</v>
      </c>
      <c r="U114" s="2">
        <v>21.524</v>
      </c>
      <c r="V114" s="2">
        <v>22.104</v>
      </c>
      <c r="W114" s="2">
        <v>22.815</v>
      </c>
      <c r="X114" s="2">
        <v>23.606</v>
      </c>
      <c r="Y114" s="2">
        <v>24.415</v>
      </c>
      <c r="Z114" s="2">
        <v>25.244</v>
      </c>
      <c r="AA114" s="2">
        <v>26.089</v>
      </c>
      <c r="AB114" s="2">
        <v>26.953</v>
      </c>
      <c r="AC114" s="2">
        <v>27.835</v>
      </c>
      <c r="AD114" s="2">
        <v>28.736</v>
      </c>
      <c r="AE114" s="2">
        <v>29.651</v>
      </c>
      <c r="AF114" s="2">
        <v>30.584</v>
      </c>
      <c r="AG114" s="2">
        <v>31.613</v>
      </c>
      <c r="AH114" s="2">
        <v>32.703</v>
      </c>
      <c r="AI114" s="2">
        <v>33.808</v>
      </c>
      <c r="AJ114" s="2">
        <v>34.933</v>
      </c>
      <c r="AK114" s="2">
        <v>36.076</v>
      </c>
      <c r="AL114" s="2">
        <v>37.235</v>
      </c>
      <c r="AM114" s="2">
        <v>38.406</v>
      </c>
      <c r="AN114" s="2">
        <v>39.593</v>
      </c>
      <c r="AO114" s="2">
        <v>40.792</v>
      </c>
      <c r="AP114" s="2">
        <v>42.002</v>
      </c>
      <c r="AQ114" s="2">
        <v>42.783</v>
      </c>
      <c r="AR114" s="2">
        <v>43.568</v>
      </c>
      <c r="AS114" s="2">
        <v>44.356</v>
      </c>
      <c r="AT114" s="2">
        <v>45.149</v>
      </c>
      <c r="AU114" s="2">
        <v>45.942</v>
      </c>
      <c r="AV114" s="2">
        <v>46.738</v>
      </c>
      <c r="AW114" s="2">
        <v>47.535</v>
      </c>
      <c r="AX114" s="2">
        <v>48.335</v>
      </c>
      <c r="AY114" s="2">
        <v>49.134</v>
      </c>
      <c r="AZ114" s="2">
        <v>49.914</v>
      </c>
      <c r="BA114" s="2">
        <v>50.595</v>
      </c>
      <c r="BB114" s="2">
        <v>51.276</v>
      </c>
      <c r="BC114" s="2">
        <v>51.955</v>
      </c>
      <c r="BD114" s="2">
        <v>52.635</v>
      </c>
      <c r="BE114" s="2">
        <v>53.313</v>
      </c>
      <c r="BF114" s="2">
        <v>53.989</v>
      </c>
      <c r="BG114" s="2">
        <v>54.659</v>
      </c>
      <c r="BH114" s="2">
        <v>55.325</v>
      </c>
      <c r="BI114" s="2">
        <v>55.985</v>
      </c>
      <c r="BJ114" s="2">
        <v>56.641</v>
      </c>
      <c r="BK114" s="2">
        <v>57.29</v>
      </c>
      <c r="BL114" s="2">
        <v>57.934</v>
      </c>
      <c r="BM114" s="2">
        <v>58.572</v>
      </c>
      <c r="BN114" s="2">
        <v>59.204</v>
      </c>
      <c r="BO114" s="2">
        <v>2236.1150000000007</v>
      </c>
    </row>
    <row r="115" ht="14.25" customHeight="1">
      <c r="A115" s="2" t="s">
        <v>67</v>
      </c>
      <c r="B115" s="2">
        <v>33.735</v>
      </c>
      <c r="C115" s="2">
        <v>34.389</v>
      </c>
      <c r="D115" s="2">
        <v>35.051</v>
      </c>
      <c r="E115" s="2">
        <v>35.718</v>
      </c>
      <c r="F115" s="2">
        <v>36.391</v>
      </c>
      <c r="G115" s="2">
        <v>37.068</v>
      </c>
      <c r="H115" s="2">
        <v>37.752</v>
      </c>
      <c r="I115" s="2">
        <v>38.557</v>
      </c>
      <c r="J115" s="2">
        <v>39.437</v>
      </c>
      <c r="K115" s="2">
        <v>40.321</v>
      </c>
      <c r="L115" s="2">
        <v>41.212</v>
      </c>
      <c r="M115" s="2">
        <v>42.11</v>
      </c>
      <c r="N115" s="2">
        <v>43.014</v>
      </c>
      <c r="O115" s="2">
        <v>43.92</v>
      </c>
      <c r="P115" s="2">
        <v>44.832</v>
      </c>
      <c r="Q115" s="2">
        <v>45.747</v>
      </c>
      <c r="R115" s="2">
        <v>46.666</v>
      </c>
      <c r="S115" s="2">
        <v>47.47</v>
      </c>
      <c r="T115" s="2">
        <v>48.21</v>
      </c>
      <c r="U115" s="2">
        <v>48.951</v>
      </c>
      <c r="V115" s="2">
        <v>49.693</v>
      </c>
      <c r="W115" s="2">
        <v>50.434</v>
      </c>
      <c r="X115" s="2">
        <v>51.175</v>
      </c>
      <c r="Y115" s="2">
        <v>51.916</v>
      </c>
      <c r="Z115" s="2">
        <v>52.657</v>
      </c>
      <c r="AA115" s="2">
        <v>53.395</v>
      </c>
      <c r="AB115" s="2">
        <v>54.133</v>
      </c>
      <c r="AC115" s="2">
        <v>54.717</v>
      </c>
      <c r="AD115" s="2">
        <v>55.257</v>
      </c>
      <c r="AE115" s="2">
        <v>55.794</v>
      </c>
      <c r="AF115" s="2">
        <v>56.33</v>
      </c>
      <c r="AG115" s="2">
        <v>56.865</v>
      </c>
      <c r="AH115" s="2">
        <v>57.653</v>
      </c>
      <c r="AI115" s="2">
        <v>58.519</v>
      </c>
      <c r="AJ115" s="2">
        <v>59.38</v>
      </c>
      <c r="AK115" s="2">
        <v>60.236</v>
      </c>
      <c r="AL115" s="2">
        <v>61.087</v>
      </c>
      <c r="AM115" s="2">
        <v>61.853</v>
      </c>
      <c r="AN115" s="2">
        <v>62.588</v>
      </c>
      <c r="AO115" s="2">
        <v>63.318</v>
      </c>
      <c r="AP115" s="2">
        <v>64.042</v>
      </c>
      <c r="AQ115" s="2">
        <v>64.758</v>
      </c>
      <c r="AR115" s="2">
        <v>65.468</v>
      </c>
      <c r="AS115" s="2">
        <v>66.172</v>
      </c>
      <c r="AT115" s="2">
        <v>66.869</v>
      </c>
      <c r="AU115" s="2">
        <v>67.558</v>
      </c>
      <c r="AV115" s="2">
        <v>68.239</v>
      </c>
      <c r="AW115" s="2">
        <v>68.864</v>
      </c>
      <c r="AX115" s="2">
        <v>69.458</v>
      </c>
      <c r="AY115" s="2">
        <v>70.045</v>
      </c>
      <c r="AZ115" s="2">
        <v>70.626</v>
      </c>
      <c r="BA115" s="2">
        <v>71.2</v>
      </c>
      <c r="BB115" s="2">
        <v>71.755</v>
      </c>
      <c r="BC115" s="2">
        <v>72.295</v>
      </c>
      <c r="BD115" s="2">
        <v>72.83</v>
      </c>
      <c r="BE115" s="2">
        <v>73.358</v>
      </c>
      <c r="BF115" s="2">
        <v>73.88</v>
      </c>
      <c r="BG115" s="2">
        <v>74.394</v>
      </c>
      <c r="BH115" s="2">
        <v>74.898</v>
      </c>
      <c r="BI115" s="2">
        <v>75.391</v>
      </c>
      <c r="BJ115" s="2">
        <v>75.874</v>
      </c>
      <c r="BK115" s="2">
        <v>76.345</v>
      </c>
      <c r="BL115" s="2">
        <v>76.807</v>
      </c>
      <c r="BM115" s="2">
        <v>77.257</v>
      </c>
      <c r="BN115" s="2">
        <v>77.698</v>
      </c>
      <c r="BO115" s="2">
        <v>3733.6320000000005</v>
      </c>
    </row>
    <row r="116" ht="14.25" customHeight="1">
      <c r="A116" s="2" t="s">
        <v>68</v>
      </c>
      <c r="B116" s="2">
        <v>42.899</v>
      </c>
      <c r="C116" s="2">
        <v>44.432</v>
      </c>
      <c r="D116" s="2">
        <v>45.978</v>
      </c>
      <c r="E116" s="2">
        <v>47.532</v>
      </c>
      <c r="F116" s="2">
        <v>49.093</v>
      </c>
      <c r="G116" s="2">
        <v>50.651</v>
      </c>
      <c r="H116" s="2">
        <v>51.868</v>
      </c>
      <c r="I116" s="2">
        <v>52.945</v>
      </c>
      <c r="J116" s="2">
        <v>54.02</v>
      </c>
      <c r="K116" s="2">
        <v>55.089</v>
      </c>
      <c r="L116" s="2">
        <v>56.154</v>
      </c>
      <c r="M116" s="2">
        <v>57.214</v>
      </c>
      <c r="N116" s="2">
        <v>58.269</v>
      </c>
      <c r="O116" s="2">
        <v>59.313</v>
      </c>
      <c r="P116" s="2">
        <v>60.351</v>
      </c>
      <c r="Q116" s="2">
        <v>61.379</v>
      </c>
      <c r="R116" s="2">
        <v>62.398</v>
      </c>
      <c r="S116" s="2">
        <v>63.404</v>
      </c>
      <c r="T116" s="2">
        <v>64.178</v>
      </c>
      <c r="U116" s="2">
        <v>64.852</v>
      </c>
      <c r="V116" s="2">
        <v>65.521</v>
      </c>
      <c r="W116" s="2">
        <v>66.183</v>
      </c>
      <c r="X116" s="2">
        <v>66.839</v>
      </c>
      <c r="Y116" s="2">
        <v>67.488</v>
      </c>
      <c r="Z116" s="2">
        <v>68.132</v>
      </c>
      <c r="AA116" s="2">
        <v>68.767</v>
      </c>
      <c r="AB116" s="2">
        <v>69.396</v>
      </c>
      <c r="AC116" s="2">
        <v>70.017</v>
      </c>
      <c r="AD116" s="2">
        <v>70.072</v>
      </c>
      <c r="AE116" s="2">
        <v>69.889</v>
      </c>
      <c r="AF116" s="2">
        <v>69.706</v>
      </c>
      <c r="AG116" s="2">
        <v>69.522</v>
      </c>
      <c r="AH116" s="2">
        <v>69.337</v>
      </c>
      <c r="AI116" s="2">
        <v>69.152</v>
      </c>
      <c r="AJ116" s="2">
        <v>68.966</v>
      </c>
      <c r="AK116" s="2">
        <v>68.78</v>
      </c>
      <c r="AL116" s="2">
        <v>68.593</v>
      </c>
      <c r="AM116" s="2">
        <v>68.405</v>
      </c>
      <c r="AN116" s="2">
        <v>68.388</v>
      </c>
      <c r="AO116" s="2">
        <v>68.442</v>
      </c>
      <c r="AP116" s="2">
        <v>68.496</v>
      </c>
      <c r="AQ116" s="2">
        <v>68.55</v>
      </c>
      <c r="AR116" s="2">
        <v>68.604</v>
      </c>
      <c r="AS116" s="2">
        <v>68.658</v>
      </c>
      <c r="AT116" s="2">
        <v>68.712</v>
      </c>
      <c r="AU116" s="2">
        <v>68.766</v>
      </c>
      <c r="AV116" s="2">
        <v>68.819</v>
      </c>
      <c r="AW116" s="2">
        <v>68.873</v>
      </c>
      <c r="AX116" s="2">
        <v>68.927</v>
      </c>
      <c r="AY116" s="2">
        <v>68.98</v>
      </c>
      <c r="AZ116" s="2">
        <v>69.103</v>
      </c>
      <c r="BA116" s="2">
        <v>69.268</v>
      </c>
      <c r="BB116" s="2">
        <v>69.432</v>
      </c>
      <c r="BC116" s="2">
        <v>69.595</v>
      </c>
      <c r="BD116" s="2">
        <v>69.758</v>
      </c>
      <c r="BE116" s="2">
        <v>69.921</v>
      </c>
      <c r="BF116" s="2">
        <v>70.094</v>
      </c>
      <c r="BG116" s="2">
        <v>70.278</v>
      </c>
      <c r="BH116" s="2">
        <v>70.473</v>
      </c>
      <c r="BI116" s="2">
        <v>70.678</v>
      </c>
      <c r="BJ116" s="2">
        <v>70.893</v>
      </c>
      <c r="BK116" s="2">
        <v>71.119</v>
      </c>
      <c r="BL116" s="2">
        <v>71.354</v>
      </c>
      <c r="BM116" s="2">
        <v>71.599</v>
      </c>
      <c r="BN116" s="2">
        <v>71.853</v>
      </c>
      <c r="BO116" s="2">
        <v>4216.4169999999995</v>
      </c>
    </row>
    <row r="117" ht="14.25" customHeight="1">
      <c r="A117" s="2" t="s">
        <v>69</v>
      </c>
      <c r="B117" s="2">
        <v>45.184</v>
      </c>
      <c r="C117" s="2">
        <v>45.393</v>
      </c>
      <c r="D117" s="2">
        <v>45.603</v>
      </c>
      <c r="E117" s="2">
        <v>45.813</v>
      </c>
      <c r="F117" s="2">
        <v>46.023</v>
      </c>
      <c r="G117" s="2">
        <v>46.233</v>
      </c>
      <c r="H117" s="2">
        <v>46.637</v>
      </c>
      <c r="I117" s="2">
        <v>47.795</v>
      </c>
      <c r="J117" s="2">
        <v>48.956</v>
      </c>
      <c r="K117" s="2">
        <v>50.115</v>
      </c>
      <c r="L117" s="2">
        <v>51.276</v>
      </c>
      <c r="M117" s="2">
        <v>52.269</v>
      </c>
      <c r="N117" s="2">
        <v>52.611</v>
      </c>
      <c r="O117" s="2">
        <v>52.952</v>
      </c>
      <c r="P117" s="2">
        <v>53.294</v>
      </c>
      <c r="Q117" s="2">
        <v>53.634</v>
      </c>
      <c r="R117" s="2">
        <v>53.975</v>
      </c>
      <c r="S117" s="2">
        <v>54.315</v>
      </c>
      <c r="T117" s="2">
        <v>54.655</v>
      </c>
      <c r="U117" s="2">
        <v>54.994</v>
      </c>
      <c r="V117" s="2">
        <v>55.333</v>
      </c>
      <c r="W117" s="2">
        <v>55.634</v>
      </c>
      <c r="X117" s="2">
        <v>55.794</v>
      </c>
      <c r="Y117" s="2">
        <v>55.955</v>
      </c>
      <c r="Z117" s="2">
        <v>56.115</v>
      </c>
      <c r="AA117" s="2">
        <v>56.275</v>
      </c>
      <c r="AB117" s="2">
        <v>56.427</v>
      </c>
      <c r="AC117" s="2">
        <v>56.553</v>
      </c>
      <c r="AD117" s="2">
        <v>56.678</v>
      </c>
      <c r="AE117" s="2">
        <v>56.804</v>
      </c>
      <c r="AF117" s="2">
        <v>56.929</v>
      </c>
      <c r="AG117" s="2">
        <v>57.073</v>
      </c>
      <c r="AH117" s="2">
        <v>57.293</v>
      </c>
      <c r="AI117" s="2">
        <v>57.512</v>
      </c>
      <c r="AJ117" s="2">
        <v>57.731</v>
      </c>
      <c r="AK117" s="2">
        <v>57.949</v>
      </c>
      <c r="AL117" s="2">
        <v>58.173</v>
      </c>
      <c r="AM117" s="2">
        <v>58.419</v>
      </c>
      <c r="AN117" s="2">
        <v>58.664</v>
      </c>
      <c r="AO117" s="2">
        <v>58.91</v>
      </c>
      <c r="AP117" s="2">
        <v>59.155</v>
      </c>
      <c r="AQ117" s="2">
        <v>59.399</v>
      </c>
      <c r="AR117" s="2">
        <v>59.649</v>
      </c>
      <c r="AS117" s="2">
        <v>59.925</v>
      </c>
      <c r="AT117" s="2">
        <v>60.202</v>
      </c>
      <c r="AU117" s="2">
        <v>60.477</v>
      </c>
      <c r="AV117" s="2">
        <v>60.738</v>
      </c>
      <c r="AW117" s="2">
        <v>60.94</v>
      </c>
      <c r="AX117" s="2">
        <v>61.141</v>
      </c>
      <c r="AY117" s="2">
        <v>61.342</v>
      </c>
      <c r="AZ117" s="2">
        <v>61.542</v>
      </c>
      <c r="BA117" s="2">
        <v>61.742</v>
      </c>
      <c r="BB117" s="2">
        <v>61.942</v>
      </c>
      <c r="BC117" s="2">
        <v>62.141</v>
      </c>
      <c r="BD117" s="2">
        <v>62.34</v>
      </c>
      <c r="BE117" s="2">
        <v>62.538</v>
      </c>
      <c r="BF117" s="2">
        <v>62.737</v>
      </c>
      <c r="BG117" s="2">
        <v>62.947</v>
      </c>
      <c r="BH117" s="2">
        <v>63.17</v>
      </c>
      <c r="BI117" s="2">
        <v>63.405</v>
      </c>
      <c r="BJ117" s="2">
        <v>63.653</v>
      </c>
      <c r="BK117" s="2">
        <v>63.912</v>
      </c>
      <c r="BL117" s="2">
        <v>64.183</v>
      </c>
      <c r="BM117" s="2">
        <v>64.466</v>
      </c>
      <c r="BN117" s="2">
        <v>64.76</v>
      </c>
      <c r="BO117" s="2">
        <v>3690.3940000000007</v>
      </c>
    </row>
    <row r="118" ht="14.25" customHeight="1">
      <c r="A118" s="2" t="s">
        <v>540</v>
      </c>
      <c r="B118" s="2">
        <v>55.123</v>
      </c>
      <c r="C118" s="2">
        <v>55.345</v>
      </c>
      <c r="D118" s="2">
        <v>55.586</v>
      </c>
      <c r="E118" s="2">
        <v>55.826</v>
      </c>
      <c r="F118" s="2">
        <v>56.066</v>
      </c>
      <c r="G118" s="2">
        <v>56.305</v>
      </c>
      <c r="H118" s="2">
        <v>56.47</v>
      </c>
      <c r="I118" s="2">
        <v>56.311</v>
      </c>
      <c r="J118" s="2">
        <v>56.151</v>
      </c>
      <c r="K118" s="2">
        <v>55.991</v>
      </c>
      <c r="L118" s="2">
        <v>55.831</v>
      </c>
      <c r="M118" s="2">
        <v>55.556</v>
      </c>
      <c r="N118" s="2">
        <v>54.77</v>
      </c>
      <c r="O118" s="2">
        <v>53.983</v>
      </c>
      <c r="P118" s="2">
        <v>53.194</v>
      </c>
      <c r="Q118" s="2">
        <v>52.403</v>
      </c>
      <c r="R118" s="2">
        <v>51.799</v>
      </c>
      <c r="S118" s="2">
        <v>51.795</v>
      </c>
      <c r="T118" s="2">
        <v>51.791</v>
      </c>
      <c r="U118" s="2">
        <v>51.788</v>
      </c>
      <c r="V118" s="2">
        <v>51.784</v>
      </c>
      <c r="W118" s="2">
        <v>51.78</v>
      </c>
      <c r="X118" s="2">
        <v>51.776</v>
      </c>
      <c r="Y118" s="2">
        <v>51.773</v>
      </c>
      <c r="Z118" s="2">
        <v>51.769</v>
      </c>
      <c r="AA118" s="2">
        <v>51.765</v>
      </c>
      <c r="AB118" s="2">
        <v>51.761</v>
      </c>
      <c r="AC118" s="2">
        <v>51.757</v>
      </c>
      <c r="AD118" s="2">
        <v>51.754</v>
      </c>
      <c r="AE118" s="2">
        <v>51.75</v>
      </c>
      <c r="AF118" s="2">
        <v>51.746</v>
      </c>
      <c r="AG118" s="2">
        <v>51.745</v>
      </c>
      <c r="AH118" s="2">
        <v>51.754</v>
      </c>
      <c r="AI118" s="2">
        <v>51.764</v>
      </c>
      <c r="AJ118" s="2">
        <v>51.773</v>
      </c>
      <c r="AK118" s="2">
        <v>51.783</v>
      </c>
      <c r="AL118" s="2">
        <v>51.792</v>
      </c>
      <c r="AM118" s="2">
        <v>51.8</v>
      </c>
      <c r="AN118" s="2">
        <v>51.808</v>
      </c>
      <c r="AO118" s="2">
        <v>51.815</v>
      </c>
      <c r="AP118" s="2">
        <v>51.823</v>
      </c>
      <c r="AQ118" s="2">
        <v>51.833</v>
      </c>
      <c r="AR118" s="2">
        <v>51.851</v>
      </c>
      <c r="AS118" s="2">
        <v>51.869</v>
      </c>
      <c r="AT118" s="2">
        <v>51.887</v>
      </c>
      <c r="AU118" s="2">
        <v>51.905</v>
      </c>
      <c r="AV118" s="2">
        <v>51.922</v>
      </c>
      <c r="AW118" s="2">
        <v>51.94</v>
      </c>
      <c r="AX118" s="2">
        <v>51.958</v>
      </c>
      <c r="AY118" s="2">
        <v>51.976</v>
      </c>
      <c r="AZ118" s="2">
        <v>51.994</v>
      </c>
      <c r="BA118" s="2">
        <v>52.012</v>
      </c>
      <c r="BB118" s="2">
        <v>52.046</v>
      </c>
      <c r="BC118" s="2">
        <v>52.096</v>
      </c>
      <c r="BD118" s="2">
        <v>52.162</v>
      </c>
      <c r="BE118" s="2">
        <v>52.245</v>
      </c>
      <c r="BF118" s="2">
        <v>52.343</v>
      </c>
      <c r="BG118" s="2">
        <v>52.458</v>
      </c>
      <c r="BH118" s="2">
        <v>52.588</v>
      </c>
      <c r="BI118" s="2">
        <v>52.735</v>
      </c>
      <c r="BJ118" s="2">
        <v>52.898</v>
      </c>
      <c r="BK118" s="2">
        <v>53.076</v>
      </c>
      <c r="BL118" s="2">
        <v>53.271</v>
      </c>
      <c r="BM118" s="2">
        <v>53.482</v>
      </c>
      <c r="BN118" s="2">
        <v>53.708</v>
      </c>
      <c r="BO118" s="2">
        <v>3435.611000000001</v>
      </c>
    </row>
    <row r="119" ht="14.25" customHeight="1">
      <c r="A119" s="2" t="s">
        <v>458</v>
      </c>
      <c r="B119" s="2">
        <v>76.848</v>
      </c>
      <c r="C119" s="2">
        <v>77.985</v>
      </c>
      <c r="D119" s="2">
        <v>78.754</v>
      </c>
      <c r="E119" s="2">
        <v>79.502</v>
      </c>
      <c r="F119" s="2">
        <v>80.232</v>
      </c>
      <c r="G119" s="2">
        <v>80.94</v>
      </c>
      <c r="H119" s="2">
        <v>81.63</v>
      </c>
      <c r="I119" s="2">
        <v>82.3</v>
      </c>
      <c r="J119" s="2">
        <v>82.952</v>
      </c>
      <c r="K119" s="2">
        <v>83.582</v>
      </c>
      <c r="L119" s="2">
        <v>84.195</v>
      </c>
      <c r="M119" s="2">
        <v>84.789</v>
      </c>
      <c r="N119" s="2">
        <v>85.351</v>
      </c>
      <c r="O119" s="2">
        <v>85.793</v>
      </c>
      <c r="P119" s="2">
        <v>86.224</v>
      </c>
      <c r="Q119" s="2">
        <v>86.643</v>
      </c>
      <c r="R119" s="2">
        <v>87.053</v>
      </c>
      <c r="S119" s="2">
        <v>87.45</v>
      </c>
      <c r="T119" s="2">
        <v>87.838</v>
      </c>
      <c r="U119" s="2">
        <v>88.215</v>
      </c>
      <c r="V119" s="2">
        <v>88.583</v>
      </c>
      <c r="W119" s="2">
        <v>88.94</v>
      </c>
      <c r="X119" s="2">
        <v>89.287</v>
      </c>
      <c r="Y119" s="2">
        <v>89.608</v>
      </c>
      <c r="Z119" s="2">
        <v>89.719</v>
      </c>
      <c r="AA119" s="2">
        <v>89.828</v>
      </c>
      <c r="AB119" s="2">
        <v>89.936</v>
      </c>
      <c r="AC119" s="2">
        <v>90.044</v>
      </c>
      <c r="AD119" s="2">
        <v>90.15</v>
      </c>
      <c r="AE119" s="2">
        <v>90.255</v>
      </c>
      <c r="AF119" s="2">
        <v>90.359</v>
      </c>
      <c r="AG119" s="2">
        <v>90.463</v>
      </c>
      <c r="AH119" s="2">
        <v>90.565</v>
      </c>
      <c r="AI119" s="2">
        <v>90.666</v>
      </c>
      <c r="AJ119" s="2">
        <v>90.767</v>
      </c>
      <c r="AK119" s="2">
        <v>90.866</v>
      </c>
      <c r="AL119" s="2">
        <v>90.943</v>
      </c>
      <c r="AM119" s="2">
        <v>91.009</v>
      </c>
      <c r="AN119" s="2">
        <v>91.074</v>
      </c>
      <c r="AO119" s="2">
        <v>91.139</v>
      </c>
      <c r="AP119" s="2">
        <v>91.203</v>
      </c>
      <c r="AQ119" s="2">
        <v>91.267</v>
      </c>
      <c r="AR119" s="2">
        <v>91.33</v>
      </c>
      <c r="AS119" s="2">
        <v>91.393</v>
      </c>
      <c r="AT119" s="2">
        <v>91.456</v>
      </c>
      <c r="AU119" s="2">
        <v>91.518</v>
      </c>
      <c r="AV119" s="2">
        <v>91.58</v>
      </c>
      <c r="AW119" s="2">
        <v>91.641</v>
      </c>
      <c r="AX119" s="2">
        <v>91.702</v>
      </c>
      <c r="AY119" s="2">
        <v>91.763</v>
      </c>
      <c r="AZ119" s="2">
        <v>91.826</v>
      </c>
      <c r="BA119" s="2">
        <v>91.892</v>
      </c>
      <c r="BB119" s="2">
        <v>91.96</v>
      </c>
      <c r="BC119" s="2">
        <v>92.031</v>
      </c>
      <c r="BD119" s="2">
        <v>92.104</v>
      </c>
      <c r="BE119" s="2">
        <v>92.179</v>
      </c>
      <c r="BF119" s="2">
        <v>92.256</v>
      </c>
      <c r="BG119" s="2">
        <v>92.336</v>
      </c>
      <c r="BH119" s="2">
        <v>92.418</v>
      </c>
      <c r="BI119" s="2">
        <v>92.501</v>
      </c>
      <c r="BJ119" s="2">
        <v>92.587</v>
      </c>
      <c r="BK119" s="2">
        <v>92.674</v>
      </c>
      <c r="BL119" s="2">
        <v>92.763</v>
      </c>
      <c r="BM119" s="2">
        <v>92.854</v>
      </c>
      <c r="BN119" s="2">
        <v>92.946</v>
      </c>
      <c r="BO119" s="2">
        <v>5772.657000000002</v>
      </c>
    </row>
    <row r="120" ht="14.25" customHeight="1">
      <c r="A120" s="2" t="s">
        <v>70</v>
      </c>
      <c r="B120" s="2">
        <v>59.361</v>
      </c>
      <c r="C120" s="2">
        <v>59.856</v>
      </c>
      <c r="D120" s="2">
        <v>60.355</v>
      </c>
      <c r="E120" s="2">
        <v>60.853</v>
      </c>
      <c r="F120" s="2">
        <v>61.35</v>
      </c>
      <c r="G120" s="2">
        <v>61.843</v>
      </c>
      <c r="H120" s="2">
        <v>62.334</v>
      </c>
      <c r="I120" s="2">
        <v>62.822</v>
      </c>
      <c r="J120" s="2">
        <v>63.309</v>
      </c>
      <c r="K120" s="2">
        <v>63.792</v>
      </c>
      <c r="L120" s="2">
        <v>64.272</v>
      </c>
      <c r="M120" s="2">
        <v>64.75</v>
      </c>
      <c r="N120" s="2">
        <v>65.039</v>
      </c>
      <c r="O120" s="2">
        <v>65.241</v>
      </c>
      <c r="P120" s="2">
        <v>65.442</v>
      </c>
      <c r="Q120" s="2">
        <v>65.643</v>
      </c>
      <c r="R120" s="2">
        <v>65.844</v>
      </c>
      <c r="S120" s="2">
        <v>66.044</v>
      </c>
      <c r="T120" s="2">
        <v>66.243</v>
      </c>
      <c r="U120" s="2">
        <v>66.442</v>
      </c>
      <c r="V120" s="2">
        <v>66.64</v>
      </c>
      <c r="W120" s="2">
        <v>66.837</v>
      </c>
      <c r="X120" s="2">
        <v>66.886</v>
      </c>
      <c r="Y120" s="2">
        <v>66.866</v>
      </c>
      <c r="Z120" s="2">
        <v>66.846</v>
      </c>
      <c r="AA120" s="2">
        <v>66.826</v>
      </c>
      <c r="AB120" s="2">
        <v>66.806</v>
      </c>
      <c r="AC120" s="2">
        <v>66.786</v>
      </c>
      <c r="AD120" s="2">
        <v>66.766</v>
      </c>
      <c r="AE120" s="2">
        <v>66.746</v>
      </c>
      <c r="AF120" s="2">
        <v>66.726</v>
      </c>
      <c r="AG120" s="2">
        <v>66.706</v>
      </c>
      <c r="AH120" s="2">
        <v>66.742</v>
      </c>
      <c r="AI120" s="2">
        <v>66.802</v>
      </c>
      <c r="AJ120" s="2">
        <v>66.862</v>
      </c>
      <c r="AK120" s="2">
        <v>66.922</v>
      </c>
      <c r="AL120" s="2">
        <v>66.982</v>
      </c>
      <c r="AM120" s="2">
        <v>67.042</v>
      </c>
      <c r="AN120" s="2">
        <v>67.102</v>
      </c>
      <c r="AO120" s="2">
        <v>67.162</v>
      </c>
      <c r="AP120" s="2">
        <v>67.222</v>
      </c>
      <c r="AQ120" s="2">
        <v>67.282</v>
      </c>
      <c r="AR120" s="2">
        <v>67.382</v>
      </c>
      <c r="AS120" s="2">
        <v>67.501</v>
      </c>
      <c r="AT120" s="2">
        <v>67.62</v>
      </c>
      <c r="AU120" s="2">
        <v>67.738</v>
      </c>
      <c r="AV120" s="2">
        <v>67.856</v>
      </c>
      <c r="AW120" s="2">
        <v>67.974</v>
      </c>
      <c r="AX120" s="2">
        <v>68.092</v>
      </c>
      <c r="AY120" s="2">
        <v>68.209</v>
      </c>
      <c r="AZ120" s="2">
        <v>68.327</v>
      </c>
      <c r="BA120" s="2">
        <v>68.444</v>
      </c>
      <c r="BB120" s="2">
        <v>68.684</v>
      </c>
      <c r="BC120" s="2">
        <v>68.979</v>
      </c>
      <c r="BD120" s="2">
        <v>69.272</v>
      </c>
      <c r="BE120" s="2">
        <v>69.565</v>
      </c>
      <c r="BF120" s="2">
        <v>69.855</v>
      </c>
      <c r="BG120" s="2">
        <v>70.144</v>
      </c>
      <c r="BH120" s="2">
        <v>70.438</v>
      </c>
      <c r="BI120" s="2">
        <v>70.736</v>
      </c>
      <c r="BJ120" s="2">
        <v>71.039</v>
      </c>
      <c r="BK120" s="2">
        <v>71.346</v>
      </c>
      <c r="BL120" s="2">
        <v>71.657</v>
      </c>
      <c r="BM120" s="2">
        <v>71.973</v>
      </c>
      <c r="BN120" s="2">
        <v>72.292</v>
      </c>
      <c r="BO120" s="2">
        <v>4337.515000000002</v>
      </c>
    </row>
    <row r="121" ht="14.25" customHeight="1">
      <c r="A121" s="2" t="s">
        <v>71</v>
      </c>
      <c r="B121" s="2">
        <v>33.769</v>
      </c>
      <c r="C121" s="2">
        <v>34.5</v>
      </c>
      <c r="D121" s="2">
        <v>35.239</v>
      </c>
      <c r="E121" s="2">
        <v>35.985</v>
      </c>
      <c r="F121" s="2">
        <v>36.74</v>
      </c>
      <c r="G121" s="2">
        <v>37.499</v>
      </c>
      <c r="H121" s="2">
        <v>38.265</v>
      </c>
      <c r="I121" s="2">
        <v>39.036</v>
      </c>
      <c r="J121" s="2">
        <v>39.815</v>
      </c>
      <c r="K121" s="2">
        <v>40.596</v>
      </c>
      <c r="L121" s="2">
        <v>41.324</v>
      </c>
      <c r="M121" s="2">
        <v>41.858</v>
      </c>
      <c r="N121" s="2">
        <v>42.395</v>
      </c>
      <c r="O121" s="2">
        <v>42.933</v>
      </c>
      <c r="P121" s="2">
        <v>43.472</v>
      </c>
      <c r="Q121" s="2">
        <v>44.013</v>
      </c>
      <c r="R121" s="2">
        <v>44.557</v>
      </c>
      <c r="S121" s="2">
        <v>45.1</v>
      </c>
      <c r="T121" s="2">
        <v>45.645</v>
      </c>
      <c r="U121" s="2">
        <v>46.191</v>
      </c>
      <c r="V121" s="2">
        <v>46.739</v>
      </c>
      <c r="W121" s="2">
        <v>47.286</v>
      </c>
      <c r="X121" s="2">
        <v>47.813</v>
      </c>
      <c r="Y121" s="2">
        <v>48.016</v>
      </c>
      <c r="Z121" s="2">
        <v>48.22</v>
      </c>
      <c r="AA121" s="2">
        <v>48.424</v>
      </c>
      <c r="AB121" s="2">
        <v>48.628</v>
      </c>
      <c r="AC121" s="2">
        <v>48.832</v>
      </c>
      <c r="AD121" s="2">
        <v>49.036</v>
      </c>
      <c r="AE121" s="2">
        <v>49.24</v>
      </c>
      <c r="AF121" s="2">
        <v>49.444</v>
      </c>
      <c r="AG121" s="2">
        <v>49.656</v>
      </c>
      <c r="AH121" s="2">
        <v>49.896</v>
      </c>
      <c r="AI121" s="2">
        <v>50.136</v>
      </c>
      <c r="AJ121" s="2">
        <v>50.375</v>
      </c>
      <c r="AK121" s="2">
        <v>50.615</v>
      </c>
      <c r="AL121" s="2">
        <v>50.855</v>
      </c>
      <c r="AM121" s="2">
        <v>51.095</v>
      </c>
      <c r="AN121" s="2">
        <v>51.335</v>
      </c>
      <c r="AO121" s="2">
        <v>51.574</v>
      </c>
      <c r="AP121" s="2">
        <v>51.814</v>
      </c>
      <c r="AQ121" s="2">
        <v>52.053</v>
      </c>
      <c r="AR121" s="2">
        <v>52.251</v>
      </c>
      <c r="AS121" s="2">
        <v>52.437</v>
      </c>
      <c r="AT121" s="2">
        <v>52.625</v>
      </c>
      <c r="AU121" s="2">
        <v>52.811</v>
      </c>
      <c r="AV121" s="2">
        <v>52.998</v>
      </c>
      <c r="AW121" s="2">
        <v>53.184</v>
      </c>
      <c r="AX121" s="2">
        <v>53.371</v>
      </c>
      <c r="AY121" s="2">
        <v>53.557</v>
      </c>
      <c r="AZ121" s="2">
        <v>53.743</v>
      </c>
      <c r="BA121" s="2">
        <v>53.93</v>
      </c>
      <c r="BB121" s="2">
        <v>54.132</v>
      </c>
      <c r="BC121" s="2">
        <v>54.35</v>
      </c>
      <c r="BD121" s="2">
        <v>54.584</v>
      </c>
      <c r="BE121" s="2">
        <v>54.833</v>
      </c>
      <c r="BF121" s="2">
        <v>55.098</v>
      </c>
      <c r="BG121" s="2">
        <v>55.378</v>
      </c>
      <c r="BH121" s="2">
        <v>55.674</v>
      </c>
      <c r="BI121" s="2">
        <v>55.985</v>
      </c>
      <c r="BJ121" s="2">
        <v>56.311</v>
      </c>
      <c r="BK121" s="2">
        <v>56.652</v>
      </c>
      <c r="BL121" s="2">
        <v>57.008</v>
      </c>
      <c r="BM121" s="2">
        <v>57.378</v>
      </c>
      <c r="BN121" s="2">
        <v>57.762</v>
      </c>
      <c r="BO121" s="2">
        <v>3156.0660000000007</v>
      </c>
    </row>
    <row r="122" ht="14.25" customHeight="1">
      <c r="A122" s="2" t="s">
        <v>72</v>
      </c>
      <c r="B122" s="2">
        <v>63.272</v>
      </c>
      <c r="C122" s="2">
        <v>64.213</v>
      </c>
      <c r="D122" s="2">
        <v>65.144</v>
      </c>
      <c r="E122" s="2">
        <v>66.064</v>
      </c>
      <c r="F122" s="2">
        <v>66.972</v>
      </c>
      <c r="G122" s="2">
        <v>67.866</v>
      </c>
      <c r="H122" s="2">
        <v>68.704</v>
      </c>
      <c r="I122" s="2">
        <v>69.516</v>
      </c>
      <c r="J122" s="2">
        <v>70.316</v>
      </c>
      <c r="K122" s="2">
        <v>71.102</v>
      </c>
      <c r="L122" s="2">
        <v>71.877</v>
      </c>
      <c r="M122" s="2">
        <v>72.666</v>
      </c>
      <c r="N122" s="2">
        <v>73.452</v>
      </c>
      <c r="O122" s="2">
        <v>74.22</v>
      </c>
      <c r="P122" s="2">
        <v>74.975</v>
      </c>
      <c r="Q122" s="2">
        <v>75.716</v>
      </c>
      <c r="R122" s="2">
        <v>75.944</v>
      </c>
      <c r="S122" s="2">
        <v>76.002</v>
      </c>
      <c r="T122" s="2">
        <v>76.06</v>
      </c>
      <c r="U122" s="2">
        <v>76.118</v>
      </c>
      <c r="V122" s="2">
        <v>76.175</v>
      </c>
      <c r="W122" s="2">
        <v>76.273</v>
      </c>
      <c r="X122" s="2">
        <v>76.383</v>
      </c>
      <c r="Y122" s="2">
        <v>76.493</v>
      </c>
      <c r="Z122" s="2">
        <v>76.603</v>
      </c>
      <c r="AA122" s="2">
        <v>76.712</v>
      </c>
      <c r="AB122" s="2">
        <v>76.835</v>
      </c>
      <c r="AC122" s="2">
        <v>76.962</v>
      </c>
      <c r="AD122" s="2">
        <v>77.088</v>
      </c>
      <c r="AE122" s="2">
        <v>77.213</v>
      </c>
      <c r="AF122" s="2">
        <v>77.339</v>
      </c>
      <c r="AG122" s="2">
        <v>77.473</v>
      </c>
      <c r="AH122" s="2">
        <v>77.61</v>
      </c>
      <c r="AI122" s="2">
        <v>77.746</v>
      </c>
      <c r="AJ122" s="2">
        <v>77.881</v>
      </c>
      <c r="AK122" s="2">
        <v>78.016</v>
      </c>
      <c r="AL122" s="2">
        <v>78.145</v>
      </c>
      <c r="AM122" s="2">
        <v>78.272</v>
      </c>
      <c r="AN122" s="2">
        <v>78.398</v>
      </c>
      <c r="AO122" s="2">
        <v>78.523</v>
      </c>
      <c r="AP122" s="2">
        <v>78.649</v>
      </c>
      <c r="AQ122" s="2">
        <v>79.99</v>
      </c>
      <c r="AR122" s="2">
        <v>81.647</v>
      </c>
      <c r="AS122" s="2">
        <v>83.196</v>
      </c>
      <c r="AT122" s="2">
        <v>84.64</v>
      </c>
      <c r="AU122" s="2">
        <v>85.978</v>
      </c>
      <c r="AV122" s="2">
        <v>87.118</v>
      </c>
      <c r="AW122" s="2">
        <v>88.146</v>
      </c>
      <c r="AX122" s="2">
        <v>89.103</v>
      </c>
      <c r="AY122" s="2">
        <v>89.989</v>
      </c>
      <c r="AZ122" s="2">
        <v>90.812</v>
      </c>
      <c r="BA122" s="2">
        <v>91.069</v>
      </c>
      <c r="BB122" s="2">
        <v>91.148</v>
      </c>
      <c r="BC122" s="2">
        <v>91.226</v>
      </c>
      <c r="BD122" s="2">
        <v>91.304</v>
      </c>
      <c r="BE122" s="2">
        <v>91.381</v>
      </c>
      <c r="BF122" s="2">
        <v>91.457</v>
      </c>
      <c r="BG122" s="2">
        <v>91.535</v>
      </c>
      <c r="BH122" s="2">
        <v>91.616</v>
      </c>
      <c r="BI122" s="2">
        <v>91.698</v>
      </c>
      <c r="BJ122" s="2">
        <v>91.782</v>
      </c>
      <c r="BK122" s="2">
        <v>91.867</v>
      </c>
      <c r="BL122" s="2">
        <v>91.955</v>
      </c>
      <c r="BM122" s="2">
        <v>92.043</v>
      </c>
      <c r="BN122" s="2">
        <v>92.134</v>
      </c>
      <c r="BO122" s="2">
        <v>5187.822</v>
      </c>
    </row>
    <row r="123" ht="14.25" customHeight="1">
      <c r="A123" s="2" t="s">
        <v>73</v>
      </c>
      <c r="B123" s="2">
        <v>50.879</v>
      </c>
      <c r="C123" s="2">
        <v>52.412</v>
      </c>
      <c r="D123" s="2">
        <v>53.215</v>
      </c>
      <c r="E123" s="2">
        <v>53.565</v>
      </c>
      <c r="F123" s="2">
        <v>53.914</v>
      </c>
      <c r="G123" s="2">
        <v>54.262</v>
      </c>
      <c r="H123" s="2">
        <v>54.61</v>
      </c>
      <c r="I123" s="2">
        <v>54.957</v>
      </c>
      <c r="J123" s="2">
        <v>55.296</v>
      </c>
      <c r="K123" s="2">
        <v>55.633</v>
      </c>
      <c r="L123" s="2">
        <v>55.971</v>
      </c>
      <c r="M123" s="2">
        <v>56.308</v>
      </c>
      <c r="N123" s="2">
        <v>56.645</v>
      </c>
      <c r="O123" s="2">
        <v>56.98</v>
      </c>
      <c r="P123" s="2">
        <v>57.315</v>
      </c>
      <c r="Q123" s="2">
        <v>57.65</v>
      </c>
      <c r="R123" s="2">
        <v>57.984</v>
      </c>
      <c r="S123" s="2">
        <v>58.316</v>
      </c>
      <c r="T123" s="2">
        <v>58.649</v>
      </c>
      <c r="U123" s="2">
        <v>58.98</v>
      </c>
      <c r="V123" s="2">
        <v>60.029</v>
      </c>
      <c r="W123" s="2">
        <v>61.464</v>
      </c>
      <c r="X123" s="2">
        <v>62.882</v>
      </c>
      <c r="Y123" s="2">
        <v>64.278</v>
      </c>
      <c r="Z123" s="2">
        <v>65.652</v>
      </c>
      <c r="AA123" s="2">
        <v>66.996</v>
      </c>
      <c r="AB123" s="2">
        <v>68.315</v>
      </c>
      <c r="AC123" s="2">
        <v>69.606</v>
      </c>
      <c r="AD123" s="2">
        <v>70.868</v>
      </c>
      <c r="AE123" s="2">
        <v>72.095</v>
      </c>
      <c r="AF123" s="2">
        <v>73.291</v>
      </c>
      <c r="AG123" s="2">
        <v>74.455</v>
      </c>
      <c r="AH123" s="2">
        <v>75.586</v>
      </c>
      <c r="AI123" s="2">
        <v>76.68</v>
      </c>
      <c r="AJ123" s="2">
        <v>77.74</v>
      </c>
      <c r="AK123" s="2">
        <v>78.207</v>
      </c>
      <c r="AL123" s="2">
        <v>78.22</v>
      </c>
      <c r="AM123" s="2">
        <v>78.232</v>
      </c>
      <c r="AN123" s="2">
        <v>78.245</v>
      </c>
      <c r="AO123" s="2">
        <v>78.258</v>
      </c>
      <c r="AP123" s="2">
        <v>78.27</v>
      </c>
      <c r="AQ123" s="2">
        <v>78.283</v>
      </c>
      <c r="AR123" s="2">
        <v>78.296</v>
      </c>
      <c r="AS123" s="2">
        <v>78.308</v>
      </c>
      <c r="AT123" s="2">
        <v>78.321</v>
      </c>
      <c r="AU123" s="2">
        <v>79.485</v>
      </c>
      <c r="AV123" s="2">
        <v>80.97</v>
      </c>
      <c r="AW123" s="2">
        <v>82.371</v>
      </c>
      <c r="AX123" s="2">
        <v>83.692</v>
      </c>
      <c r="AY123" s="2">
        <v>84.928</v>
      </c>
      <c r="AZ123" s="2">
        <v>86.088</v>
      </c>
      <c r="BA123" s="2">
        <v>87.172</v>
      </c>
      <c r="BB123" s="2">
        <v>88.185</v>
      </c>
      <c r="BC123" s="2">
        <v>89.125</v>
      </c>
      <c r="BD123" s="2">
        <v>90.0</v>
      </c>
      <c r="BE123" s="2">
        <v>90.256</v>
      </c>
      <c r="BF123" s="2">
        <v>90.506</v>
      </c>
      <c r="BG123" s="2">
        <v>90.747</v>
      </c>
      <c r="BH123" s="2">
        <v>90.979</v>
      </c>
      <c r="BI123" s="2">
        <v>91.203</v>
      </c>
      <c r="BJ123" s="2">
        <v>91.418</v>
      </c>
      <c r="BK123" s="2">
        <v>91.626</v>
      </c>
      <c r="BL123" s="2">
        <v>91.827</v>
      </c>
      <c r="BM123" s="2">
        <v>92.02</v>
      </c>
      <c r="BN123" s="2">
        <v>92.206</v>
      </c>
      <c r="BO123" s="2">
        <v>4700.922</v>
      </c>
    </row>
    <row r="124" ht="14.25" customHeight="1">
      <c r="A124" s="2" t="s">
        <v>459</v>
      </c>
      <c r="B124" s="2">
        <v>44.198</v>
      </c>
      <c r="C124" s="2">
        <v>44.746</v>
      </c>
      <c r="D124" s="2">
        <v>45.296</v>
      </c>
      <c r="E124" s="2">
        <v>45.847</v>
      </c>
      <c r="F124" s="2">
        <v>46.4</v>
      </c>
      <c r="G124" s="2">
        <v>47.047</v>
      </c>
      <c r="H124" s="2">
        <v>47.696</v>
      </c>
      <c r="I124" s="2">
        <v>48.346</v>
      </c>
      <c r="J124" s="2">
        <v>48.997</v>
      </c>
      <c r="K124" s="2">
        <v>49.647</v>
      </c>
      <c r="L124" s="2">
        <v>50.236</v>
      </c>
      <c r="M124" s="2">
        <v>50.753</v>
      </c>
      <c r="N124" s="2">
        <v>51.269</v>
      </c>
      <c r="O124" s="2">
        <v>51.785</v>
      </c>
      <c r="P124" s="2">
        <v>52.3</v>
      </c>
      <c r="Q124" s="2">
        <v>52.564</v>
      </c>
      <c r="R124" s="2">
        <v>52.828</v>
      </c>
      <c r="S124" s="2">
        <v>53.092</v>
      </c>
      <c r="T124" s="2">
        <v>53.356</v>
      </c>
      <c r="U124" s="2">
        <v>53.7</v>
      </c>
      <c r="V124" s="2">
        <v>54.142</v>
      </c>
      <c r="W124" s="2">
        <v>54.582</v>
      </c>
      <c r="X124" s="2">
        <v>55.022</v>
      </c>
      <c r="Y124" s="2">
        <v>55.461</v>
      </c>
      <c r="Z124" s="2">
        <v>55.9</v>
      </c>
      <c r="AA124" s="2">
        <v>56.01</v>
      </c>
      <c r="AB124" s="2">
        <v>56.121</v>
      </c>
      <c r="AC124" s="2">
        <v>56.231</v>
      </c>
      <c r="AD124" s="2">
        <v>56.341</v>
      </c>
      <c r="AE124" s="2">
        <v>56.357</v>
      </c>
      <c r="AF124" s="2">
        <v>56.266</v>
      </c>
      <c r="AG124" s="2">
        <v>56.175</v>
      </c>
      <c r="AH124" s="2">
        <v>56.083</v>
      </c>
      <c r="AI124" s="2">
        <v>55.992</v>
      </c>
      <c r="AJ124" s="2">
        <v>55.9</v>
      </c>
      <c r="AK124" s="2">
        <v>55.921</v>
      </c>
      <c r="AL124" s="2">
        <v>55.943</v>
      </c>
      <c r="AM124" s="2">
        <v>55.964</v>
      </c>
      <c r="AN124" s="2">
        <v>55.986</v>
      </c>
      <c r="AO124" s="2">
        <v>56.025</v>
      </c>
      <c r="AP124" s="2">
        <v>56.098</v>
      </c>
      <c r="AQ124" s="2">
        <v>56.171</v>
      </c>
      <c r="AR124" s="2">
        <v>56.244</v>
      </c>
      <c r="AS124" s="2">
        <v>56.317</v>
      </c>
      <c r="AT124" s="2">
        <v>56.39</v>
      </c>
      <c r="AU124" s="2">
        <v>56.463</v>
      </c>
      <c r="AV124" s="2">
        <v>56.536</v>
      </c>
      <c r="AW124" s="2">
        <v>56.609</v>
      </c>
      <c r="AX124" s="2">
        <v>56.682</v>
      </c>
      <c r="AY124" s="2">
        <v>56.755</v>
      </c>
      <c r="AZ124" s="2">
        <v>56.827</v>
      </c>
      <c r="BA124" s="2">
        <v>56.9</v>
      </c>
      <c r="BB124" s="2">
        <v>56.973</v>
      </c>
      <c r="BC124" s="2">
        <v>57.046</v>
      </c>
      <c r="BD124" s="2">
        <v>57.118</v>
      </c>
      <c r="BE124" s="2">
        <v>57.191</v>
      </c>
      <c r="BF124" s="2">
        <v>57.264</v>
      </c>
      <c r="BG124" s="2">
        <v>57.336</v>
      </c>
      <c r="BH124" s="2">
        <v>57.428</v>
      </c>
      <c r="BI124" s="2">
        <v>57.54</v>
      </c>
      <c r="BJ124" s="2">
        <v>57.671</v>
      </c>
      <c r="BK124" s="2">
        <v>57.821</v>
      </c>
      <c r="BL124" s="2">
        <v>57.99</v>
      </c>
      <c r="BM124" s="2">
        <v>58.179</v>
      </c>
      <c r="BN124" s="2">
        <v>58.387</v>
      </c>
      <c r="BO124" s="2">
        <v>3532.4609999999993</v>
      </c>
    </row>
    <row r="125" ht="14.25" customHeight="1">
      <c r="A125" s="2" t="s">
        <v>74</v>
      </c>
      <c r="B125" s="2">
        <v>7.362</v>
      </c>
      <c r="C125" s="2">
        <v>7.565</v>
      </c>
      <c r="D125" s="2">
        <v>7.774</v>
      </c>
      <c r="E125" s="2">
        <v>8.038</v>
      </c>
      <c r="F125" s="2">
        <v>8.318</v>
      </c>
      <c r="G125" s="2">
        <v>8.605</v>
      </c>
      <c r="H125" s="2">
        <v>8.902</v>
      </c>
      <c r="I125" s="2">
        <v>9.209</v>
      </c>
      <c r="J125" s="2">
        <v>9.525</v>
      </c>
      <c r="K125" s="2">
        <v>9.85</v>
      </c>
      <c r="L125" s="2">
        <v>10.295</v>
      </c>
      <c r="M125" s="2">
        <v>10.778</v>
      </c>
      <c r="N125" s="2">
        <v>11.282</v>
      </c>
      <c r="O125" s="2">
        <v>11.805</v>
      </c>
      <c r="P125" s="2">
        <v>12.349</v>
      </c>
      <c r="Q125" s="2">
        <v>12.914</v>
      </c>
      <c r="R125" s="2">
        <v>13.503</v>
      </c>
      <c r="S125" s="2">
        <v>14.112</v>
      </c>
      <c r="T125" s="2">
        <v>14.745</v>
      </c>
      <c r="U125" s="2">
        <v>15.401</v>
      </c>
      <c r="V125" s="2">
        <v>15.583</v>
      </c>
      <c r="W125" s="2">
        <v>15.681</v>
      </c>
      <c r="X125" s="2">
        <v>15.78</v>
      </c>
      <c r="Y125" s="2">
        <v>15.879</v>
      </c>
      <c r="Z125" s="2">
        <v>15.979</v>
      </c>
      <c r="AA125" s="2">
        <v>16.079</v>
      </c>
      <c r="AB125" s="2">
        <v>16.18</v>
      </c>
      <c r="AC125" s="2">
        <v>16.281</v>
      </c>
      <c r="AD125" s="2">
        <v>16.383</v>
      </c>
      <c r="AE125" s="2">
        <v>16.485</v>
      </c>
      <c r="AF125" s="2">
        <v>16.748</v>
      </c>
      <c r="AG125" s="2">
        <v>17.043</v>
      </c>
      <c r="AH125" s="2">
        <v>17.342</v>
      </c>
      <c r="AI125" s="2">
        <v>17.645</v>
      </c>
      <c r="AJ125" s="2">
        <v>17.952</v>
      </c>
      <c r="AK125" s="2">
        <v>18.263</v>
      </c>
      <c r="AL125" s="2">
        <v>18.579</v>
      </c>
      <c r="AM125" s="2">
        <v>18.898</v>
      </c>
      <c r="AN125" s="2">
        <v>19.222</v>
      </c>
      <c r="AO125" s="2">
        <v>19.55</v>
      </c>
      <c r="AP125" s="2">
        <v>19.892</v>
      </c>
      <c r="AQ125" s="2">
        <v>20.239</v>
      </c>
      <c r="AR125" s="2">
        <v>20.591</v>
      </c>
      <c r="AS125" s="2">
        <v>20.948</v>
      </c>
      <c r="AT125" s="2">
        <v>21.31</v>
      </c>
      <c r="AU125" s="2">
        <v>21.675</v>
      </c>
      <c r="AV125" s="2">
        <v>22.045</v>
      </c>
      <c r="AW125" s="2">
        <v>22.42</v>
      </c>
      <c r="AX125" s="2">
        <v>22.8</v>
      </c>
      <c r="AY125" s="2">
        <v>23.183</v>
      </c>
      <c r="AZ125" s="2">
        <v>23.571</v>
      </c>
      <c r="BA125" s="2">
        <v>23.969</v>
      </c>
      <c r="BB125" s="2">
        <v>24.376</v>
      </c>
      <c r="BC125" s="2">
        <v>24.794</v>
      </c>
      <c r="BD125" s="2">
        <v>25.221</v>
      </c>
      <c r="BE125" s="2">
        <v>25.658</v>
      </c>
      <c r="BF125" s="2">
        <v>26.105</v>
      </c>
      <c r="BG125" s="2">
        <v>26.562</v>
      </c>
      <c r="BH125" s="2">
        <v>27.03</v>
      </c>
      <c r="BI125" s="2">
        <v>27.507</v>
      </c>
      <c r="BJ125" s="2">
        <v>27.995</v>
      </c>
      <c r="BK125" s="2">
        <v>28.493</v>
      </c>
      <c r="BL125" s="2">
        <v>29.002</v>
      </c>
      <c r="BM125" s="2">
        <v>29.52</v>
      </c>
      <c r="BN125" s="2">
        <v>30.049</v>
      </c>
      <c r="BO125" s="2">
        <v>1168.8389999999995</v>
      </c>
    </row>
    <row r="126" ht="14.25" customHeight="1">
      <c r="A126" s="2" t="s">
        <v>541</v>
      </c>
      <c r="B126" s="2">
        <v>16.29</v>
      </c>
      <c r="C126" s="2">
        <v>16.918</v>
      </c>
      <c r="D126" s="2">
        <v>17.566</v>
      </c>
      <c r="E126" s="2">
        <v>18.233</v>
      </c>
      <c r="F126" s="2">
        <v>18.92</v>
      </c>
      <c r="G126" s="2">
        <v>19.625</v>
      </c>
      <c r="H126" s="2">
        <v>20.351</v>
      </c>
      <c r="I126" s="2">
        <v>21.097</v>
      </c>
      <c r="J126" s="2">
        <v>21.863</v>
      </c>
      <c r="K126" s="2">
        <v>22.871</v>
      </c>
      <c r="L126" s="2">
        <v>24.088</v>
      </c>
      <c r="M126" s="2">
        <v>25.348</v>
      </c>
      <c r="N126" s="2">
        <v>26.654</v>
      </c>
      <c r="O126" s="2">
        <v>27.997</v>
      </c>
      <c r="P126" s="2">
        <v>28.96</v>
      </c>
      <c r="Q126" s="2">
        <v>29.606</v>
      </c>
      <c r="R126" s="2">
        <v>30.262</v>
      </c>
      <c r="S126" s="2">
        <v>30.925</v>
      </c>
      <c r="T126" s="2">
        <v>31.596</v>
      </c>
      <c r="U126" s="2">
        <v>32.036</v>
      </c>
      <c r="V126" s="2">
        <v>32.284</v>
      </c>
      <c r="W126" s="2">
        <v>32.532</v>
      </c>
      <c r="X126" s="2">
        <v>32.782</v>
      </c>
      <c r="Y126" s="2">
        <v>33.032</v>
      </c>
      <c r="Z126" s="2">
        <v>33.284</v>
      </c>
      <c r="AA126" s="2">
        <v>33.541</v>
      </c>
      <c r="AB126" s="2">
        <v>33.828</v>
      </c>
      <c r="AC126" s="2">
        <v>34.116</v>
      </c>
      <c r="AD126" s="2">
        <v>34.405</v>
      </c>
      <c r="AE126" s="2">
        <v>34.695</v>
      </c>
      <c r="AF126" s="2">
        <v>34.987</v>
      </c>
      <c r="AG126" s="2">
        <v>35.272</v>
      </c>
      <c r="AH126" s="2">
        <v>35.555</v>
      </c>
      <c r="AI126" s="2">
        <v>35.839</v>
      </c>
      <c r="AJ126" s="2">
        <v>36.123</v>
      </c>
      <c r="AK126" s="2">
        <v>36.409</v>
      </c>
      <c r="AL126" s="2">
        <v>37.386</v>
      </c>
      <c r="AM126" s="2">
        <v>38.752</v>
      </c>
      <c r="AN126" s="2">
        <v>40.138</v>
      </c>
      <c r="AO126" s="2">
        <v>41.54</v>
      </c>
      <c r="AP126" s="2">
        <v>42.958</v>
      </c>
      <c r="AQ126" s="2">
        <v>43.473</v>
      </c>
      <c r="AR126" s="2">
        <v>43.492</v>
      </c>
      <c r="AS126" s="2">
        <v>43.512</v>
      </c>
      <c r="AT126" s="2">
        <v>43.532</v>
      </c>
      <c r="AU126" s="2">
        <v>43.551</v>
      </c>
      <c r="AV126" s="2">
        <v>44.03</v>
      </c>
      <c r="AW126" s="2">
        <v>44.866</v>
      </c>
      <c r="AX126" s="2">
        <v>45.706</v>
      </c>
      <c r="AY126" s="2">
        <v>46.547</v>
      </c>
      <c r="AZ126" s="2">
        <v>47.39</v>
      </c>
      <c r="BA126" s="2">
        <v>48.235</v>
      </c>
      <c r="BB126" s="2">
        <v>49.082</v>
      </c>
      <c r="BC126" s="2">
        <v>49.927</v>
      </c>
      <c r="BD126" s="2">
        <v>50.773</v>
      </c>
      <c r="BE126" s="2">
        <v>51.619</v>
      </c>
      <c r="BF126" s="2">
        <v>52.45</v>
      </c>
      <c r="BG126" s="2">
        <v>53.262</v>
      </c>
      <c r="BH126" s="2">
        <v>54.057</v>
      </c>
      <c r="BI126" s="2">
        <v>54.835</v>
      </c>
      <c r="BJ126" s="2">
        <v>55.594</v>
      </c>
      <c r="BK126" s="2">
        <v>56.335</v>
      </c>
      <c r="BL126" s="2">
        <v>57.058</v>
      </c>
      <c r="BM126" s="2">
        <v>57.762</v>
      </c>
      <c r="BN126" s="2">
        <v>58.448</v>
      </c>
      <c r="BO126" s="2">
        <v>2426.1999999999994</v>
      </c>
    </row>
    <row r="127" ht="14.25" customHeight="1">
      <c r="A127" s="2" t="s">
        <v>460</v>
      </c>
      <c r="B127" s="2">
        <v>40.195</v>
      </c>
      <c r="C127" s="2">
        <v>41.162</v>
      </c>
      <c r="D127" s="2">
        <v>42.136</v>
      </c>
      <c r="E127" s="2">
        <v>43.116</v>
      </c>
      <c r="F127" s="2">
        <v>44.102</v>
      </c>
      <c r="G127" s="2">
        <v>45.091</v>
      </c>
      <c r="H127" s="2">
        <v>46.084</v>
      </c>
      <c r="I127" s="2">
        <v>47.081</v>
      </c>
      <c r="J127" s="2">
        <v>49.012</v>
      </c>
      <c r="K127" s="2">
        <v>51.609</v>
      </c>
      <c r="L127" s="2">
        <v>54.2</v>
      </c>
      <c r="M127" s="2">
        <v>54.702</v>
      </c>
      <c r="N127" s="2">
        <v>55.204</v>
      </c>
      <c r="O127" s="2">
        <v>55.703</v>
      </c>
      <c r="P127" s="2">
        <v>56.202</v>
      </c>
      <c r="Q127" s="2">
        <v>56.7</v>
      </c>
      <c r="R127" s="2">
        <v>56.74</v>
      </c>
      <c r="S127" s="2">
        <v>56.78</v>
      </c>
      <c r="T127" s="2">
        <v>56.82</v>
      </c>
      <c r="U127" s="2">
        <v>56.86</v>
      </c>
      <c r="V127" s="2">
        <v>56.9</v>
      </c>
      <c r="W127" s="2">
        <v>57.049</v>
      </c>
      <c r="X127" s="2">
        <v>57.198</v>
      </c>
      <c r="Y127" s="2">
        <v>57.346</v>
      </c>
      <c r="Z127" s="2">
        <v>57.495</v>
      </c>
      <c r="AA127" s="2">
        <v>57.644</v>
      </c>
      <c r="AB127" s="2">
        <v>57.792</v>
      </c>
      <c r="AC127" s="2">
        <v>57.94</v>
      </c>
      <c r="AD127" s="2">
        <v>58.088</v>
      </c>
      <c r="AE127" s="2">
        <v>58.236</v>
      </c>
      <c r="AF127" s="2">
        <v>58.384</v>
      </c>
      <c r="AG127" s="2">
        <v>58.531</v>
      </c>
      <c r="AH127" s="2">
        <v>58.679</v>
      </c>
      <c r="AI127" s="2">
        <v>58.826</v>
      </c>
      <c r="AJ127" s="2">
        <v>58.939</v>
      </c>
      <c r="AK127" s="2">
        <v>59.018</v>
      </c>
      <c r="AL127" s="2">
        <v>59.097</v>
      </c>
      <c r="AM127" s="2">
        <v>59.176</v>
      </c>
      <c r="AN127" s="2">
        <v>59.255</v>
      </c>
      <c r="AO127" s="2">
        <v>59.334</v>
      </c>
      <c r="AP127" s="2">
        <v>59.412</v>
      </c>
      <c r="AQ127" s="2">
        <v>59.491</v>
      </c>
      <c r="AR127" s="2">
        <v>59.57</v>
      </c>
      <c r="AS127" s="2">
        <v>59.648</v>
      </c>
      <c r="AT127" s="2">
        <v>59.727</v>
      </c>
      <c r="AU127" s="2">
        <v>59.805</v>
      </c>
      <c r="AV127" s="2">
        <v>59.884</v>
      </c>
      <c r="AW127" s="2">
        <v>59.962</v>
      </c>
      <c r="AX127" s="2">
        <v>60.04</v>
      </c>
      <c r="AY127" s="2">
        <v>60.195</v>
      </c>
      <c r="AZ127" s="2">
        <v>60.377</v>
      </c>
      <c r="BA127" s="2">
        <v>60.557</v>
      </c>
      <c r="BB127" s="2">
        <v>60.738</v>
      </c>
      <c r="BC127" s="2">
        <v>60.918</v>
      </c>
      <c r="BD127" s="2">
        <v>61.098</v>
      </c>
      <c r="BE127" s="2">
        <v>61.277</v>
      </c>
      <c r="BF127" s="2">
        <v>61.471</v>
      </c>
      <c r="BG127" s="2">
        <v>61.678</v>
      </c>
      <c r="BH127" s="2">
        <v>61.899</v>
      </c>
      <c r="BI127" s="2">
        <v>62.134</v>
      </c>
      <c r="BJ127" s="2">
        <v>62.381</v>
      </c>
      <c r="BK127" s="2">
        <v>62.642</v>
      </c>
      <c r="BL127" s="2">
        <v>62.916</v>
      </c>
      <c r="BM127" s="2">
        <v>63.203</v>
      </c>
      <c r="BN127" s="2">
        <v>63.503</v>
      </c>
      <c r="BO127" s="2">
        <v>3698.9519999999998</v>
      </c>
    </row>
    <row r="128" ht="14.25" customHeight="1">
      <c r="A128" s="2" t="s">
        <v>461</v>
      </c>
      <c r="B128" s="2">
        <v>27.71</v>
      </c>
      <c r="C128" s="2">
        <v>28.531</v>
      </c>
      <c r="D128" s="2">
        <v>29.461</v>
      </c>
      <c r="E128" s="2">
        <v>30.407</v>
      </c>
      <c r="F128" s="2">
        <v>31.372</v>
      </c>
      <c r="G128" s="2">
        <v>32.351</v>
      </c>
      <c r="H128" s="2">
        <v>33.347</v>
      </c>
      <c r="I128" s="2">
        <v>34.971</v>
      </c>
      <c r="J128" s="2">
        <v>36.846</v>
      </c>
      <c r="K128" s="2">
        <v>38.756</v>
      </c>
      <c r="L128" s="2">
        <v>40.704</v>
      </c>
      <c r="M128" s="2">
        <v>42.261</v>
      </c>
      <c r="N128" s="2">
        <v>43.692</v>
      </c>
      <c r="O128" s="2">
        <v>45.131</v>
      </c>
      <c r="P128" s="2">
        <v>46.579</v>
      </c>
      <c r="Q128" s="2">
        <v>48.033</v>
      </c>
      <c r="R128" s="2">
        <v>49.719</v>
      </c>
      <c r="S128" s="2">
        <v>51.476</v>
      </c>
      <c r="T128" s="2">
        <v>53.233</v>
      </c>
      <c r="U128" s="2">
        <v>54.981</v>
      </c>
      <c r="V128" s="2">
        <v>56.72</v>
      </c>
      <c r="W128" s="2">
        <v>58.407</v>
      </c>
      <c r="X128" s="2">
        <v>60.061</v>
      </c>
      <c r="Y128" s="2">
        <v>61.693</v>
      </c>
      <c r="Z128" s="2">
        <v>63.301</v>
      </c>
      <c r="AA128" s="2">
        <v>64.876</v>
      </c>
      <c r="AB128" s="2">
        <v>66.679</v>
      </c>
      <c r="AC128" s="2">
        <v>68.563</v>
      </c>
      <c r="AD128" s="2">
        <v>70.389</v>
      </c>
      <c r="AE128" s="2">
        <v>72.148</v>
      </c>
      <c r="AF128" s="2">
        <v>73.844</v>
      </c>
      <c r="AG128" s="2">
        <v>74.972</v>
      </c>
      <c r="AH128" s="2">
        <v>75.82</v>
      </c>
      <c r="AI128" s="2">
        <v>76.645</v>
      </c>
      <c r="AJ128" s="2">
        <v>77.452</v>
      </c>
      <c r="AK128" s="2">
        <v>78.239</v>
      </c>
      <c r="AL128" s="2">
        <v>78.662</v>
      </c>
      <c r="AM128" s="2">
        <v>78.905</v>
      </c>
      <c r="AN128" s="2">
        <v>79.145</v>
      </c>
      <c r="AO128" s="2">
        <v>79.384</v>
      </c>
      <c r="AP128" s="2">
        <v>79.621</v>
      </c>
      <c r="AQ128" s="2">
        <v>79.94</v>
      </c>
      <c r="AR128" s="2">
        <v>80.299</v>
      </c>
      <c r="AS128" s="2">
        <v>80.652</v>
      </c>
      <c r="AT128" s="2">
        <v>81.002</v>
      </c>
      <c r="AU128" s="2">
        <v>81.345</v>
      </c>
      <c r="AV128" s="2">
        <v>81.528</v>
      </c>
      <c r="AW128" s="2">
        <v>81.631</v>
      </c>
      <c r="AX128" s="2">
        <v>81.733</v>
      </c>
      <c r="AY128" s="2">
        <v>81.835</v>
      </c>
      <c r="AZ128" s="2">
        <v>81.936</v>
      </c>
      <c r="BA128" s="2">
        <v>81.923</v>
      </c>
      <c r="BB128" s="2">
        <v>81.851</v>
      </c>
      <c r="BC128" s="2">
        <v>81.779</v>
      </c>
      <c r="BD128" s="2">
        <v>81.707</v>
      </c>
      <c r="BE128" s="2">
        <v>81.634</v>
      </c>
      <c r="BF128" s="2">
        <v>81.562</v>
      </c>
      <c r="BG128" s="2">
        <v>81.503</v>
      </c>
      <c r="BH128" s="2">
        <v>81.459</v>
      </c>
      <c r="BI128" s="2">
        <v>81.43</v>
      </c>
      <c r="BJ128" s="2">
        <v>81.414</v>
      </c>
      <c r="BK128" s="2">
        <v>81.414</v>
      </c>
      <c r="BL128" s="2">
        <v>81.427</v>
      </c>
      <c r="BM128" s="2">
        <v>81.456</v>
      </c>
      <c r="BN128" s="2">
        <v>81.498</v>
      </c>
      <c r="BO128" s="2">
        <v>4249.045</v>
      </c>
    </row>
    <row r="129" ht="14.25" customHeight="1">
      <c r="A129" s="2" t="s">
        <v>75</v>
      </c>
      <c r="B129" s="2">
        <v>74.893</v>
      </c>
      <c r="C129" s="2">
        <v>75.787</v>
      </c>
      <c r="D129" s="2">
        <v>76.66</v>
      </c>
      <c r="E129" s="2">
        <v>77.511</v>
      </c>
      <c r="F129" s="2">
        <v>78.341</v>
      </c>
      <c r="G129" s="2">
        <v>79.273</v>
      </c>
      <c r="H129" s="2">
        <v>80.716</v>
      </c>
      <c r="I129" s="2">
        <v>82.081</v>
      </c>
      <c r="J129" s="2">
        <v>83.371</v>
      </c>
      <c r="K129" s="2">
        <v>84.582</v>
      </c>
      <c r="L129" s="2">
        <v>85.661</v>
      </c>
      <c r="M129" s="2">
        <v>86.444</v>
      </c>
      <c r="N129" s="2">
        <v>87.192</v>
      </c>
      <c r="O129" s="2">
        <v>87.902</v>
      </c>
      <c r="P129" s="2">
        <v>88.579</v>
      </c>
      <c r="Q129" s="2">
        <v>89.384</v>
      </c>
      <c r="R129" s="2">
        <v>90.745</v>
      </c>
      <c r="S129" s="2">
        <v>91.944</v>
      </c>
      <c r="T129" s="2">
        <v>93.0</v>
      </c>
      <c r="U129" s="2">
        <v>93.928</v>
      </c>
      <c r="V129" s="2">
        <v>94.781</v>
      </c>
      <c r="W129" s="2">
        <v>95.67</v>
      </c>
      <c r="X129" s="2">
        <v>96.414</v>
      </c>
      <c r="Y129" s="2">
        <v>97.034</v>
      </c>
      <c r="Z129" s="2">
        <v>97.551</v>
      </c>
      <c r="AA129" s="2">
        <v>97.903</v>
      </c>
      <c r="AB129" s="2">
        <v>97.917</v>
      </c>
      <c r="AC129" s="2">
        <v>97.932</v>
      </c>
      <c r="AD129" s="2">
        <v>97.946</v>
      </c>
      <c r="AE129" s="2">
        <v>97.96</v>
      </c>
      <c r="AF129" s="2">
        <v>97.974</v>
      </c>
      <c r="AG129" s="2">
        <v>97.988</v>
      </c>
      <c r="AH129" s="2">
        <v>98.002</v>
      </c>
      <c r="AI129" s="2">
        <v>98.016</v>
      </c>
      <c r="AJ129" s="2">
        <v>98.029</v>
      </c>
      <c r="AK129" s="2">
        <v>98.096</v>
      </c>
      <c r="AL129" s="2">
        <v>98.325</v>
      </c>
      <c r="AM129" s="2">
        <v>98.527</v>
      </c>
      <c r="AN129" s="2">
        <v>98.705</v>
      </c>
      <c r="AO129" s="2">
        <v>98.862</v>
      </c>
      <c r="AP129" s="2">
        <v>99.0</v>
      </c>
      <c r="AQ129" s="2">
        <v>99.908</v>
      </c>
      <c r="AR129" s="2">
        <v>100.0</v>
      </c>
      <c r="AS129" s="2">
        <v>100.0</v>
      </c>
      <c r="AT129" s="2">
        <v>100.0</v>
      </c>
      <c r="AU129" s="2">
        <v>100.0</v>
      </c>
      <c r="AV129" s="2">
        <v>100.0</v>
      </c>
      <c r="AW129" s="2">
        <v>100.0</v>
      </c>
      <c r="AX129" s="2">
        <v>100.0</v>
      </c>
      <c r="AY129" s="2">
        <v>100.0</v>
      </c>
      <c r="AZ129" s="2">
        <v>100.0</v>
      </c>
      <c r="BA129" s="2">
        <v>100.0</v>
      </c>
      <c r="BB129" s="2">
        <v>100.0</v>
      </c>
      <c r="BC129" s="2">
        <v>100.0</v>
      </c>
      <c r="BD129" s="2">
        <v>100.0</v>
      </c>
      <c r="BE129" s="2">
        <v>100.0</v>
      </c>
      <c r="BF129" s="2">
        <v>100.0</v>
      </c>
      <c r="BG129" s="2">
        <v>100.0</v>
      </c>
      <c r="BH129" s="2">
        <v>100.0</v>
      </c>
      <c r="BI129" s="2">
        <v>100.0</v>
      </c>
      <c r="BJ129" s="2">
        <v>100.0</v>
      </c>
      <c r="BK129" s="2">
        <v>100.0</v>
      </c>
      <c r="BL129" s="2">
        <v>100.0</v>
      </c>
      <c r="BM129" s="2">
        <v>100.0</v>
      </c>
      <c r="BN129" s="2">
        <v>100.0</v>
      </c>
      <c r="BO129" s="2">
        <v>6140.533999999999</v>
      </c>
    </row>
    <row r="130" ht="14.25" customHeight="1">
      <c r="A130" s="2" t="s">
        <v>463</v>
      </c>
      <c r="B130" s="2">
        <v>34.181</v>
      </c>
      <c r="C130" s="2">
        <v>34.511</v>
      </c>
      <c r="D130" s="2">
        <v>34.844</v>
      </c>
      <c r="E130" s="2">
        <v>35.178</v>
      </c>
      <c r="F130" s="2">
        <v>35.515</v>
      </c>
      <c r="G130" s="2">
        <v>35.851</v>
      </c>
      <c r="H130" s="2">
        <v>36.19</v>
      </c>
      <c r="I130" s="2">
        <v>36.53</v>
      </c>
      <c r="J130" s="2">
        <v>36.871</v>
      </c>
      <c r="K130" s="2">
        <v>37.214</v>
      </c>
      <c r="L130" s="2">
        <v>37.466</v>
      </c>
      <c r="M130" s="2">
        <v>37.609</v>
      </c>
      <c r="N130" s="2">
        <v>37.753</v>
      </c>
      <c r="O130" s="2">
        <v>37.897</v>
      </c>
      <c r="P130" s="2">
        <v>38.042</v>
      </c>
      <c r="Q130" s="2">
        <v>38.186</v>
      </c>
      <c r="R130" s="2">
        <v>38.331</v>
      </c>
      <c r="S130" s="2">
        <v>38.476</v>
      </c>
      <c r="T130" s="2">
        <v>38.621</v>
      </c>
      <c r="U130" s="2">
        <v>38.677</v>
      </c>
      <c r="V130" s="2">
        <v>38.627</v>
      </c>
      <c r="W130" s="2">
        <v>38.577</v>
      </c>
      <c r="X130" s="2">
        <v>38.527</v>
      </c>
      <c r="Y130" s="2">
        <v>38.477</v>
      </c>
      <c r="Z130" s="2">
        <v>38.427</v>
      </c>
      <c r="AA130" s="2">
        <v>38.377</v>
      </c>
      <c r="AB130" s="2">
        <v>38.327</v>
      </c>
      <c r="AC130" s="2">
        <v>38.277</v>
      </c>
      <c r="AD130" s="2">
        <v>38.227</v>
      </c>
      <c r="AE130" s="2">
        <v>38.065</v>
      </c>
      <c r="AF130" s="2">
        <v>37.777</v>
      </c>
      <c r="AG130" s="2">
        <v>37.49</v>
      </c>
      <c r="AH130" s="2">
        <v>37.203</v>
      </c>
      <c r="AI130" s="2">
        <v>36.918</v>
      </c>
      <c r="AJ130" s="2">
        <v>36.633</v>
      </c>
      <c r="AK130" s="2">
        <v>36.349</v>
      </c>
      <c r="AL130" s="2">
        <v>36.066</v>
      </c>
      <c r="AM130" s="2">
        <v>35.785</v>
      </c>
      <c r="AN130" s="2">
        <v>35.504</v>
      </c>
      <c r="AO130" s="2">
        <v>35.3</v>
      </c>
      <c r="AP130" s="2">
        <v>35.298</v>
      </c>
      <c r="AQ130" s="2">
        <v>35.296</v>
      </c>
      <c r="AR130" s="2">
        <v>35.295</v>
      </c>
      <c r="AS130" s="2">
        <v>35.293</v>
      </c>
      <c r="AT130" s="2">
        <v>35.292</v>
      </c>
      <c r="AU130" s="2">
        <v>35.29</v>
      </c>
      <c r="AV130" s="2">
        <v>35.289</v>
      </c>
      <c r="AW130" s="2">
        <v>35.287</v>
      </c>
      <c r="AX130" s="2">
        <v>35.285</v>
      </c>
      <c r="AY130" s="2">
        <v>35.284</v>
      </c>
      <c r="AZ130" s="2">
        <v>35.306</v>
      </c>
      <c r="BA130" s="2">
        <v>35.352</v>
      </c>
      <c r="BB130" s="2">
        <v>35.423</v>
      </c>
      <c r="BC130" s="2">
        <v>35.517</v>
      </c>
      <c r="BD130" s="2">
        <v>35.635</v>
      </c>
      <c r="BE130" s="2">
        <v>35.777</v>
      </c>
      <c r="BF130" s="2">
        <v>35.944</v>
      </c>
      <c r="BG130" s="2">
        <v>36.135</v>
      </c>
      <c r="BH130" s="2">
        <v>36.351</v>
      </c>
      <c r="BI130" s="2">
        <v>36.591</v>
      </c>
      <c r="BJ130" s="2">
        <v>36.856</v>
      </c>
      <c r="BK130" s="2">
        <v>37.146</v>
      </c>
      <c r="BL130" s="2">
        <v>37.461</v>
      </c>
      <c r="BM130" s="2">
        <v>37.801</v>
      </c>
      <c r="BN130" s="2">
        <v>38.166</v>
      </c>
      <c r="BO130" s="2">
        <v>2385.2460000000005</v>
      </c>
    </row>
    <row r="131" ht="14.25" customHeight="1">
      <c r="A131" s="2" t="s">
        <v>464</v>
      </c>
      <c r="B131" s="2">
        <v>7.946</v>
      </c>
      <c r="C131" s="2">
        <v>8.02</v>
      </c>
      <c r="D131" s="2">
        <v>8.095</v>
      </c>
      <c r="E131" s="2">
        <v>8.17</v>
      </c>
      <c r="F131" s="2">
        <v>8.246</v>
      </c>
      <c r="G131" s="2">
        <v>8.323</v>
      </c>
      <c r="H131" s="2">
        <v>8.4</v>
      </c>
      <c r="I131" s="2">
        <v>8.692</v>
      </c>
      <c r="J131" s="2">
        <v>8.994</v>
      </c>
      <c r="K131" s="2">
        <v>9.304</v>
      </c>
      <c r="L131" s="2">
        <v>9.625</v>
      </c>
      <c r="M131" s="2">
        <v>9.955</v>
      </c>
      <c r="N131" s="2">
        <v>10.295</v>
      </c>
      <c r="O131" s="2">
        <v>10.597</v>
      </c>
      <c r="P131" s="2">
        <v>10.837</v>
      </c>
      <c r="Q131" s="2">
        <v>11.081</v>
      </c>
      <c r="R131" s="2">
        <v>11.331</v>
      </c>
      <c r="S131" s="2">
        <v>11.584</v>
      </c>
      <c r="T131" s="2">
        <v>11.843</v>
      </c>
      <c r="U131" s="2">
        <v>12.107</v>
      </c>
      <c r="V131" s="2">
        <v>12.377</v>
      </c>
      <c r="W131" s="2">
        <v>12.65</v>
      </c>
      <c r="X131" s="2">
        <v>12.93</v>
      </c>
      <c r="Y131" s="2">
        <v>13.214</v>
      </c>
      <c r="Z131" s="2">
        <v>13.504</v>
      </c>
      <c r="AA131" s="2">
        <v>13.804</v>
      </c>
      <c r="AB131" s="2">
        <v>14.118</v>
      </c>
      <c r="AC131" s="2">
        <v>14.439</v>
      </c>
      <c r="AD131" s="2">
        <v>14.766</v>
      </c>
      <c r="AE131" s="2">
        <v>15.098</v>
      </c>
      <c r="AF131" s="2">
        <v>15.437</v>
      </c>
      <c r="AG131" s="2">
        <v>15.782</v>
      </c>
      <c r="AH131" s="2">
        <v>16.133</v>
      </c>
      <c r="AI131" s="2">
        <v>16.49</v>
      </c>
      <c r="AJ131" s="2">
        <v>16.854</v>
      </c>
      <c r="AK131" s="2">
        <v>17.378</v>
      </c>
      <c r="AL131" s="2">
        <v>18.234</v>
      </c>
      <c r="AM131" s="2">
        <v>19.12</v>
      </c>
      <c r="AN131" s="2">
        <v>20.039</v>
      </c>
      <c r="AO131" s="2">
        <v>20.991</v>
      </c>
      <c r="AP131" s="2">
        <v>21.977</v>
      </c>
      <c r="AQ131" s="2">
        <v>22.993</v>
      </c>
      <c r="AR131" s="2">
        <v>24.044</v>
      </c>
      <c r="AS131" s="2">
        <v>25.126</v>
      </c>
      <c r="AT131" s="2">
        <v>26.242</v>
      </c>
      <c r="AU131" s="2">
        <v>27.186</v>
      </c>
      <c r="AV131" s="2">
        <v>27.748</v>
      </c>
      <c r="AW131" s="2">
        <v>28.316</v>
      </c>
      <c r="AX131" s="2">
        <v>28.893</v>
      </c>
      <c r="AY131" s="2">
        <v>29.475</v>
      </c>
      <c r="AZ131" s="2">
        <v>30.064</v>
      </c>
      <c r="BA131" s="2">
        <v>30.66</v>
      </c>
      <c r="BB131" s="2">
        <v>31.264</v>
      </c>
      <c r="BC131" s="2">
        <v>31.872</v>
      </c>
      <c r="BD131" s="2">
        <v>32.487</v>
      </c>
      <c r="BE131" s="2">
        <v>33.108</v>
      </c>
      <c r="BF131" s="2">
        <v>33.736</v>
      </c>
      <c r="BG131" s="2">
        <v>34.368</v>
      </c>
      <c r="BH131" s="2">
        <v>35.004</v>
      </c>
      <c r="BI131" s="2">
        <v>35.645</v>
      </c>
      <c r="BJ131" s="2">
        <v>36.29</v>
      </c>
      <c r="BK131" s="2">
        <v>36.939</v>
      </c>
      <c r="BL131" s="2">
        <v>37.592</v>
      </c>
      <c r="BM131" s="2">
        <v>38.247</v>
      </c>
      <c r="BN131" s="2">
        <v>38.906</v>
      </c>
      <c r="BO131" s="2">
        <v>1284.985</v>
      </c>
    </row>
    <row r="132" ht="14.25" customHeight="1">
      <c r="A132" s="2" t="s">
        <v>542</v>
      </c>
      <c r="B132" s="2">
        <v>26.2301415842528</v>
      </c>
      <c r="C132" s="2">
        <v>26.9955821853161</v>
      </c>
      <c r="D132" s="2">
        <v>27.6510595743549</v>
      </c>
      <c r="E132" s="2">
        <v>28.2130018261281</v>
      </c>
      <c r="F132" s="2">
        <v>28.7893413459537</v>
      </c>
      <c r="G132" s="2">
        <v>28.893543157442</v>
      </c>
      <c r="H132" s="2">
        <v>28.9745080074164</v>
      </c>
      <c r="I132" s="2">
        <v>29.0922677041446</v>
      </c>
      <c r="J132" s="2">
        <v>29.214322056475</v>
      </c>
      <c r="K132" s="2">
        <v>29.3289432086536</v>
      </c>
      <c r="L132" s="2">
        <v>29.4352881425089</v>
      </c>
      <c r="M132" s="2">
        <v>29.527568377961</v>
      </c>
      <c r="N132" s="2">
        <v>29.6406794771906</v>
      </c>
      <c r="O132" s="2">
        <v>29.8294776687048</v>
      </c>
      <c r="P132" s="2">
        <v>30.0983714844008</v>
      </c>
      <c r="Q132" s="2">
        <v>30.3854886299106</v>
      </c>
      <c r="R132" s="2">
        <v>30.658527844233</v>
      </c>
      <c r="S132" s="2">
        <v>30.9471219920208</v>
      </c>
      <c r="T132" s="2">
        <v>31.4363265032393</v>
      </c>
      <c r="U132" s="2">
        <v>32.1156386096129</v>
      </c>
      <c r="V132" s="2">
        <v>32.796851782111</v>
      </c>
      <c r="W132" s="2">
        <v>33.4753996163134</v>
      </c>
      <c r="X132" s="2">
        <v>34.1453106119359</v>
      </c>
      <c r="Y132" s="2">
        <v>34.7244992251245</v>
      </c>
      <c r="Z132" s="2">
        <v>35.3270877977135</v>
      </c>
      <c r="AA132" s="2">
        <v>35.9280201032242</v>
      </c>
      <c r="AB132" s="2">
        <v>36.5209126313552</v>
      </c>
      <c r="AC132" s="2">
        <v>37.1097683400958</v>
      </c>
      <c r="AD132" s="2">
        <v>37.7014082501466</v>
      </c>
      <c r="AE132" s="2">
        <v>38.2776984837416</v>
      </c>
      <c r="AF132" s="2">
        <v>38.8142531936328</v>
      </c>
      <c r="AG132" s="2">
        <v>39.4368758241651</v>
      </c>
      <c r="AH132" s="2">
        <v>40.0900588626574</v>
      </c>
      <c r="AI132" s="2">
        <v>40.7417707275166</v>
      </c>
      <c r="AJ132" s="2">
        <v>41.4022555441167</v>
      </c>
      <c r="AK132" s="2">
        <v>42.0686755230577</v>
      </c>
      <c r="AL132" s="2">
        <v>42.74809691006</v>
      </c>
      <c r="AM132" s="2">
        <v>43.4429696995644</v>
      </c>
      <c r="AN132" s="2">
        <v>44.1536086634557</v>
      </c>
      <c r="AO132" s="2">
        <v>44.8793213020423</v>
      </c>
      <c r="AP132" s="2">
        <v>45.6278335826901</v>
      </c>
      <c r="AQ132" s="2">
        <v>46.501706758044</v>
      </c>
      <c r="AR132" s="2">
        <v>47.4485995521305</v>
      </c>
      <c r="AS132" s="2">
        <v>48.4126970641163</v>
      </c>
      <c r="AT132" s="2">
        <v>49.3912861225068</v>
      </c>
      <c r="AU132" s="2">
        <v>50.3808715430178</v>
      </c>
      <c r="AV132" s="2">
        <v>51.3547019865278</v>
      </c>
      <c r="AW132" s="2">
        <v>52.3237873689031</v>
      </c>
      <c r="AX132" s="2">
        <v>53.2981351995233</v>
      </c>
      <c r="AY132" s="2">
        <v>54.2708057062181</v>
      </c>
      <c r="AZ132" s="2">
        <v>55.2420765130508</v>
      </c>
      <c r="BA132" s="2">
        <v>56.1611231164695</v>
      </c>
      <c r="BB132" s="2">
        <v>57.0582009531008</v>
      </c>
      <c r="BC132" s="2">
        <v>57.9697914804196</v>
      </c>
      <c r="BD132" s="2">
        <v>58.8687795884874</v>
      </c>
      <c r="BE132" s="2">
        <v>59.7601754569678</v>
      </c>
      <c r="BF132" s="2">
        <v>60.6446048429491</v>
      </c>
      <c r="BG132" s="2">
        <v>61.5196324604482</v>
      </c>
      <c r="BH132" s="2">
        <v>62.3774263489862</v>
      </c>
      <c r="BI132" s="2">
        <v>63.2181547585049</v>
      </c>
      <c r="BJ132" s="2">
        <v>64.0329696631861</v>
      </c>
      <c r="BK132" s="2">
        <v>64.8181558739638</v>
      </c>
      <c r="BL132" s="2">
        <v>65.6035316403987</v>
      </c>
      <c r="BM132" s="2">
        <v>66.3703549135625</v>
      </c>
      <c r="BN132" s="2">
        <v>67.1157081306765</v>
      </c>
      <c r="BO132" s="2">
        <v>2781.0131530968006</v>
      </c>
    </row>
    <row r="133" ht="14.25" customHeight="1">
      <c r="A133" s="2" t="s">
        <v>137</v>
      </c>
      <c r="B133" s="2">
        <v>49.4562065358754</v>
      </c>
      <c r="C133" s="2">
        <v>50.2584291953647</v>
      </c>
      <c r="D133" s="2">
        <v>51.0723759914948</v>
      </c>
      <c r="E133" s="2">
        <v>51.8893131962528</v>
      </c>
      <c r="F133" s="2">
        <v>52.7106576706061</v>
      </c>
      <c r="G133" s="2">
        <v>53.4766948803038</v>
      </c>
      <c r="H133" s="2">
        <v>54.2416637745602</v>
      </c>
      <c r="I133" s="2">
        <v>55.0053586793542</v>
      </c>
      <c r="J133" s="2">
        <v>55.769727191153</v>
      </c>
      <c r="K133" s="2">
        <v>56.5293896353667</v>
      </c>
      <c r="L133" s="2">
        <v>57.282970527886</v>
      </c>
      <c r="M133" s="2">
        <v>58.041550360866</v>
      </c>
      <c r="N133" s="2">
        <v>58.7928942279779</v>
      </c>
      <c r="O133" s="2">
        <v>59.5209462998937</v>
      </c>
      <c r="P133" s="2">
        <v>60.2430568845704</v>
      </c>
      <c r="Q133" s="2">
        <v>60.9652541829813</v>
      </c>
      <c r="R133" s="2">
        <v>61.6853007324256</v>
      </c>
      <c r="S133" s="2">
        <v>62.4053932469712</v>
      </c>
      <c r="T133" s="2">
        <v>63.1223411821794</v>
      </c>
      <c r="U133" s="2">
        <v>63.8330510374233</v>
      </c>
      <c r="V133" s="2">
        <v>64.5435941063113</v>
      </c>
      <c r="W133" s="2">
        <v>65.2377439599711</v>
      </c>
      <c r="X133" s="2">
        <v>65.8991295041311</v>
      </c>
      <c r="Y133" s="2">
        <v>66.5392108415832</v>
      </c>
      <c r="Z133" s="2">
        <v>67.1694688014823</v>
      </c>
      <c r="AA133" s="2">
        <v>67.79193445046</v>
      </c>
      <c r="AB133" s="2">
        <v>68.3989461608053</v>
      </c>
      <c r="AC133" s="2">
        <v>68.9933584931272</v>
      </c>
      <c r="AD133" s="2">
        <v>69.5785953607442</v>
      </c>
      <c r="AE133" s="2">
        <v>70.1516560774997</v>
      </c>
      <c r="AF133" s="2">
        <v>70.7087114558703</v>
      </c>
      <c r="AG133" s="2">
        <v>71.2295131388129</v>
      </c>
      <c r="AH133" s="2">
        <v>71.7270432815314</v>
      </c>
      <c r="AI133" s="2">
        <v>72.2123771016206</v>
      </c>
      <c r="AJ133" s="2">
        <v>72.703552736722</v>
      </c>
      <c r="AK133" s="2">
        <v>73.1897280498853</v>
      </c>
      <c r="AL133" s="2">
        <v>73.6538966311037</v>
      </c>
      <c r="AM133" s="2">
        <v>74.1266901723288</v>
      </c>
      <c r="AN133" s="2">
        <v>74.5949600652278</v>
      </c>
      <c r="AO133" s="2">
        <v>75.0475997421327</v>
      </c>
      <c r="AP133" s="2">
        <v>75.4960264576019</v>
      </c>
      <c r="AQ133" s="2">
        <v>75.854640159585</v>
      </c>
      <c r="AR133" s="2">
        <v>76.1833285481376</v>
      </c>
      <c r="AS133" s="2">
        <v>76.5035888283245</v>
      </c>
      <c r="AT133" s="2">
        <v>76.8105978108384</v>
      </c>
      <c r="AU133" s="2">
        <v>77.1149339228251</v>
      </c>
      <c r="AV133" s="2">
        <v>77.4142848028044</v>
      </c>
      <c r="AW133" s="2">
        <v>77.7092622774368</v>
      </c>
      <c r="AX133" s="2">
        <v>77.9976244507386</v>
      </c>
      <c r="AY133" s="2">
        <v>78.2785271012667</v>
      </c>
      <c r="AZ133" s="2">
        <v>78.5579173925433</v>
      </c>
      <c r="BA133" s="2">
        <v>78.8334605944323</v>
      </c>
      <c r="BB133" s="2">
        <v>79.1007053150701</v>
      </c>
      <c r="BC133" s="2">
        <v>79.362935381029</v>
      </c>
      <c r="BD133" s="2">
        <v>79.6236030336441</v>
      </c>
      <c r="BE133" s="2">
        <v>79.8819667727393</v>
      </c>
      <c r="BF133" s="2">
        <v>80.1349551347229</v>
      </c>
      <c r="BG133" s="2">
        <v>80.3801642315254</v>
      </c>
      <c r="BH133" s="2">
        <v>80.6138689467709</v>
      </c>
      <c r="BI133" s="2">
        <v>80.8488679958604</v>
      </c>
      <c r="BJ133" s="2">
        <v>81.0877969256886</v>
      </c>
      <c r="BK133" s="2">
        <v>81.3272280767858</v>
      </c>
      <c r="BL133" s="2">
        <v>81.5649153564556</v>
      </c>
      <c r="BM133" s="2">
        <v>81.8012186793421</v>
      </c>
      <c r="BN133" s="2">
        <v>82.0375662207342</v>
      </c>
      <c r="BO133" s="2">
        <v>4514.32026998176</v>
      </c>
    </row>
    <row r="134" ht="14.25" customHeight="1">
      <c r="A134" s="2" t="s">
        <v>543</v>
      </c>
      <c r="B134" s="2">
        <v>48.0998006981928</v>
      </c>
      <c r="C134" s="2">
        <v>48.8988276166999</v>
      </c>
      <c r="D134" s="2">
        <v>49.7217801004228</v>
      </c>
      <c r="E134" s="2">
        <v>50.548018260074</v>
      </c>
      <c r="F134" s="2">
        <v>51.3773510828895</v>
      </c>
      <c r="G134" s="2">
        <v>52.1451621266261</v>
      </c>
      <c r="H134" s="2">
        <v>52.9123678220444</v>
      </c>
      <c r="I134" s="2">
        <v>53.6789210224503</v>
      </c>
      <c r="J134" s="2">
        <v>54.4468060627142</v>
      </c>
      <c r="K134" s="2">
        <v>55.2110143607508</v>
      </c>
      <c r="L134" s="2">
        <v>55.9705022269981</v>
      </c>
      <c r="M134" s="2">
        <v>56.7418136926292</v>
      </c>
      <c r="N134" s="2">
        <v>57.5098484299968</v>
      </c>
      <c r="O134" s="2">
        <v>58.25475263916</v>
      </c>
      <c r="P134" s="2">
        <v>58.9950478543434</v>
      </c>
      <c r="Q134" s="2">
        <v>59.7357638482244</v>
      </c>
      <c r="R134" s="2">
        <v>60.472702150571</v>
      </c>
      <c r="S134" s="2">
        <v>61.2113287287931</v>
      </c>
      <c r="T134" s="2">
        <v>61.947478494256</v>
      </c>
      <c r="U134" s="2">
        <v>62.677878259755</v>
      </c>
      <c r="V134" s="2">
        <v>63.4009985860883</v>
      </c>
      <c r="W134" s="2">
        <v>64.0867594437793</v>
      </c>
      <c r="X134" s="2">
        <v>64.7452799796629</v>
      </c>
      <c r="Y134" s="2">
        <v>65.3963395650751</v>
      </c>
      <c r="Z134" s="2">
        <v>66.0397264074274</v>
      </c>
      <c r="AA134" s="2">
        <v>66.6738331837805</v>
      </c>
      <c r="AB134" s="2">
        <v>67.293095223304</v>
      </c>
      <c r="AC134" s="2">
        <v>67.9007370775645</v>
      </c>
      <c r="AD134" s="2">
        <v>68.5006784725356</v>
      </c>
      <c r="AE134" s="2">
        <v>69.0895800545457</v>
      </c>
      <c r="AF134" s="2">
        <v>69.6648501707766</v>
      </c>
      <c r="AG134" s="2">
        <v>70.2089638864404</v>
      </c>
      <c r="AH134" s="2">
        <v>70.7279711964442</v>
      </c>
      <c r="AI134" s="2">
        <v>71.2279911900065</v>
      </c>
      <c r="AJ134" s="2">
        <v>71.7348761112538</v>
      </c>
      <c r="AK134" s="2">
        <v>72.2365889244103</v>
      </c>
      <c r="AL134" s="2">
        <v>72.7136472524108</v>
      </c>
      <c r="AM134" s="2">
        <v>73.2011668950062</v>
      </c>
      <c r="AN134" s="2">
        <v>73.6847439138899</v>
      </c>
      <c r="AO134" s="2">
        <v>74.1514254081381</v>
      </c>
      <c r="AP134" s="2">
        <v>74.6149326240965</v>
      </c>
      <c r="AQ134" s="2">
        <v>74.9790157555925</v>
      </c>
      <c r="AR134" s="2">
        <v>75.3251097631481</v>
      </c>
      <c r="AS134" s="2">
        <v>75.6680548633671</v>
      </c>
      <c r="AT134" s="2">
        <v>75.9964933826823</v>
      </c>
      <c r="AU134" s="2">
        <v>76.3197038610585</v>
      </c>
      <c r="AV134" s="2">
        <v>76.6400974096055</v>
      </c>
      <c r="AW134" s="2">
        <v>76.9561743061029</v>
      </c>
      <c r="AX134" s="2">
        <v>77.2652895836217</v>
      </c>
      <c r="AY134" s="2">
        <v>77.5661775693105</v>
      </c>
      <c r="AZ134" s="2">
        <v>77.8654739637702</v>
      </c>
      <c r="BA134" s="2">
        <v>78.1611069994865</v>
      </c>
      <c r="BB134" s="2">
        <v>78.4486398684116</v>
      </c>
      <c r="BC134" s="2">
        <v>78.7312873391729</v>
      </c>
      <c r="BD134" s="2">
        <v>79.0127052039132</v>
      </c>
      <c r="BE134" s="2">
        <v>79.2919206746314</v>
      </c>
      <c r="BF134" s="2">
        <v>79.566311030178</v>
      </c>
      <c r="BG134" s="2">
        <v>79.8363374785181</v>
      </c>
      <c r="BH134" s="2">
        <v>80.1027920682901</v>
      </c>
      <c r="BI134" s="2">
        <v>80.3673865463117</v>
      </c>
      <c r="BJ134" s="2">
        <v>80.6299945481018</v>
      </c>
      <c r="BK134" s="2">
        <v>80.8894314614172</v>
      </c>
      <c r="BL134" s="2">
        <v>81.1442610510057</v>
      </c>
      <c r="BM134" s="2">
        <v>81.3953210476439</v>
      </c>
      <c r="BN134" s="2">
        <v>81.6454505574132</v>
      </c>
      <c r="BO134" s="2">
        <v>4451.655887376983</v>
      </c>
    </row>
    <row r="135" ht="14.25" customHeight="1">
      <c r="A135" s="2" t="s">
        <v>544</v>
      </c>
      <c r="B135" s="2">
        <v>49.1779196146546</v>
      </c>
      <c r="C135" s="2">
        <v>49.9970831559654</v>
      </c>
      <c r="D135" s="2">
        <v>50.8281773904435</v>
      </c>
      <c r="E135" s="2">
        <v>51.6618964192331</v>
      </c>
      <c r="F135" s="2">
        <v>52.5000134907697</v>
      </c>
      <c r="G135" s="2">
        <v>53.2800303313409</v>
      </c>
      <c r="H135" s="2">
        <v>54.0589298853167</v>
      </c>
      <c r="I135" s="2">
        <v>54.8364777203566</v>
      </c>
      <c r="J135" s="2">
        <v>55.6145400955409</v>
      </c>
      <c r="K135" s="2">
        <v>56.387861046627</v>
      </c>
      <c r="L135" s="2">
        <v>57.1560145195455</v>
      </c>
      <c r="M135" s="2">
        <v>57.9155477548957</v>
      </c>
      <c r="N135" s="2">
        <v>58.664273779602</v>
      </c>
      <c r="O135" s="2">
        <v>59.3892837192459</v>
      </c>
      <c r="P135" s="2">
        <v>60.1084280649896</v>
      </c>
      <c r="Q135" s="2">
        <v>60.8283112057087</v>
      </c>
      <c r="R135" s="2">
        <v>61.5466291918366</v>
      </c>
      <c r="S135" s="2">
        <v>62.2658983353058</v>
      </c>
      <c r="T135" s="2">
        <v>62.9822106741907</v>
      </c>
      <c r="U135" s="2">
        <v>63.6926819372694</v>
      </c>
      <c r="V135" s="2">
        <v>64.3955388643705</v>
      </c>
      <c r="W135" s="2">
        <v>65.0609645780143</v>
      </c>
      <c r="X135" s="2">
        <v>65.7006158084617</v>
      </c>
      <c r="Y135" s="2">
        <v>66.3228599188201</v>
      </c>
      <c r="Z135" s="2">
        <v>66.9383255463629</v>
      </c>
      <c r="AA135" s="2">
        <v>67.5491059115412</v>
      </c>
      <c r="AB135" s="2">
        <v>68.1468466885291</v>
      </c>
      <c r="AC135" s="2">
        <v>68.7344556301834</v>
      </c>
      <c r="AD135" s="2">
        <v>69.3151169412791</v>
      </c>
      <c r="AE135" s="2">
        <v>69.8855479325497</v>
      </c>
      <c r="AF135" s="2">
        <v>70.4434757036848</v>
      </c>
      <c r="AG135" s="2">
        <v>70.9756683698562</v>
      </c>
      <c r="AH135" s="2">
        <v>71.4876626671277</v>
      </c>
      <c r="AI135" s="2">
        <v>71.9864917975358</v>
      </c>
      <c r="AJ135" s="2">
        <v>72.4909304370599</v>
      </c>
      <c r="AK135" s="2">
        <v>72.9898527376076</v>
      </c>
      <c r="AL135" s="2">
        <v>73.4655161116948</v>
      </c>
      <c r="AM135" s="2">
        <v>73.9491730922547</v>
      </c>
      <c r="AN135" s="2">
        <v>74.4275153420337</v>
      </c>
      <c r="AO135" s="2">
        <v>74.8897253441424</v>
      </c>
      <c r="AP135" s="2">
        <v>75.34802028219</v>
      </c>
      <c r="AQ135" s="2">
        <v>75.7148007535224</v>
      </c>
      <c r="AR135" s="2">
        <v>76.0506006118886</v>
      </c>
      <c r="AS135" s="2">
        <v>76.3789936703197</v>
      </c>
      <c r="AT135" s="2">
        <v>76.6951045149018</v>
      </c>
      <c r="AU135" s="2">
        <v>77.0084585404127</v>
      </c>
      <c r="AV135" s="2">
        <v>77.3167514313407</v>
      </c>
      <c r="AW135" s="2">
        <v>77.6204543475109</v>
      </c>
      <c r="AX135" s="2">
        <v>77.9171467954933</v>
      </c>
      <c r="AY135" s="2">
        <v>78.2059442308233</v>
      </c>
      <c r="AZ135" s="2">
        <v>78.4927959794285</v>
      </c>
      <c r="BA135" s="2">
        <v>78.7758823910132</v>
      </c>
      <c r="BB135" s="2">
        <v>79.0503099536297</v>
      </c>
      <c r="BC135" s="2">
        <v>79.3201089434568</v>
      </c>
      <c r="BD135" s="2">
        <v>79.5886292750418</v>
      </c>
      <c r="BE135" s="2">
        <v>79.8545961040889</v>
      </c>
      <c r="BF135" s="2">
        <v>80.1148117407705</v>
      </c>
      <c r="BG135" s="2">
        <v>80.3667891384065</v>
      </c>
      <c r="BH135" s="2">
        <v>80.607740795928</v>
      </c>
      <c r="BI135" s="2">
        <v>80.8468332516826</v>
      </c>
      <c r="BJ135" s="2">
        <v>81.0901657049532</v>
      </c>
      <c r="BK135" s="2">
        <v>81.3334320955924</v>
      </c>
      <c r="BL135" s="2">
        <v>81.5750058081645</v>
      </c>
      <c r="BM135" s="2">
        <v>81.814399332089</v>
      </c>
      <c r="BN135" s="2">
        <v>82.0533140211896</v>
      </c>
      <c r="BO135" s="2">
        <v>4505.1886874697875</v>
      </c>
    </row>
    <row r="136" ht="14.25" customHeight="1">
      <c r="A136" s="2" t="s">
        <v>465</v>
      </c>
      <c r="B136" s="2">
        <v>52.867</v>
      </c>
      <c r="C136" s="2">
        <v>53.663</v>
      </c>
      <c r="D136" s="2">
        <v>54.459</v>
      </c>
      <c r="E136" s="2">
        <v>55.253</v>
      </c>
      <c r="F136" s="2">
        <v>56.045</v>
      </c>
      <c r="G136" s="2">
        <v>56.832</v>
      </c>
      <c r="H136" s="2">
        <v>57.617</v>
      </c>
      <c r="I136" s="2">
        <v>58.398</v>
      </c>
      <c r="J136" s="2">
        <v>59.175</v>
      </c>
      <c r="K136" s="2">
        <v>59.946</v>
      </c>
      <c r="L136" s="2">
        <v>60.713</v>
      </c>
      <c r="M136" s="2">
        <v>61.433</v>
      </c>
      <c r="N136" s="2">
        <v>62.122</v>
      </c>
      <c r="O136" s="2">
        <v>62.805</v>
      </c>
      <c r="P136" s="2">
        <v>63.484</v>
      </c>
      <c r="Q136" s="2">
        <v>64.157</v>
      </c>
      <c r="R136" s="2">
        <v>64.826</v>
      </c>
      <c r="S136" s="2">
        <v>65.487</v>
      </c>
      <c r="T136" s="2">
        <v>66.143</v>
      </c>
      <c r="U136" s="2">
        <v>66.686</v>
      </c>
      <c r="V136" s="2">
        <v>67.095</v>
      </c>
      <c r="W136" s="2">
        <v>67.44</v>
      </c>
      <c r="X136" s="2">
        <v>67.722</v>
      </c>
      <c r="Y136" s="2">
        <v>68.003</v>
      </c>
      <c r="Z136" s="2">
        <v>68.283</v>
      </c>
      <c r="AA136" s="2">
        <v>68.56</v>
      </c>
      <c r="AB136" s="2">
        <v>68.782</v>
      </c>
      <c r="AC136" s="2">
        <v>68.947</v>
      </c>
      <c r="AD136" s="2">
        <v>69.112</v>
      </c>
      <c r="AE136" s="2">
        <v>69.2</v>
      </c>
      <c r="AF136" s="2">
        <v>69.25</v>
      </c>
      <c r="AG136" s="2">
        <v>69.201</v>
      </c>
      <c r="AH136" s="2">
        <v>68.852</v>
      </c>
      <c r="AI136" s="2">
        <v>68.799</v>
      </c>
      <c r="AJ136" s="2">
        <v>68.901</v>
      </c>
      <c r="AK136" s="2">
        <v>68.75</v>
      </c>
      <c r="AL136" s="2">
        <v>68.65</v>
      </c>
      <c r="AM136" s="2">
        <v>68.6</v>
      </c>
      <c r="AN136" s="2">
        <v>68.451</v>
      </c>
      <c r="AO136" s="2">
        <v>68.22</v>
      </c>
      <c r="AP136" s="2">
        <v>68.067</v>
      </c>
      <c r="AQ136" s="2">
        <v>67.95</v>
      </c>
      <c r="AR136" s="2">
        <v>67.85</v>
      </c>
      <c r="AS136" s="2">
        <v>67.8</v>
      </c>
      <c r="AT136" s="2">
        <v>67.9</v>
      </c>
      <c r="AU136" s="2">
        <v>68.0</v>
      </c>
      <c r="AV136" s="2">
        <v>67.967</v>
      </c>
      <c r="AW136" s="2">
        <v>67.9</v>
      </c>
      <c r="AX136" s="2">
        <v>67.834</v>
      </c>
      <c r="AY136" s="2">
        <v>67.814</v>
      </c>
      <c r="AZ136" s="2">
        <v>67.841</v>
      </c>
      <c r="BA136" s="2">
        <v>67.869</v>
      </c>
      <c r="BB136" s="2">
        <v>67.897</v>
      </c>
      <c r="BC136" s="2">
        <v>67.925</v>
      </c>
      <c r="BD136" s="2">
        <v>67.952</v>
      </c>
      <c r="BE136" s="2">
        <v>67.98</v>
      </c>
      <c r="BF136" s="2">
        <v>68.021</v>
      </c>
      <c r="BG136" s="2">
        <v>68.075</v>
      </c>
      <c r="BH136" s="2">
        <v>68.142</v>
      </c>
      <c r="BI136" s="2">
        <v>68.222</v>
      </c>
      <c r="BJ136" s="2">
        <v>68.315</v>
      </c>
      <c r="BK136" s="2">
        <v>68.421</v>
      </c>
      <c r="BL136" s="2">
        <v>68.54</v>
      </c>
      <c r="BM136" s="2">
        <v>68.671</v>
      </c>
      <c r="BN136" s="2">
        <v>68.815</v>
      </c>
      <c r="BO136" s="2">
        <v>4274.697</v>
      </c>
    </row>
    <row r="137" ht="14.25" customHeight="1">
      <c r="A137" s="2" t="s">
        <v>545</v>
      </c>
      <c r="B137" s="2">
        <v>9.65130868387428</v>
      </c>
      <c r="C137" s="2">
        <v>9.89705632876977</v>
      </c>
      <c r="D137" s="2">
        <v>10.164515258531</v>
      </c>
      <c r="E137" s="2">
        <v>10.4471239878623</v>
      </c>
      <c r="F137" s="2">
        <v>10.7437918800483</v>
      </c>
      <c r="G137" s="2">
        <v>11.0519278379719</v>
      </c>
      <c r="H137" s="2">
        <v>11.3722011877563</v>
      </c>
      <c r="I137" s="2">
        <v>11.7247673468306</v>
      </c>
      <c r="J137" s="2">
        <v>12.0905385409106</v>
      </c>
      <c r="K137" s="2">
        <v>12.4718345451782</v>
      </c>
      <c r="L137" s="2">
        <v>12.8512119041437</v>
      </c>
      <c r="M137" s="2">
        <v>13.2684572874639</v>
      </c>
      <c r="N137" s="2">
        <v>13.7087147476933</v>
      </c>
      <c r="O137" s="2">
        <v>14.1392848093625</v>
      </c>
      <c r="P137" s="2">
        <v>14.5690385039064</v>
      </c>
      <c r="Q137" s="2">
        <v>14.5372499772681</v>
      </c>
      <c r="R137" s="2">
        <v>15.0144519771758</v>
      </c>
      <c r="S137" s="2">
        <v>15.5105275511819</v>
      </c>
      <c r="T137" s="2">
        <v>16.0357232404865</v>
      </c>
      <c r="U137" s="2">
        <v>16.5521759731582</v>
      </c>
      <c r="V137" s="2">
        <v>17.127103465552</v>
      </c>
      <c r="W137" s="2">
        <v>17.6288866663969</v>
      </c>
      <c r="X137" s="2">
        <v>17.9748566087661</v>
      </c>
      <c r="Y137" s="2">
        <v>18.3631763112114</v>
      </c>
      <c r="Z137" s="2">
        <v>18.7978909880226</v>
      </c>
      <c r="AA137" s="2">
        <v>19.2578272373826</v>
      </c>
      <c r="AB137" s="2">
        <v>19.7233964762263</v>
      </c>
      <c r="AC137" s="2">
        <v>20.1906368395911</v>
      </c>
      <c r="AD137" s="2">
        <v>20.6590478414591</v>
      </c>
      <c r="AE137" s="2">
        <v>21.1024683659868</v>
      </c>
      <c r="AF137" s="2">
        <v>21.5347251567926</v>
      </c>
      <c r="AG137" s="2">
        <v>21.9230056939194</v>
      </c>
      <c r="AH137" s="2">
        <v>22.2943620105491</v>
      </c>
      <c r="AI137" s="2">
        <v>22.669194323885</v>
      </c>
      <c r="AJ137" s="2">
        <v>23.0445779209095</v>
      </c>
      <c r="AK137" s="2">
        <v>23.3915146076105</v>
      </c>
      <c r="AL137" s="2">
        <v>23.6881555929932</v>
      </c>
      <c r="AM137" s="2">
        <v>24.004237770476</v>
      </c>
      <c r="AN137" s="2">
        <v>24.34023190724</v>
      </c>
      <c r="AO137" s="2">
        <v>24.6809774140423</v>
      </c>
      <c r="AP137" s="2">
        <v>25.0271490898026</v>
      </c>
      <c r="AQ137" s="2">
        <v>25.4263301915298</v>
      </c>
      <c r="AR137" s="2">
        <v>25.848157164891</v>
      </c>
      <c r="AS137" s="2">
        <v>26.2766755172176</v>
      </c>
      <c r="AT137" s="2">
        <v>26.707526525013</v>
      </c>
      <c r="AU137" s="2">
        <v>27.1555092838585</v>
      </c>
      <c r="AV137" s="2">
        <v>27.5975648726191</v>
      </c>
      <c r="AW137" s="2">
        <v>27.9968049829106</v>
      </c>
      <c r="AX137" s="2">
        <v>28.4855264908401</v>
      </c>
      <c r="AY137" s="2">
        <v>28.9780363162153</v>
      </c>
      <c r="AZ137" s="2">
        <v>29.478238035735</v>
      </c>
      <c r="BA137" s="2">
        <v>29.9856100929973</v>
      </c>
      <c r="BB137" s="2">
        <v>30.4846413708241</v>
      </c>
      <c r="BC137" s="2">
        <v>30.9924289912579</v>
      </c>
      <c r="BD137" s="2">
        <v>31.5100998139128</v>
      </c>
      <c r="BE137" s="2">
        <v>32.0367971381432</v>
      </c>
      <c r="BF137" s="2">
        <v>32.5762833143074</v>
      </c>
      <c r="BG137" s="2">
        <v>33.1242640987106</v>
      </c>
      <c r="BH137" s="2">
        <v>33.6667279661463</v>
      </c>
      <c r="BI137" s="2">
        <v>34.2024920969837</v>
      </c>
      <c r="BJ137" s="2">
        <v>34.7409228785313</v>
      </c>
      <c r="BK137" s="2">
        <v>35.2890728691292</v>
      </c>
      <c r="BL137" s="2">
        <v>35.8497135775292</v>
      </c>
      <c r="BM137" s="2">
        <v>36.4129698967494</v>
      </c>
      <c r="BN137" s="2">
        <v>36.9801086492437</v>
      </c>
      <c r="BO137" s="2">
        <v>1445.0278259936847</v>
      </c>
    </row>
    <row r="138" ht="14.25" customHeight="1">
      <c r="A138" s="2" t="s">
        <v>466</v>
      </c>
      <c r="B138" s="2">
        <v>42.343</v>
      </c>
      <c r="C138" s="2">
        <v>44.039</v>
      </c>
      <c r="D138" s="2">
        <v>45.752</v>
      </c>
      <c r="E138" s="2">
        <v>47.475</v>
      </c>
      <c r="F138" s="2">
        <v>49.207</v>
      </c>
      <c r="G138" s="2">
        <v>50.935</v>
      </c>
      <c r="H138" s="2">
        <v>52.664</v>
      </c>
      <c r="I138" s="2">
        <v>54.386</v>
      </c>
      <c r="J138" s="2">
        <v>56.101</v>
      </c>
      <c r="K138" s="2">
        <v>57.796</v>
      </c>
      <c r="L138" s="2">
        <v>59.475</v>
      </c>
      <c r="M138" s="2">
        <v>61.06</v>
      </c>
      <c r="N138" s="2">
        <v>62.58</v>
      </c>
      <c r="O138" s="2">
        <v>64.072</v>
      </c>
      <c r="P138" s="2">
        <v>65.54</v>
      </c>
      <c r="Q138" s="2">
        <v>66.978</v>
      </c>
      <c r="R138" s="2">
        <v>68.387</v>
      </c>
      <c r="S138" s="2">
        <v>69.759</v>
      </c>
      <c r="T138" s="2">
        <v>71.099</v>
      </c>
      <c r="U138" s="2">
        <v>72.403</v>
      </c>
      <c r="V138" s="2">
        <v>73.672</v>
      </c>
      <c r="W138" s="2">
        <v>74.899</v>
      </c>
      <c r="X138" s="2">
        <v>76.089</v>
      </c>
      <c r="Y138" s="2">
        <v>77.24</v>
      </c>
      <c r="Z138" s="2">
        <v>78.353</v>
      </c>
      <c r="AA138" s="2">
        <v>79.422</v>
      </c>
      <c r="AB138" s="2">
        <v>80.454</v>
      </c>
      <c r="AC138" s="2">
        <v>81.446</v>
      </c>
      <c r="AD138" s="2">
        <v>82.4</v>
      </c>
      <c r="AE138" s="2">
        <v>82.763</v>
      </c>
      <c r="AF138" s="2">
        <v>83.12</v>
      </c>
      <c r="AG138" s="2">
        <v>83.472</v>
      </c>
      <c r="AH138" s="2">
        <v>83.818</v>
      </c>
      <c r="AI138" s="2">
        <v>84.157</v>
      </c>
      <c r="AJ138" s="2">
        <v>84.491</v>
      </c>
      <c r="AK138" s="2">
        <v>84.82</v>
      </c>
      <c r="AL138" s="2">
        <v>85.142</v>
      </c>
      <c r="AM138" s="2">
        <v>85.459</v>
      </c>
      <c r="AN138" s="2">
        <v>85.77</v>
      </c>
      <c r="AO138" s="2">
        <v>85.885</v>
      </c>
      <c r="AP138" s="2">
        <v>86.0</v>
      </c>
      <c r="AQ138" s="2">
        <v>86.118</v>
      </c>
      <c r="AR138" s="2">
        <v>86.24</v>
      </c>
      <c r="AS138" s="2">
        <v>86.366</v>
      </c>
      <c r="AT138" s="2">
        <v>86.494</v>
      </c>
      <c r="AU138" s="2">
        <v>86.627</v>
      </c>
      <c r="AV138" s="2">
        <v>86.762</v>
      </c>
      <c r="AW138" s="2">
        <v>86.901</v>
      </c>
      <c r="AX138" s="2">
        <v>87.042</v>
      </c>
      <c r="AY138" s="2">
        <v>87.187</v>
      </c>
      <c r="AZ138" s="2">
        <v>87.334</v>
      </c>
      <c r="BA138" s="2">
        <v>87.484</v>
      </c>
      <c r="BB138" s="2">
        <v>87.636</v>
      </c>
      <c r="BC138" s="2">
        <v>87.79</v>
      </c>
      <c r="BD138" s="2">
        <v>87.947</v>
      </c>
      <c r="BE138" s="2">
        <v>88.106</v>
      </c>
      <c r="BF138" s="2">
        <v>88.266</v>
      </c>
      <c r="BG138" s="2">
        <v>88.429</v>
      </c>
      <c r="BH138" s="2">
        <v>88.593</v>
      </c>
      <c r="BI138" s="2">
        <v>88.758</v>
      </c>
      <c r="BJ138" s="2">
        <v>88.925</v>
      </c>
      <c r="BK138" s="2">
        <v>89.093</v>
      </c>
      <c r="BL138" s="2">
        <v>89.262</v>
      </c>
      <c r="BM138" s="2">
        <v>89.432</v>
      </c>
      <c r="BN138" s="2">
        <v>89.603</v>
      </c>
      <c r="BO138" s="2">
        <v>4987.317999999998</v>
      </c>
    </row>
    <row r="139" ht="14.25" customHeight="1">
      <c r="A139" s="2" t="s">
        <v>76</v>
      </c>
      <c r="B139" s="2">
        <v>3.512</v>
      </c>
      <c r="C139" s="2">
        <v>3.96</v>
      </c>
      <c r="D139" s="2">
        <v>4.464</v>
      </c>
      <c r="E139" s="2">
        <v>5.029</v>
      </c>
      <c r="F139" s="2">
        <v>5.661</v>
      </c>
      <c r="G139" s="2">
        <v>6.366</v>
      </c>
      <c r="H139" s="2">
        <v>7.065</v>
      </c>
      <c r="I139" s="2">
        <v>7.425</v>
      </c>
      <c r="J139" s="2">
        <v>7.802</v>
      </c>
      <c r="K139" s="2">
        <v>8.196</v>
      </c>
      <c r="L139" s="2">
        <v>8.608</v>
      </c>
      <c r="M139" s="2">
        <v>9.039</v>
      </c>
      <c r="N139" s="2">
        <v>9.474</v>
      </c>
      <c r="O139" s="2">
        <v>9.905</v>
      </c>
      <c r="P139" s="2">
        <v>10.355</v>
      </c>
      <c r="Q139" s="2">
        <v>10.822</v>
      </c>
      <c r="R139" s="2">
        <v>11.213</v>
      </c>
      <c r="S139" s="2">
        <v>11.272</v>
      </c>
      <c r="T139" s="2">
        <v>11.331</v>
      </c>
      <c r="U139" s="2">
        <v>11.39</v>
      </c>
      <c r="V139" s="2">
        <v>11.45</v>
      </c>
      <c r="W139" s="2">
        <v>11.51</v>
      </c>
      <c r="X139" s="2">
        <v>11.57</v>
      </c>
      <c r="Y139" s="2">
        <v>11.63</v>
      </c>
      <c r="Z139" s="2">
        <v>11.691</v>
      </c>
      <c r="AA139" s="2">
        <v>11.752</v>
      </c>
      <c r="AB139" s="2">
        <v>11.905</v>
      </c>
      <c r="AC139" s="2">
        <v>12.394</v>
      </c>
      <c r="AD139" s="2">
        <v>12.901</v>
      </c>
      <c r="AE139" s="2">
        <v>13.425</v>
      </c>
      <c r="AF139" s="2">
        <v>13.967</v>
      </c>
      <c r="AG139" s="2">
        <v>14.527</v>
      </c>
      <c r="AH139" s="2">
        <v>15.106</v>
      </c>
      <c r="AI139" s="2">
        <v>15.703</v>
      </c>
      <c r="AJ139" s="2">
        <v>16.319</v>
      </c>
      <c r="AK139" s="2">
        <v>16.955</v>
      </c>
      <c r="AL139" s="2">
        <v>17.571</v>
      </c>
      <c r="AM139" s="2">
        <v>18.049</v>
      </c>
      <c r="AN139" s="2">
        <v>18.538</v>
      </c>
      <c r="AO139" s="2">
        <v>19.038</v>
      </c>
      <c r="AP139" s="2">
        <v>19.548</v>
      </c>
      <c r="AQ139" s="2">
        <v>20.067</v>
      </c>
      <c r="AR139" s="2">
        <v>20.597</v>
      </c>
      <c r="AS139" s="2">
        <v>21.137</v>
      </c>
      <c r="AT139" s="2">
        <v>21.689</v>
      </c>
      <c r="AU139" s="2">
        <v>22.249</v>
      </c>
      <c r="AV139" s="2">
        <v>22.82</v>
      </c>
      <c r="AW139" s="2">
        <v>23.304</v>
      </c>
      <c r="AX139" s="2">
        <v>23.796</v>
      </c>
      <c r="AY139" s="2">
        <v>24.293</v>
      </c>
      <c r="AZ139" s="2">
        <v>24.798</v>
      </c>
      <c r="BA139" s="2">
        <v>25.31</v>
      </c>
      <c r="BB139" s="2">
        <v>25.704</v>
      </c>
      <c r="BC139" s="2">
        <v>26.101</v>
      </c>
      <c r="BD139" s="2">
        <v>26.502</v>
      </c>
      <c r="BE139" s="2">
        <v>26.908</v>
      </c>
      <c r="BF139" s="2">
        <v>27.317</v>
      </c>
      <c r="BG139" s="2">
        <v>27.73</v>
      </c>
      <c r="BH139" s="2">
        <v>28.153</v>
      </c>
      <c r="BI139" s="2">
        <v>28.585</v>
      </c>
      <c r="BJ139" s="2">
        <v>29.028</v>
      </c>
      <c r="BK139" s="2">
        <v>29.48</v>
      </c>
      <c r="BL139" s="2">
        <v>29.943</v>
      </c>
      <c r="BM139" s="2">
        <v>30.415</v>
      </c>
      <c r="BN139" s="2">
        <v>30.897</v>
      </c>
      <c r="BO139" s="2">
        <v>1085.261</v>
      </c>
    </row>
    <row r="140" ht="14.25" customHeight="1">
      <c r="A140" s="2" t="s">
        <v>77</v>
      </c>
      <c r="B140" s="2">
        <v>18.632</v>
      </c>
      <c r="C140" s="2">
        <v>19.291</v>
      </c>
      <c r="D140" s="2">
        <v>19.969</v>
      </c>
      <c r="E140" s="2">
        <v>20.664</v>
      </c>
      <c r="F140" s="2">
        <v>21.378</v>
      </c>
      <c r="G140" s="2">
        <v>22.108</v>
      </c>
      <c r="H140" s="2">
        <v>22.856</v>
      </c>
      <c r="I140" s="2">
        <v>23.622</v>
      </c>
      <c r="J140" s="2">
        <v>24.407</v>
      </c>
      <c r="K140" s="2">
        <v>25.207</v>
      </c>
      <c r="L140" s="2">
        <v>26.025</v>
      </c>
      <c r="M140" s="2">
        <v>26.86</v>
      </c>
      <c r="N140" s="2">
        <v>27.713</v>
      </c>
      <c r="O140" s="2">
        <v>28.581</v>
      </c>
      <c r="P140" s="2">
        <v>29.47</v>
      </c>
      <c r="Q140" s="2">
        <v>30.382</v>
      </c>
      <c r="R140" s="2">
        <v>31.311</v>
      </c>
      <c r="S140" s="2">
        <v>32.252</v>
      </c>
      <c r="T140" s="2">
        <v>33.209</v>
      </c>
      <c r="U140" s="2">
        <v>34.181</v>
      </c>
      <c r="V140" s="2">
        <v>35.167</v>
      </c>
      <c r="W140" s="2">
        <v>36.163</v>
      </c>
      <c r="X140" s="2">
        <v>37.173</v>
      </c>
      <c r="Y140" s="2">
        <v>38.194</v>
      </c>
      <c r="Z140" s="2">
        <v>39.834</v>
      </c>
      <c r="AA140" s="2">
        <v>42.373</v>
      </c>
      <c r="AB140" s="2">
        <v>44.956</v>
      </c>
      <c r="AC140" s="2">
        <v>47.567</v>
      </c>
      <c r="AD140" s="2">
        <v>50.195</v>
      </c>
      <c r="AE140" s="2">
        <v>52.814</v>
      </c>
      <c r="AF140" s="2">
        <v>55.422</v>
      </c>
      <c r="AG140" s="2">
        <v>58.0</v>
      </c>
      <c r="AH140" s="2">
        <v>55.019</v>
      </c>
      <c r="AI140" s="2">
        <v>52.009</v>
      </c>
      <c r="AJ140" s="2">
        <v>48.981</v>
      </c>
      <c r="AK140" s="2">
        <v>45.96</v>
      </c>
      <c r="AL140" s="2">
        <v>42.964</v>
      </c>
      <c r="AM140" s="2">
        <v>43.304</v>
      </c>
      <c r="AN140" s="2">
        <v>43.646</v>
      </c>
      <c r="AO140" s="2">
        <v>43.988</v>
      </c>
      <c r="AP140" s="2">
        <v>44.331</v>
      </c>
      <c r="AQ140" s="2">
        <v>44.673</v>
      </c>
      <c r="AR140" s="2">
        <v>45.017</v>
      </c>
      <c r="AS140" s="2">
        <v>45.361</v>
      </c>
      <c r="AT140" s="2">
        <v>45.706</v>
      </c>
      <c r="AU140" s="2">
        <v>46.051</v>
      </c>
      <c r="AV140" s="2">
        <v>46.396</v>
      </c>
      <c r="AW140" s="2">
        <v>46.742</v>
      </c>
      <c r="AX140" s="2">
        <v>47.088</v>
      </c>
      <c r="AY140" s="2">
        <v>47.445</v>
      </c>
      <c r="AZ140" s="2">
        <v>47.813</v>
      </c>
      <c r="BA140" s="2">
        <v>48.193</v>
      </c>
      <c r="BB140" s="2">
        <v>48.583</v>
      </c>
      <c r="BC140" s="2">
        <v>48.985</v>
      </c>
      <c r="BD140" s="2">
        <v>49.397</v>
      </c>
      <c r="BE140" s="2">
        <v>49.82</v>
      </c>
      <c r="BF140" s="2">
        <v>50.254</v>
      </c>
      <c r="BG140" s="2">
        <v>50.697</v>
      </c>
      <c r="BH140" s="2">
        <v>51.151</v>
      </c>
      <c r="BI140" s="2">
        <v>51.615</v>
      </c>
      <c r="BJ140" s="2">
        <v>52.089</v>
      </c>
      <c r="BK140" s="2">
        <v>52.573</v>
      </c>
      <c r="BL140" s="2">
        <v>53.065</v>
      </c>
      <c r="BM140" s="2">
        <v>53.567</v>
      </c>
      <c r="BN140" s="2">
        <v>54.077</v>
      </c>
      <c r="BO140" s="2">
        <v>2652.536</v>
      </c>
    </row>
    <row r="141" ht="14.25" customHeight="1">
      <c r="A141" s="2" t="s">
        <v>78</v>
      </c>
      <c r="B141" s="2">
        <v>27.323</v>
      </c>
      <c r="C141" s="2">
        <v>28.197</v>
      </c>
      <c r="D141" s="2">
        <v>29.089</v>
      </c>
      <c r="E141" s="2">
        <v>29.998</v>
      </c>
      <c r="F141" s="2">
        <v>30.924</v>
      </c>
      <c r="G141" s="2">
        <v>33.666</v>
      </c>
      <c r="H141" s="2">
        <v>36.698</v>
      </c>
      <c r="I141" s="2">
        <v>39.839</v>
      </c>
      <c r="J141" s="2">
        <v>43.07</v>
      </c>
      <c r="K141" s="2">
        <v>46.352</v>
      </c>
      <c r="L141" s="2">
        <v>49.671</v>
      </c>
      <c r="M141" s="2">
        <v>52.992</v>
      </c>
      <c r="N141" s="2">
        <v>56.292</v>
      </c>
      <c r="O141" s="2">
        <v>59.528</v>
      </c>
      <c r="P141" s="2">
        <v>61.237</v>
      </c>
      <c r="Q141" s="2">
        <v>62.785</v>
      </c>
      <c r="R141" s="2">
        <v>64.31</v>
      </c>
      <c r="S141" s="2">
        <v>65.802</v>
      </c>
      <c r="T141" s="2">
        <v>67.265</v>
      </c>
      <c r="U141" s="2">
        <v>68.696</v>
      </c>
      <c r="V141" s="2">
        <v>70.094</v>
      </c>
      <c r="W141" s="2">
        <v>71.451</v>
      </c>
      <c r="X141" s="2">
        <v>72.773</v>
      </c>
      <c r="Y141" s="2">
        <v>74.055</v>
      </c>
      <c r="Z141" s="2">
        <v>75.3</v>
      </c>
      <c r="AA141" s="2">
        <v>75.45</v>
      </c>
      <c r="AB141" s="2">
        <v>75.505</v>
      </c>
      <c r="AC141" s="2">
        <v>75.56</v>
      </c>
      <c r="AD141" s="2">
        <v>75.614</v>
      </c>
      <c r="AE141" s="2">
        <v>75.669</v>
      </c>
      <c r="AF141" s="2">
        <v>75.723</v>
      </c>
      <c r="AG141" s="2">
        <v>75.777</v>
      </c>
      <c r="AH141" s="2">
        <v>75.832</v>
      </c>
      <c r="AI141" s="2">
        <v>75.886</v>
      </c>
      <c r="AJ141" s="2">
        <v>75.94</v>
      </c>
      <c r="AK141" s="2">
        <v>75.994</v>
      </c>
      <c r="AL141" s="2">
        <v>76.048</v>
      </c>
      <c r="AM141" s="2">
        <v>76.114</v>
      </c>
      <c r="AN141" s="2">
        <v>76.193</v>
      </c>
      <c r="AO141" s="2">
        <v>76.284</v>
      </c>
      <c r="AP141" s="2">
        <v>76.387</v>
      </c>
      <c r="AQ141" s="2">
        <v>76.502</v>
      </c>
      <c r="AR141" s="2">
        <v>76.629</v>
      </c>
      <c r="AS141" s="2">
        <v>76.768</v>
      </c>
      <c r="AT141" s="2">
        <v>76.919</v>
      </c>
      <c r="AU141" s="2">
        <v>77.08</v>
      </c>
      <c r="AV141" s="2">
        <v>77.253</v>
      </c>
      <c r="AW141" s="2">
        <v>77.437</v>
      </c>
      <c r="AX141" s="2">
        <v>77.632</v>
      </c>
      <c r="AY141" s="2">
        <v>77.837</v>
      </c>
      <c r="AZ141" s="2">
        <v>78.052</v>
      </c>
      <c r="BA141" s="2">
        <v>78.277</v>
      </c>
      <c r="BB141" s="2">
        <v>78.512</v>
      </c>
      <c r="BC141" s="2">
        <v>78.756</v>
      </c>
      <c r="BD141" s="2">
        <v>79.009</v>
      </c>
      <c r="BE141" s="2">
        <v>79.27</v>
      </c>
      <c r="BF141" s="2">
        <v>79.54</v>
      </c>
      <c r="BG141" s="2">
        <v>79.817</v>
      </c>
      <c r="BH141" s="2">
        <v>80.102</v>
      </c>
      <c r="BI141" s="2">
        <v>80.393</v>
      </c>
      <c r="BJ141" s="2">
        <v>80.691</v>
      </c>
      <c r="BK141" s="2">
        <v>80.994</v>
      </c>
      <c r="BL141" s="2">
        <v>81.302</v>
      </c>
      <c r="BM141" s="2">
        <v>81.606</v>
      </c>
      <c r="BN141" s="2">
        <v>81.907</v>
      </c>
      <c r="BO141" s="2">
        <v>4423.668000000001</v>
      </c>
    </row>
    <row r="142" ht="14.25" customHeight="1">
      <c r="A142" s="2" t="s">
        <v>546</v>
      </c>
      <c r="B142" s="2">
        <v>20.437</v>
      </c>
      <c r="C142" s="2">
        <v>20.315</v>
      </c>
      <c r="D142" s="2">
        <v>20.102</v>
      </c>
      <c r="E142" s="2">
        <v>19.89</v>
      </c>
      <c r="F142" s="2">
        <v>19.679</v>
      </c>
      <c r="G142" s="2">
        <v>19.471</v>
      </c>
      <c r="H142" s="2">
        <v>19.264</v>
      </c>
      <c r="I142" s="2">
        <v>19.059</v>
      </c>
      <c r="J142" s="2">
        <v>18.855</v>
      </c>
      <c r="K142" s="2">
        <v>18.654</v>
      </c>
      <c r="L142" s="2">
        <v>18.453</v>
      </c>
      <c r="M142" s="2">
        <v>18.364</v>
      </c>
      <c r="N142" s="2">
        <v>18.354</v>
      </c>
      <c r="O142" s="2">
        <v>18.344</v>
      </c>
      <c r="P142" s="2">
        <v>18.334</v>
      </c>
      <c r="Q142" s="2">
        <v>18.324</v>
      </c>
      <c r="R142" s="2">
        <v>18.314</v>
      </c>
      <c r="S142" s="2">
        <v>18.304</v>
      </c>
      <c r="T142" s="2">
        <v>18.294</v>
      </c>
      <c r="U142" s="2">
        <v>18.284</v>
      </c>
      <c r="V142" s="2">
        <v>18.274</v>
      </c>
      <c r="W142" s="2">
        <v>18.187</v>
      </c>
      <c r="X142" s="2">
        <v>18.043</v>
      </c>
      <c r="Y142" s="2">
        <v>17.901</v>
      </c>
      <c r="Z142" s="2">
        <v>17.759</v>
      </c>
      <c r="AA142" s="2">
        <v>17.619</v>
      </c>
      <c r="AB142" s="2">
        <v>17.479</v>
      </c>
      <c r="AC142" s="2">
        <v>17.34</v>
      </c>
      <c r="AD142" s="2">
        <v>17.201</v>
      </c>
      <c r="AE142" s="2">
        <v>17.064</v>
      </c>
      <c r="AF142" s="2">
        <v>16.928</v>
      </c>
      <c r="AG142" s="2">
        <v>16.821</v>
      </c>
      <c r="AH142" s="2">
        <v>16.736</v>
      </c>
      <c r="AI142" s="2">
        <v>16.651</v>
      </c>
      <c r="AJ142" s="2">
        <v>16.566</v>
      </c>
      <c r="AK142" s="2">
        <v>16.482</v>
      </c>
      <c r="AL142" s="2">
        <v>16.29</v>
      </c>
      <c r="AM142" s="2">
        <v>15.994</v>
      </c>
      <c r="AN142" s="2">
        <v>15.702</v>
      </c>
      <c r="AO142" s="2">
        <v>15.414</v>
      </c>
      <c r="AP142" s="2">
        <v>15.13</v>
      </c>
      <c r="AQ142" s="2">
        <v>14.962</v>
      </c>
      <c r="AR142" s="2">
        <v>14.906</v>
      </c>
      <c r="AS142" s="2">
        <v>14.85</v>
      </c>
      <c r="AT142" s="2">
        <v>14.795</v>
      </c>
      <c r="AU142" s="2">
        <v>14.739</v>
      </c>
      <c r="AV142" s="2">
        <v>14.684</v>
      </c>
      <c r="AW142" s="2">
        <v>14.629</v>
      </c>
      <c r="AX142" s="2">
        <v>14.574</v>
      </c>
      <c r="AY142" s="2">
        <v>14.519</v>
      </c>
      <c r="AZ142" s="2">
        <v>14.464</v>
      </c>
      <c r="BA142" s="2">
        <v>14.41</v>
      </c>
      <c r="BB142" s="2">
        <v>14.367</v>
      </c>
      <c r="BC142" s="2">
        <v>14.334</v>
      </c>
      <c r="BD142" s="2">
        <v>14.313</v>
      </c>
      <c r="BE142" s="2">
        <v>14.303</v>
      </c>
      <c r="BF142" s="2">
        <v>14.303</v>
      </c>
      <c r="BG142" s="2">
        <v>14.315</v>
      </c>
      <c r="BH142" s="2">
        <v>14.338</v>
      </c>
      <c r="BI142" s="2">
        <v>14.371</v>
      </c>
      <c r="BJ142" s="2">
        <v>14.416</v>
      </c>
      <c r="BK142" s="2">
        <v>14.471</v>
      </c>
      <c r="BL142" s="2">
        <v>14.538</v>
      </c>
      <c r="BM142" s="2">
        <v>14.617</v>
      </c>
      <c r="BN142" s="2">
        <v>14.707</v>
      </c>
      <c r="BO142" s="2">
        <v>1083.6009999999999</v>
      </c>
    </row>
    <row r="143" ht="14.25" customHeight="1">
      <c r="A143" s="2" t="s">
        <v>467</v>
      </c>
      <c r="B143" s="2">
        <v>39.46</v>
      </c>
      <c r="C143" s="2">
        <v>40.443</v>
      </c>
      <c r="D143" s="2">
        <v>41.435</v>
      </c>
      <c r="E143" s="2">
        <v>42.434</v>
      </c>
      <c r="F143" s="2">
        <v>43.441</v>
      </c>
      <c r="G143" s="2">
        <v>44.45</v>
      </c>
      <c r="H143" s="2">
        <v>45.465</v>
      </c>
      <c r="I143" s="2">
        <v>46.484</v>
      </c>
      <c r="J143" s="2">
        <v>47.507</v>
      </c>
      <c r="K143" s="2">
        <v>48.53</v>
      </c>
      <c r="L143" s="2">
        <v>49.555</v>
      </c>
      <c r="M143" s="2">
        <v>50.719</v>
      </c>
      <c r="N143" s="2">
        <v>51.968</v>
      </c>
      <c r="O143" s="2">
        <v>53.21</v>
      </c>
      <c r="P143" s="2">
        <v>54.451</v>
      </c>
      <c r="Q143" s="2">
        <v>55.685</v>
      </c>
      <c r="R143" s="2">
        <v>56.915</v>
      </c>
      <c r="S143" s="2">
        <v>58.132</v>
      </c>
      <c r="T143" s="2">
        <v>59.342</v>
      </c>
      <c r="U143" s="2">
        <v>60.361</v>
      </c>
      <c r="V143" s="2">
        <v>61.158</v>
      </c>
      <c r="W143" s="2">
        <v>61.946</v>
      </c>
      <c r="X143" s="2">
        <v>62.73</v>
      </c>
      <c r="Y143" s="2">
        <v>63.506</v>
      </c>
      <c r="Z143" s="2">
        <v>64.277</v>
      </c>
      <c r="AA143" s="2">
        <v>65.038</v>
      </c>
      <c r="AB143" s="2">
        <v>65.793</v>
      </c>
      <c r="AC143" s="2">
        <v>66.54</v>
      </c>
      <c r="AD143" s="2">
        <v>67.28</v>
      </c>
      <c r="AE143" s="2">
        <v>67.642</v>
      </c>
      <c r="AF143" s="2">
        <v>67.583</v>
      </c>
      <c r="AG143" s="2">
        <v>67.523</v>
      </c>
      <c r="AH143" s="2">
        <v>67.464</v>
      </c>
      <c r="AI143" s="2">
        <v>67.404</v>
      </c>
      <c r="AJ143" s="2">
        <v>67.345</v>
      </c>
      <c r="AK143" s="2">
        <v>67.285</v>
      </c>
      <c r="AL143" s="2">
        <v>67.225</v>
      </c>
      <c r="AM143" s="2">
        <v>67.166</v>
      </c>
      <c r="AN143" s="2">
        <v>67.106</v>
      </c>
      <c r="AO143" s="2">
        <v>67.046</v>
      </c>
      <c r="AP143" s="2">
        <v>66.986</v>
      </c>
      <c r="AQ143" s="2">
        <v>66.919</v>
      </c>
      <c r="AR143" s="2">
        <v>66.828</v>
      </c>
      <c r="AS143" s="2">
        <v>66.737</v>
      </c>
      <c r="AT143" s="2">
        <v>66.646</v>
      </c>
      <c r="AU143" s="2">
        <v>66.635</v>
      </c>
      <c r="AV143" s="2">
        <v>66.706</v>
      </c>
      <c r="AW143" s="2">
        <v>66.777</v>
      </c>
      <c r="AX143" s="2">
        <v>66.848</v>
      </c>
      <c r="AY143" s="2">
        <v>66.842</v>
      </c>
      <c r="AZ143" s="2">
        <v>66.757</v>
      </c>
      <c r="BA143" s="2">
        <v>66.741</v>
      </c>
      <c r="BB143" s="2">
        <v>66.864</v>
      </c>
      <c r="BC143" s="2">
        <v>66.986</v>
      </c>
      <c r="BD143" s="2">
        <v>67.108</v>
      </c>
      <c r="BE143" s="2">
        <v>67.23</v>
      </c>
      <c r="BF143" s="2">
        <v>67.366</v>
      </c>
      <c r="BG143" s="2">
        <v>67.516</v>
      </c>
      <c r="BH143" s="2">
        <v>67.679</v>
      </c>
      <c r="BI143" s="2">
        <v>67.855</v>
      </c>
      <c r="BJ143" s="2">
        <v>68.046</v>
      </c>
      <c r="BK143" s="2">
        <v>68.249</v>
      </c>
      <c r="BL143" s="2">
        <v>68.465</v>
      </c>
      <c r="BM143" s="2">
        <v>68.694</v>
      </c>
      <c r="BN143" s="2">
        <v>68.936</v>
      </c>
      <c r="BO143" s="2">
        <v>3991.460000000001</v>
      </c>
    </row>
    <row r="144" ht="14.25" customHeight="1">
      <c r="A144" s="2" t="s">
        <v>547</v>
      </c>
      <c r="B144" s="2">
        <v>21.7254460557304</v>
      </c>
      <c r="C144" s="2">
        <v>22.1991990379831</v>
      </c>
      <c r="D144" s="2">
        <v>22.6615231275056</v>
      </c>
      <c r="E144" s="2">
        <v>23.1032052089801</v>
      </c>
      <c r="F144" s="2">
        <v>23.5525724531838</v>
      </c>
      <c r="G144" s="2">
        <v>23.7676611595108</v>
      </c>
      <c r="H144" s="2">
        <v>23.9899436828823</v>
      </c>
      <c r="I144" s="2">
        <v>24.2287796260276</v>
      </c>
      <c r="J144" s="2">
        <v>24.474613740397</v>
      </c>
      <c r="K144" s="2">
        <v>24.7222457398428</v>
      </c>
      <c r="L144" s="2">
        <v>24.9665392593297</v>
      </c>
      <c r="M144" s="2">
        <v>25.2215888815843</v>
      </c>
      <c r="N144" s="2">
        <v>25.5115895820893</v>
      </c>
      <c r="O144" s="2">
        <v>25.8348658168635</v>
      </c>
      <c r="P144" s="2">
        <v>26.1963667689772</v>
      </c>
      <c r="Q144" s="2">
        <v>26.5101869272717</v>
      </c>
      <c r="R144" s="2">
        <v>26.8733154302905</v>
      </c>
      <c r="S144" s="2">
        <v>27.2409020400184</v>
      </c>
      <c r="T144" s="2">
        <v>27.710844955464</v>
      </c>
      <c r="U144" s="2">
        <v>28.2743308674644</v>
      </c>
      <c r="V144" s="2">
        <v>28.8515669999568</v>
      </c>
      <c r="W144" s="2">
        <v>29.4466216889257</v>
      </c>
      <c r="X144" s="2">
        <v>30.00526881778</v>
      </c>
      <c r="Y144" s="2">
        <v>30.5193729471259</v>
      </c>
      <c r="Z144" s="2">
        <v>31.0490156962463</v>
      </c>
      <c r="AA144" s="2">
        <v>31.5815607163474</v>
      </c>
      <c r="AB144" s="2">
        <v>32.1121447609092</v>
      </c>
      <c r="AC144" s="2">
        <v>32.6379455798011</v>
      </c>
      <c r="AD144" s="2">
        <v>33.1618102332993</v>
      </c>
      <c r="AE144" s="2">
        <v>33.6792471096146</v>
      </c>
      <c r="AF144" s="2">
        <v>34.2088657153317</v>
      </c>
      <c r="AG144" s="2">
        <v>34.7189457568399</v>
      </c>
      <c r="AH144" s="2">
        <v>35.2236036764897</v>
      </c>
      <c r="AI144" s="2">
        <v>35.7235210163977</v>
      </c>
      <c r="AJ144" s="2">
        <v>36.2239530806605</v>
      </c>
      <c r="AK144" s="2">
        <v>36.7205418818886</v>
      </c>
      <c r="AL144" s="2">
        <v>37.2107271777762</v>
      </c>
      <c r="AM144" s="2">
        <v>37.7064058947065</v>
      </c>
      <c r="AN144" s="2">
        <v>38.2097511460884</v>
      </c>
      <c r="AO144" s="2">
        <v>38.7167389862488</v>
      </c>
      <c r="AP144" s="2">
        <v>39.2338517104974</v>
      </c>
      <c r="AQ144" s="2">
        <v>39.8020132055293</v>
      </c>
      <c r="AR144" s="2">
        <v>40.4139022265826</v>
      </c>
      <c r="AS144" s="2">
        <v>41.0301252155546</v>
      </c>
      <c r="AT144" s="2">
        <v>41.6530256568993</v>
      </c>
      <c r="AU144" s="2">
        <v>42.2809926345142</v>
      </c>
      <c r="AV144" s="2">
        <v>42.8970457227503</v>
      </c>
      <c r="AW144" s="2">
        <v>43.4945978250084</v>
      </c>
      <c r="AX144" s="2">
        <v>44.1056470271771</v>
      </c>
      <c r="AY144" s="2">
        <v>44.7145962753349</v>
      </c>
      <c r="AZ144" s="2">
        <v>45.3230162208833</v>
      </c>
      <c r="BA144" s="2">
        <v>45.9005229782247</v>
      </c>
      <c r="BB144" s="2">
        <v>46.4680285401233</v>
      </c>
      <c r="BC144" s="2">
        <v>47.0458333723862</v>
      </c>
      <c r="BD144" s="2">
        <v>47.625325896552</v>
      </c>
      <c r="BE144" s="2">
        <v>48.2084210510769</v>
      </c>
      <c r="BF144" s="2">
        <v>48.7861260769607</v>
      </c>
      <c r="BG144" s="2">
        <v>49.3618130264143</v>
      </c>
      <c r="BH144" s="2">
        <v>49.9317364027109</v>
      </c>
      <c r="BI144" s="2">
        <v>50.4910880268035</v>
      </c>
      <c r="BJ144" s="2">
        <v>51.0358692115088</v>
      </c>
      <c r="BK144" s="2">
        <v>51.5727352221802</v>
      </c>
      <c r="BL144" s="2">
        <v>52.100641799849</v>
      </c>
      <c r="BM144" s="2">
        <v>52.618040083163</v>
      </c>
      <c r="BN144" s="2">
        <v>53.1355985988778</v>
      </c>
      <c r="BO144" s="2">
        <v>2335.703923251394</v>
      </c>
    </row>
    <row r="145" ht="14.25" customHeight="1">
      <c r="A145" s="2" t="s">
        <v>142</v>
      </c>
      <c r="B145" s="2">
        <v>14.7788960380652</v>
      </c>
      <c r="C145" s="2">
        <v>15.1430343147696</v>
      </c>
      <c r="D145" s="2">
        <v>15.5162095094994</v>
      </c>
      <c r="E145" s="2">
        <v>15.9106491631666</v>
      </c>
      <c r="F145" s="2">
        <v>16.3163718228286</v>
      </c>
      <c r="G145" s="2">
        <v>16.7329288262596</v>
      </c>
      <c r="H145" s="2">
        <v>17.1645776765002</v>
      </c>
      <c r="I145" s="2">
        <v>17.6159248808162</v>
      </c>
      <c r="J145" s="2">
        <v>18.1741316218418</v>
      </c>
      <c r="K145" s="2">
        <v>18.807961038889</v>
      </c>
      <c r="L145" s="2">
        <v>19.4334916944515</v>
      </c>
      <c r="M145" s="2">
        <v>19.8195756178135</v>
      </c>
      <c r="N145" s="2">
        <v>20.2225302689036</v>
      </c>
      <c r="O145" s="2">
        <v>20.6091591138644</v>
      </c>
      <c r="P145" s="2">
        <v>20.9396234629907</v>
      </c>
      <c r="Q145" s="2">
        <v>21.259983250483</v>
      </c>
      <c r="R145" s="2">
        <v>21.5240705750069</v>
      </c>
      <c r="S145" s="2">
        <v>21.7867821802217</v>
      </c>
      <c r="T145" s="2">
        <v>22.0461974174731</v>
      </c>
      <c r="U145" s="2">
        <v>22.3019915747307</v>
      </c>
      <c r="V145" s="2">
        <v>22.5919918402091</v>
      </c>
      <c r="W145" s="2">
        <v>22.9429898586687</v>
      </c>
      <c r="X145" s="2">
        <v>23.2864603284266</v>
      </c>
      <c r="Y145" s="2">
        <v>23.6467906559842</v>
      </c>
      <c r="Z145" s="2">
        <v>24.0749021028699</v>
      </c>
      <c r="AA145" s="2">
        <v>24.5513769454568</v>
      </c>
      <c r="AB145" s="2">
        <v>25.0336254698711</v>
      </c>
      <c r="AC145" s="2">
        <v>25.5146914264619</v>
      </c>
      <c r="AD145" s="2">
        <v>26.0030898588145</v>
      </c>
      <c r="AE145" s="2">
        <v>26.459740473591</v>
      </c>
      <c r="AF145" s="2">
        <v>26.8862040588291</v>
      </c>
      <c r="AG145" s="2">
        <v>27.2635403786331</v>
      </c>
      <c r="AH145" s="2">
        <v>27.6371705844413</v>
      </c>
      <c r="AI145" s="2">
        <v>28.0012112580244</v>
      </c>
      <c r="AJ145" s="2">
        <v>28.3677206285592</v>
      </c>
      <c r="AK145" s="2">
        <v>28.6991878294782</v>
      </c>
      <c r="AL145" s="2">
        <v>28.8949458725576</v>
      </c>
      <c r="AM145" s="2">
        <v>29.1279921259106</v>
      </c>
      <c r="AN145" s="2">
        <v>29.3915794446606</v>
      </c>
      <c r="AO145" s="2">
        <v>29.6586088839748</v>
      </c>
      <c r="AP145" s="2">
        <v>29.9351460456332</v>
      </c>
      <c r="AQ145" s="2">
        <v>30.215251641344</v>
      </c>
      <c r="AR145" s="2">
        <v>30.4677099766948</v>
      </c>
      <c r="AS145" s="2">
        <v>30.6993013690676</v>
      </c>
      <c r="AT145" s="2">
        <v>30.9477890123139</v>
      </c>
      <c r="AU145" s="2">
        <v>31.2279158147158</v>
      </c>
      <c r="AV145" s="2">
        <v>31.5329474817188</v>
      </c>
      <c r="AW145" s="2">
        <v>31.7710596243822</v>
      </c>
      <c r="AX145" s="2">
        <v>32.1133323433663</v>
      </c>
      <c r="AY145" s="2">
        <v>32.427806710292</v>
      </c>
      <c r="AZ145" s="2">
        <v>32.7659789914846</v>
      </c>
      <c r="BA145" s="2">
        <v>33.0359682038114</v>
      </c>
      <c r="BB145" s="2">
        <v>33.2610310237944</v>
      </c>
      <c r="BC145" s="2">
        <v>33.4700257727979</v>
      </c>
      <c r="BD145" s="2">
        <v>33.7005554837113</v>
      </c>
      <c r="BE145" s="2">
        <v>34.0543791399747</v>
      </c>
      <c r="BF145" s="2">
        <v>34.4561050366558</v>
      </c>
      <c r="BG145" s="2">
        <v>34.8821585032487</v>
      </c>
      <c r="BH145" s="2">
        <v>35.3088964715789</v>
      </c>
      <c r="BI145" s="2">
        <v>35.7448254230166</v>
      </c>
      <c r="BJ145" s="2">
        <v>36.1918388913867</v>
      </c>
      <c r="BK145" s="2">
        <v>36.6549434168564</v>
      </c>
      <c r="BL145" s="2">
        <v>37.1420380582928</v>
      </c>
      <c r="BM145" s="2">
        <v>37.633883354408</v>
      </c>
      <c r="BN145" s="2">
        <v>38.1296595552384</v>
      </c>
      <c r="BO145" s="2">
        <v>1741.9084574197836</v>
      </c>
    </row>
    <row r="146" ht="14.25" customHeight="1">
      <c r="A146" s="2" t="s">
        <v>134</v>
      </c>
      <c r="B146" s="2">
        <v>18.249084084174</v>
      </c>
      <c r="C146" s="2">
        <v>18.4613289185703</v>
      </c>
      <c r="D146" s="2">
        <v>18.7111554156622</v>
      </c>
      <c r="E146" s="2">
        <v>18.9663640033297</v>
      </c>
      <c r="F146" s="2">
        <v>19.2274355398849</v>
      </c>
      <c r="G146" s="2">
        <v>19.4917279290522</v>
      </c>
      <c r="H146" s="2">
        <v>19.7577974732167</v>
      </c>
      <c r="I146" s="2">
        <v>20.0362307578176</v>
      </c>
      <c r="J146" s="2">
        <v>20.3221227415951</v>
      </c>
      <c r="K146" s="2">
        <v>20.6131142075767</v>
      </c>
      <c r="L146" s="2">
        <v>20.9070068021751</v>
      </c>
      <c r="M146" s="2">
        <v>21.2385829995265</v>
      </c>
      <c r="N146" s="2">
        <v>21.6236848934718</v>
      </c>
      <c r="O146" s="2">
        <v>22.0058160990884</v>
      </c>
      <c r="P146" s="2">
        <v>22.3985916034105</v>
      </c>
      <c r="Q146" s="2">
        <v>22.6564981060178</v>
      </c>
      <c r="R146" s="2">
        <v>23.0702627465368</v>
      </c>
      <c r="S146" s="2">
        <v>23.4832284088038</v>
      </c>
      <c r="T146" s="2">
        <v>23.904058481082</v>
      </c>
      <c r="U146" s="2">
        <v>24.3138159795906</v>
      </c>
      <c r="V146" s="2">
        <v>24.7369674921586</v>
      </c>
      <c r="W146" s="2">
        <v>25.1450343696033</v>
      </c>
      <c r="X146" s="2">
        <v>25.4563172810405</v>
      </c>
      <c r="Y146" s="2">
        <v>25.7758617817478</v>
      </c>
      <c r="Z146" s="2">
        <v>26.1051981160412</v>
      </c>
      <c r="AA146" s="2">
        <v>26.4412318842778</v>
      </c>
      <c r="AB146" s="2">
        <v>26.7813644900057</v>
      </c>
      <c r="AC146" s="2">
        <v>27.1227903414796</v>
      </c>
      <c r="AD146" s="2">
        <v>27.4653876918628</v>
      </c>
      <c r="AE146" s="2">
        <v>27.8093251219858</v>
      </c>
      <c r="AF146" s="2">
        <v>28.2122491929696</v>
      </c>
      <c r="AG146" s="2">
        <v>28.5082120032167</v>
      </c>
      <c r="AH146" s="2">
        <v>28.7791303464558</v>
      </c>
      <c r="AI146" s="2">
        <v>29.0436727538227</v>
      </c>
      <c r="AJ146" s="2">
        <v>29.3072014466491</v>
      </c>
      <c r="AK146" s="2">
        <v>29.5623170862954</v>
      </c>
      <c r="AL146" s="2">
        <v>29.8217445557515</v>
      </c>
      <c r="AM146" s="2">
        <v>30.0863121385309</v>
      </c>
      <c r="AN146" s="2">
        <v>30.3542734370188</v>
      </c>
      <c r="AO146" s="2">
        <v>30.6237914421867</v>
      </c>
      <c r="AP146" s="2">
        <v>30.8998888809336</v>
      </c>
      <c r="AQ146" s="2">
        <v>31.2279917033736</v>
      </c>
      <c r="AR146" s="2">
        <v>31.604915015984</v>
      </c>
      <c r="AS146" s="2">
        <v>31.9890497034069</v>
      </c>
      <c r="AT146" s="2">
        <v>32.377416931896</v>
      </c>
      <c r="AU146" s="2">
        <v>32.7748010572084</v>
      </c>
      <c r="AV146" s="2">
        <v>33.1784575740319</v>
      </c>
      <c r="AW146" s="2">
        <v>33.5862623867699</v>
      </c>
      <c r="AX146" s="2">
        <v>33.9945412812435</v>
      </c>
      <c r="AY146" s="2">
        <v>34.4073937481875</v>
      </c>
      <c r="AZ146" s="2">
        <v>34.8269673602317</v>
      </c>
      <c r="BA146" s="2">
        <v>35.2559988089918</v>
      </c>
      <c r="BB146" s="2">
        <v>35.688766214808</v>
      </c>
      <c r="BC146" s="2">
        <v>36.1457483404798</v>
      </c>
      <c r="BD146" s="2">
        <v>36.6142648233343</v>
      </c>
      <c r="BE146" s="2">
        <v>37.0772324949331</v>
      </c>
      <c r="BF146" s="2">
        <v>37.534973465889</v>
      </c>
      <c r="BG146" s="2">
        <v>37.9970008869979</v>
      </c>
      <c r="BH146" s="2">
        <v>38.4688236959919</v>
      </c>
      <c r="BI146" s="2">
        <v>38.9483291952999</v>
      </c>
      <c r="BJ146" s="2">
        <v>39.4369727928762</v>
      </c>
      <c r="BK146" s="2">
        <v>39.9377220240324</v>
      </c>
      <c r="BL146" s="2">
        <v>40.4516375248881</v>
      </c>
      <c r="BM146" s="2">
        <v>40.9771484391029</v>
      </c>
      <c r="BN146" s="2">
        <v>41.5092867783327</v>
      </c>
      <c r="BO146" s="2">
        <v>1873.487881292908</v>
      </c>
    </row>
    <row r="147" ht="14.25" customHeight="1">
      <c r="A147" s="2" t="s">
        <v>79</v>
      </c>
      <c r="B147" s="2">
        <v>69.556</v>
      </c>
      <c r="C147" s="2">
        <v>69.927</v>
      </c>
      <c r="D147" s="2">
        <v>70.443</v>
      </c>
      <c r="E147" s="2">
        <v>70.953</v>
      </c>
      <c r="F147" s="2">
        <v>71.459</v>
      </c>
      <c r="G147" s="2">
        <v>71.958</v>
      </c>
      <c r="H147" s="2">
        <v>72.452</v>
      </c>
      <c r="I147" s="2">
        <v>72.941</v>
      </c>
      <c r="J147" s="2">
        <v>73.425</v>
      </c>
      <c r="K147" s="2">
        <v>73.902</v>
      </c>
      <c r="L147" s="2">
        <v>74.374</v>
      </c>
      <c r="M147" s="2">
        <v>74.916</v>
      </c>
      <c r="N147" s="2">
        <v>75.528</v>
      </c>
      <c r="O147" s="2">
        <v>76.127</v>
      </c>
      <c r="P147" s="2">
        <v>76.717</v>
      </c>
      <c r="Q147" s="2">
        <v>77.297</v>
      </c>
      <c r="R147" s="2">
        <v>77.867</v>
      </c>
      <c r="S147" s="2">
        <v>78.426</v>
      </c>
      <c r="T147" s="2">
        <v>78.975</v>
      </c>
      <c r="U147" s="2">
        <v>79.513</v>
      </c>
      <c r="V147" s="2">
        <v>80.042</v>
      </c>
      <c r="W147" s="2">
        <v>80.444</v>
      </c>
      <c r="X147" s="2">
        <v>80.501</v>
      </c>
      <c r="Y147" s="2">
        <v>80.557</v>
      </c>
      <c r="Z147" s="2">
        <v>80.613</v>
      </c>
      <c r="AA147" s="2">
        <v>80.669</v>
      </c>
      <c r="AB147" s="2">
        <v>80.725</v>
      </c>
      <c r="AC147" s="2">
        <v>80.78</v>
      </c>
      <c r="AD147" s="2">
        <v>80.836</v>
      </c>
      <c r="AE147" s="2">
        <v>80.891</v>
      </c>
      <c r="AF147" s="2">
        <v>80.947</v>
      </c>
      <c r="AG147" s="2">
        <v>81.13</v>
      </c>
      <c r="AH147" s="2">
        <v>81.528</v>
      </c>
      <c r="AI147" s="2">
        <v>81.857</v>
      </c>
      <c r="AJ147" s="2">
        <v>82.482</v>
      </c>
      <c r="AK147" s="2">
        <v>82.893</v>
      </c>
      <c r="AL147" s="2">
        <v>82.825</v>
      </c>
      <c r="AM147" s="2">
        <v>82.779</v>
      </c>
      <c r="AN147" s="2">
        <v>82.893</v>
      </c>
      <c r="AO147" s="2">
        <v>83.448</v>
      </c>
      <c r="AP147" s="2">
        <v>84.216</v>
      </c>
      <c r="AQ147" s="2">
        <v>84.843</v>
      </c>
      <c r="AR147" s="2">
        <v>85.299</v>
      </c>
      <c r="AS147" s="2">
        <v>85.743</v>
      </c>
      <c r="AT147" s="2">
        <v>86.177</v>
      </c>
      <c r="AU147" s="2">
        <v>86.598</v>
      </c>
      <c r="AV147" s="2">
        <v>87.009</v>
      </c>
      <c r="AW147" s="2">
        <v>87.409</v>
      </c>
      <c r="AX147" s="2">
        <v>87.8</v>
      </c>
      <c r="AY147" s="2">
        <v>88.178</v>
      </c>
      <c r="AZ147" s="2">
        <v>88.547</v>
      </c>
      <c r="BA147" s="2">
        <v>88.906</v>
      </c>
      <c r="BB147" s="2">
        <v>89.249</v>
      </c>
      <c r="BC147" s="2">
        <v>89.574</v>
      </c>
      <c r="BD147" s="2">
        <v>89.884</v>
      </c>
      <c r="BE147" s="2">
        <v>90.179</v>
      </c>
      <c r="BF147" s="2">
        <v>90.46</v>
      </c>
      <c r="BG147" s="2">
        <v>90.727</v>
      </c>
      <c r="BH147" s="2">
        <v>90.981</v>
      </c>
      <c r="BI147" s="2">
        <v>91.223</v>
      </c>
      <c r="BJ147" s="2">
        <v>91.453</v>
      </c>
      <c r="BK147" s="2">
        <v>91.672</v>
      </c>
      <c r="BL147" s="2">
        <v>91.881</v>
      </c>
      <c r="BM147" s="2">
        <v>92.078</v>
      </c>
      <c r="BN147" s="2">
        <v>92.266</v>
      </c>
      <c r="BO147" s="2">
        <v>5337.947999999999</v>
      </c>
    </row>
    <row r="148" ht="14.25" customHeight="1">
      <c r="A148" s="2" t="s">
        <v>548</v>
      </c>
      <c r="B148" s="2">
        <v>95.289</v>
      </c>
      <c r="C148" s="2">
        <v>95.328</v>
      </c>
      <c r="D148" s="2">
        <v>95.556</v>
      </c>
      <c r="E148" s="2">
        <v>95.773</v>
      </c>
      <c r="F148" s="2">
        <v>95.98</v>
      </c>
      <c r="G148" s="2">
        <v>96.177</v>
      </c>
      <c r="H148" s="2">
        <v>96.365</v>
      </c>
      <c r="I148" s="2">
        <v>96.544</v>
      </c>
      <c r="J148" s="2">
        <v>96.715</v>
      </c>
      <c r="K148" s="2">
        <v>96.877</v>
      </c>
      <c r="L148" s="2">
        <v>97.032</v>
      </c>
      <c r="M148" s="2">
        <v>97.208</v>
      </c>
      <c r="N148" s="2">
        <v>97.397</v>
      </c>
      <c r="O148" s="2">
        <v>97.573</v>
      </c>
      <c r="P148" s="2">
        <v>97.738</v>
      </c>
      <c r="Q148" s="2">
        <v>97.891</v>
      </c>
      <c r="R148" s="2">
        <v>98.035</v>
      </c>
      <c r="S148" s="2">
        <v>98.169</v>
      </c>
      <c r="T148" s="2">
        <v>98.294</v>
      </c>
      <c r="U148" s="2">
        <v>98.41</v>
      </c>
      <c r="V148" s="2">
        <v>98.519</v>
      </c>
      <c r="W148" s="2">
        <v>98.655</v>
      </c>
      <c r="X148" s="2">
        <v>98.889</v>
      </c>
      <c r="Y148" s="2">
        <v>99.084</v>
      </c>
      <c r="Z148" s="2">
        <v>99.244</v>
      </c>
      <c r="AA148" s="2">
        <v>99.377</v>
      </c>
      <c r="AB148" s="2">
        <v>99.486</v>
      </c>
      <c r="AC148" s="2">
        <v>99.576</v>
      </c>
      <c r="AD148" s="2">
        <v>99.651</v>
      </c>
      <c r="AE148" s="2">
        <v>99.712</v>
      </c>
      <c r="AF148" s="2">
        <v>99.763</v>
      </c>
      <c r="AG148" s="2">
        <v>99.805</v>
      </c>
      <c r="AH148" s="2">
        <v>99.839</v>
      </c>
      <c r="AI148" s="2">
        <v>99.867</v>
      </c>
      <c r="AJ148" s="2">
        <v>99.891</v>
      </c>
      <c r="AK148" s="2">
        <v>99.91</v>
      </c>
      <c r="AL148" s="2">
        <v>99.98</v>
      </c>
      <c r="AM148" s="2">
        <v>100.0</v>
      </c>
      <c r="AN148" s="2">
        <v>100.0</v>
      </c>
      <c r="AO148" s="2">
        <v>100.0</v>
      </c>
      <c r="AP148" s="2">
        <v>100.0</v>
      </c>
      <c r="AQ148" s="2">
        <v>100.0</v>
      </c>
      <c r="AR148" s="2">
        <v>100.0</v>
      </c>
      <c r="AS148" s="2">
        <v>100.0</v>
      </c>
      <c r="AT148" s="2">
        <v>100.0</v>
      </c>
      <c r="AU148" s="2">
        <v>100.0</v>
      </c>
      <c r="AV148" s="2">
        <v>100.0</v>
      </c>
      <c r="AW148" s="2">
        <v>100.0</v>
      </c>
      <c r="AX148" s="2">
        <v>100.0</v>
      </c>
      <c r="AY148" s="2">
        <v>100.0</v>
      </c>
      <c r="AZ148" s="2">
        <v>100.0</v>
      </c>
      <c r="BA148" s="2">
        <v>100.0</v>
      </c>
      <c r="BB148" s="2">
        <v>100.0</v>
      </c>
      <c r="BC148" s="2">
        <v>100.0</v>
      </c>
      <c r="BD148" s="2">
        <v>100.0</v>
      </c>
      <c r="BE148" s="2">
        <v>100.0</v>
      </c>
      <c r="BF148" s="2">
        <v>100.0</v>
      </c>
      <c r="BG148" s="2">
        <v>100.0</v>
      </c>
      <c r="BH148" s="2">
        <v>100.0</v>
      </c>
      <c r="BI148" s="2">
        <v>100.0</v>
      </c>
      <c r="BJ148" s="2">
        <v>100.0</v>
      </c>
      <c r="BK148" s="2">
        <v>100.0</v>
      </c>
      <c r="BL148" s="2">
        <v>100.0</v>
      </c>
      <c r="BM148" s="2">
        <v>100.0</v>
      </c>
      <c r="BN148" s="2">
        <v>100.0</v>
      </c>
      <c r="BO148" s="2">
        <v>6429.599</v>
      </c>
    </row>
    <row r="149" ht="14.25" customHeight="1">
      <c r="A149" s="2" t="s">
        <v>468</v>
      </c>
      <c r="B149" s="2">
        <v>10.642</v>
      </c>
      <c r="C149" s="2">
        <v>10.971</v>
      </c>
      <c r="D149" s="2">
        <v>11.309</v>
      </c>
      <c r="E149" s="2">
        <v>11.657</v>
      </c>
      <c r="F149" s="2">
        <v>12.014</v>
      </c>
      <c r="G149" s="2">
        <v>12.379</v>
      </c>
      <c r="H149" s="2">
        <v>12.747</v>
      </c>
      <c r="I149" s="2">
        <v>13.074</v>
      </c>
      <c r="J149" s="2">
        <v>13.41</v>
      </c>
      <c r="K149" s="2">
        <v>13.751</v>
      </c>
      <c r="L149" s="2">
        <v>14.1</v>
      </c>
      <c r="M149" s="2">
        <v>14.526</v>
      </c>
      <c r="N149" s="2">
        <v>14.964</v>
      </c>
      <c r="O149" s="2">
        <v>15.411</v>
      </c>
      <c r="P149" s="2">
        <v>15.869</v>
      </c>
      <c r="Q149" s="2">
        <v>16.334</v>
      </c>
      <c r="R149" s="2">
        <v>16.755</v>
      </c>
      <c r="S149" s="2">
        <v>17.184</v>
      </c>
      <c r="T149" s="2">
        <v>17.622</v>
      </c>
      <c r="U149" s="2">
        <v>18.068</v>
      </c>
      <c r="V149" s="2">
        <v>18.524</v>
      </c>
      <c r="W149" s="2">
        <v>18.988</v>
      </c>
      <c r="X149" s="2">
        <v>19.461</v>
      </c>
      <c r="Y149" s="2">
        <v>19.943</v>
      </c>
      <c r="Z149" s="2">
        <v>20.434</v>
      </c>
      <c r="AA149" s="2">
        <v>20.933</v>
      </c>
      <c r="AB149" s="2">
        <v>21.442</v>
      </c>
      <c r="AC149" s="2">
        <v>21.959</v>
      </c>
      <c r="AD149" s="2">
        <v>22.487</v>
      </c>
      <c r="AE149" s="2">
        <v>23.021</v>
      </c>
      <c r="AF149" s="2">
        <v>23.566</v>
      </c>
      <c r="AG149" s="2">
        <v>24.119</v>
      </c>
      <c r="AH149" s="2">
        <v>24.681</v>
      </c>
      <c r="AI149" s="2">
        <v>25.251</v>
      </c>
      <c r="AJ149" s="2">
        <v>25.536</v>
      </c>
      <c r="AK149" s="2">
        <v>25.796</v>
      </c>
      <c r="AL149" s="2">
        <v>26.058</v>
      </c>
      <c r="AM149" s="2">
        <v>26.321</v>
      </c>
      <c r="AN149" s="2">
        <v>26.586</v>
      </c>
      <c r="AO149" s="2">
        <v>26.853</v>
      </c>
      <c r="AP149" s="2">
        <v>27.121</v>
      </c>
      <c r="AQ149" s="2">
        <v>27.391</v>
      </c>
      <c r="AR149" s="2">
        <v>27.663</v>
      </c>
      <c r="AS149" s="2">
        <v>27.936</v>
      </c>
      <c r="AT149" s="2">
        <v>28.211</v>
      </c>
      <c r="AU149" s="2">
        <v>28.814</v>
      </c>
      <c r="AV149" s="2">
        <v>29.425</v>
      </c>
      <c r="AW149" s="2">
        <v>30.043</v>
      </c>
      <c r="AX149" s="2">
        <v>30.67</v>
      </c>
      <c r="AY149" s="2">
        <v>31.301</v>
      </c>
      <c r="AZ149" s="2">
        <v>31.938</v>
      </c>
      <c r="BA149" s="2">
        <v>32.58</v>
      </c>
      <c r="BB149" s="2">
        <v>33.227</v>
      </c>
      <c r="BC149" s="2">
        <v>33.878</v>
      </c>
      <c r="BD149" s="2">
        <v>34.534</v>
      </c>
      <c r="BE149" s="2">
        <v>35.193</v>
      </c>
      <c r="BF149" s="2">
        <v>35.856</v>
      </c>
      <c r="BG149" s="2">
        <v>36.522</v>
      </c>
      <c r="BH149" s="2">
        <v>37.191</v>
      </c>
      <c r="BI149" s="2">
        <v>37.861</v>
      </c>
      <c r="BJ149" s="2">
        <v>38.534</v>
      </c>
      <c r="BK149" s="2">
        <v>39.207</v>
      </c>
      <c r="BL149" s="2">
        <v>39.882</v>
      </c>
      <c r="BM149" s="2">
        <v>40.556</v>
      </c>
      <c r="BN149" s="2">
        <v>41.231</v>
      </c>
      <c r="BO149" s="2">
        <v>1581.5110000000004</v>
      </c>
    </row>
    <row r="150" ht="14.25" customHeight="1">
      <c r="A150" s="2" t="s">
        <v>80</v>
      </c>
      <c r="B150" s="2">
        <v>4.39</v>
      </c>
      <c r="C150" s="2">
        <v>4.489</v>
      </c>
      <c r="D150" s="2">
        <v>4.59</v>
      </c>
      <c r="E150" s="2">
        <v>4.694</v>
      </c>
      <c r="F150" s="2">
        <v>4.8</v>
      </c>
      <c r="G150" s="2">
        <v>4.908</v>
      </c>
      <c r="H150" s="2">
        <v>5.018</v>
      </c>
      <c r="I150" s="2">
        <v>5.249</v>
      </c>
      <c r="J150" s="2">
        <v>5.505</v>
      </c>
      <c r="K150" s="2">
        <v>5.773</v>
      </c>
      <c r="L150" s="2">
        <v>6.053</v>
      </c>
      <c r="M150" s="2">
        <v>6.345</v>
      </c>
      <c r="N150" s="2">
        <v>6.651</v>
      </c>
      <c r="O150" s="2">
        <v>6.97</v>
      </c>
      <c r="P150" s="2">
        <v>7.304</v>
      </c>
      <c r="Q150" s="2">
        <v>7.652</v>
      </c>
      <c r="R150" s="2">
        <v>8.015</v>
      </c>
      <c r="S150" s="2">
        <v>8.394</v>
      </c>
      <c r="T150" s="2">
        <v>8.636</v>
      </c>
      <c r="U150" s="2">
        <v>8.841</v>
      </c>
      <c r="V150" s="2">
        <v>9.05</v>
      </c>
      <c r="W150" s="2">
        <v>9.263</v>
      </c>
      <c r="X150" s="2">
        <v>9.481</v>
      </c>
      <c r="Y150" s="2">
        <v>9.704</v>
      </c>
      <c r="Z150" s="2">
        <v>9.931</v>
      </c>
      <c r="AA150" s="2">
        <v>10.163</v>
      </c>
      <c r="AB150" s="2">
        <v>10.4</v>
      </c>
      <c r="AC150" s="2">
        <v>10.641</v>
      </c>
      <c r="AD150" s="2">
        <v>10.934</v>
      </c>
      <c r="AE150" s="2">
        <v>11.243</v>
      </c>
      <c r="AF150" s="2">
        <v>11.56</v>
      </c>
      <c r="AG150" s="2">
        <v>11.885</v>
      </c>
      <c r="AH150" s="2">
        <v>12.218</v>
      </c>
      <c r="AI150" s="2">
        <v>12.558</v>
      </c>
      <c r="AJ150" s="2">
        <v>12.907</v>
      </c>
      <c r="AK150" s="2">
        <v>13.263</v>
      </c>
      <c r="AL150" s="2">
        <v>13.629</v>
      </c>
      <c r="AM150" s="2">
        <v>14.002</v>
      </c>
      <c r="AN150" s="2">
        <v>14.384</v>
      </c>
      <c r="AO150" s="2">
        <v>14.522</v>
      </c>
      <c r="AP150" s="2">
        <v>14.61</v>
      </c>
      <c r="AQ150" s="2">
        <v>14.698</v>
      </c>
      <c r="AR150" s="2">
        <v>14.786</v>
      </c>
      <c r="AS150" s="2">
        <v>14.875</v>
      </c>
      <c r="AT150" s="2">
        <v>14.964</v>
      </c>
      <c r="AU150" s="2">
        <v>15.054</v>
      </c>
      <c r="AV150" s="2">
        <v>15.144</v>
      </c>
      <c r="AW150" s="2">
        <v>15.235</v>
      </c>
      <c r="AX150" s="2">
        <v>15.326</v>
      </c>
      <c r="AY150" s="2">
        <v>15.429</v>
      </c>
      <c r="AZ150" s="2">
        <v>15.544</v>
      </c>
      <c r="BA150" s="2">
        <v>15.672</v>
      </c>
      <c r="BB150" s="2">
        <v>15.812</v>
      </c>
      <c r="BC150" s="2">
        <v>15.966</v>
      </c>
      <c r="BD150" s="2">
        <v>16.132</v>
      </c>
      <c r="BE150" s="2">
        <v>16.313</v>
      </c>
      <c r="BF150" s="2">
        <v>16.506</v>
      </c>
      <c r="BG150" s="2">
        <v>16.714</v>
      </c>
      <c r="BH150" s="2">
        <v>16.937</v>
      </c>
      <c r="BI150" s="2">
        <v>17.174</v>
      </c>
      <c r="BJ150" s="2">
        <v>17.427</v>
      </c>
      <c r="BK150" s="2">
        <v>17.695</v>
      </c>
      <c r="BL150" s="2">
        <v>17.98</v>
      </c>
      <c r="BM150" s="2">
        <v>18.28</v>
      </c>
      <c r="BN150" s="2">
        <v>18.598</v>
      </c>
      <c r="BO150" s="2">
        <v>758.8859999999999</v>
      </c>
    </row>
    <row r="151" ht="14.25" customHeight="1">
      <c r="A151" s="2" t="s">
        <v>81</v>
      </c>
      <c r="B151" s="2">
        <v>26.598</v>
      </c>
      <c r="C151" s="2">
        <v>27.241</v>
      </c>
      <c r="D151" s="2">
        <v>27.895</v>
      </c>
      <c r="E151" s="2">
        <v>28.558</v>
      </c>
      <c r="F151" s="2">
        <v>29.232</v>
      </c>
      <c r="G151" s="2">
        <v>29.913</v>
      </c>
      <c r="H151" s="2">
        <v>30.604</v>
      </c>
      <c r="I151" s="2">
        <v>31.304</v>
      </c>
      <c r="J151" s="2">
        <v>32.013</v>
      </c>
      <c r="K151" s="2">
        <v>32.729</v>
      </c>
      <c r="L151" s="2">
        <v>33.454</v>
      </c>
      <c r="M151" s="2">
        <v>34.271</v>
      </c>
      <c r="N151" s="2">
        <v>35.104</v>
      </c>
      <c r="O151" s="2">
        <v>35.944</v>
      </c>
      <c r="P151" s="2">
        <v>36.794</v>
      </c>
      <c r="Q151" s="2">
        <v>37.652</v>
      </c>
      <c r="R151" s="2">
        <v>38.519</v>
      </c>
      <c r="S151" s="2">
        <v>39.391</v>
      </c>
      <c r="T151" s="2">
        <v>40.271</v>
      </c>
      <c r="U151" s="2">
        <v>41.158</v>
      </c>
      <c r="V151" s="2">
        <v>42.044</v>
      </c>
      <c r="W151" s="2">
        <v>42.807</v>
      </c>
      <c r="X151" s="2">
        <v>43.574</v>
      </c>
      <c r="Y151" s="2">
        <v>44.345</v>
      </c>
      <c r="Z151" s="2">
        <v>45.119</v>
      </c>
      <c r="AA151" s="2">
        <v>45.893</v>
      </c>
      <c r="AB151" s="2">
        <v>46.671</v>
      </c>
      <c r="AC151" s="2">
        <v>47.45</v>
      </c>
      <c r="AD151" s="2">
        <v>48.232</v>
      </c>
      <c r="AE151" s="2">
        <v>49.012</v>
      </c>
      <c r="AF151" s="2">
        <v>49.794</v>
      </c>
      <c r="AG151" s="2">
        <v>50.576</v>
      </c>
      <c r="AH151" s="2">
        <v>51.814</v>
      </c>
      <c r="AI151" s="2">
        <v>53.109</v>
      </c>
      <c r="AJ151" s="2">
        <v>54.402</v>
      </c>
      <c r="AK151" s="2">
        <v>55.688</v>
      </c>
      <c r="AL151" s="2">
        <v>56.969</v>
      </c>
      <c r="AM151" s="2">
        <v>58.237</v>
      </c>
      <c r="AN151" s="2">
        <v>59.496</v>
      </c>
      <c r="AO151" s="2">
        <v>60.742</v>
      </c>
      <c r="AP151" s="2">
        <v>61.977</v>
      </c>
      <c r="AQ151" s="2">
        <v>62.922</v>
      </c>
      <c r="AR151" s="2">
        <v>63.856</v>
      </c>
      <c r="AS151" s="2">
        <v>64.78</v>
      </c>
      <c r="AT151" s="2">
        <v>65.694</v>
      </c>
      <c r="AU151" s="2">
        <v>66.594</v>
      </c>
      <c r="AV151" s="2">
        <v>67.483</v>
      </c>
      <c r="AW151" s="2">
        <v>68.36</v>
      </c>
      <c r="AX151" s="2">
        <v>69.225</v>
      </c>
      <c r="AY151" s="2">
        <v>70.075</v>
      </c>
      <c r="AZ151" s="2">
        <v>70.912</v>
      </c>
      <c r="BA151" s="2">
        <v>71.609</v>
      </c>
      <c r="BB151" s="2">
        <v>72.275</v>
      </c>
      <c r="BC151" s="2">
        <v>72.93</v>
      </c>
      <c r="BD151" s="2">
        <v>73.577</v>
      </c>
      <c r="BE151" s="2">
        <v>74.213</v>
      </c>
      <c r="BF151" s="2">
        <v>74.84</v>
      </c>
      <c r="BG151" s="2">
        <v>75.447</v>
      </c>
      <c r="BH151" s="2">
        <v>76.036</v>
      </c>
      <c r="BI151" s="2">
        <v>76.607</v>
      </c>
      <c r="BJ151" s="2">
        <v>77.16</v>
      </c>
      <c r="BK151" s="2">
        <v>77.696</v>
      </c>
      <c r="BL151" s="2">
        <v>78.214</v>
      </c>
      <c r="BM151" s="2">
        <v>78.716</v>
      </c>
      <c r="BN151" s="2">
        <v>79.201</v>
      </c>
      <c r="BO151" s="2">
        <v>3465.018</v>
      </c>
    </row>
    <row r="152" ht="14.25" customHeight="1">
      <c r="A152" s="2" t="s">
        <v>469</v>
      </c>
      <c r="B152" s="2">
        <v>11.173</v>
      </c>
      <c r="C152" s="2">
        <v>11.23</v>
      </c>
      <c r="D152" s="2">
        <v>11.288</v>
      </c>
      <c r="E152" s="2">
        <v>11.345</v>
      </c>
      <c r="F152" s="2">
        <v>11.404</v>
      </c>
      <c r="G152" s="2">
        <v>11.458</v>
      </c>
      <c r="H152" s="2">
        <v>11.393</v>
      </c>
      <c r="I152" s="2">
        <v>11.336</v>
      </c>
      <c r="J152" s="2">
        <v>11.516</v>
      </c>
      <c r="K152" s="2">
        <v>11.698</v>
      </c>
      <c r="L152" s="2">
        <v>11.893</v>
      </c>
      <c r="M152" s="2">
        <v>12.842</v>
      </c>
      <c r="N152" s="2">
        <v>13.858</v>
      </c>
      <c r="O152" s="2">
        <v>14.936</v>
      </c>
      <c r="P152" s="2">
        <v>16.085</v>
      </c>
      <c r="Q152" s="2">
        <v>17.304</v>
      </c>
      <c r="R152" s="2">
        <v>18.596</v>
      </c>
      <c r="S152" s="2">
        <v>19.958</v>
      </c>
      <c r="T152" s="2">
        <v>20.978</v>
      </c>
      <c r="U152" s="2">
        <v>21.607</v>
      </c>
      <c r="V152" s="2">
        <v>22.25</v>
      </c>
      <c r="W152" s="2">
        <v>22.905</v>
      </c>
      <c r="X152" s="2">
        <v>23.574</v>
      </c>
      <c r="Y152" s="2">
        <v>24.257</v>
      </c>
      <c r="Z152" s="2">
        <v>24.954</v>
      </c>
      <c r="AA152" s="2">
        <v>25.491</v>
      </c>
      <c r="AB152" s="2">
        <v>25.57</v>
      </c>
      <c r="AC152" s="2">
        <v>25.648</v>
      </c>
      <c r="AD152" s="2">
        <v>25.727</v>
      </c>
      <c r="AE152" s="2">
        <v>25.806</v>
      </c>
      <c r="AF152" s="2">
        <v>25.84</v>
      </c>
      <c r="AG152" s="2">
        <v>25.776</v>
      </c>
      <c r="AH152" s="2">
        <v>25.713</v>
      </c>
      <c r="AI152" s="2">
        <v>25.649</v>
      </c>
      <c r="AJ152" s="2">
        <v>25.586</v>
      </c>
      <c r="AK152" s="2">
        <v>25.638</v>
      </c>
      <c r="AL152" s="2">
        <v>26.008</v>
      </c>
      <c r="AM152" s="2">
        <v>26.379</v>
      </c>
      <c r="AN152" s="2">
        <v>26.755</v>
      </c>
      <c r="AO152" s="2">
        <v>27.134</v>
      </c>
      <c r="AP152" s="2">
        <v>27.706</v>
      </c>
      <c r="AQ152" s="2">
        <v>28.859</v>
      </c>
      <c r="AR152" s="2">
        <v>30.042</v>
      </c>
      <c r="AS152" s="2">
        <v>31.252</v>
      </c>
      <c r="AT152" s="2">
        <v>32.49</v>
      </c>
      <c r="AU152" s="2">
        <v>33.75</v>
      </c>
      <c r="AV152" s="2">
        <v>34.794</v>
      </c>
      <c r="AW152" s="2">
        <v>35.2</v>
      </c>
      <c r="AX152" s="2">
        <v>35.61</v>
      </c>
      <c r="AY152" s="2">
        <v>36.021</v>
      </c>
      <c r="AZ152" s="2">
        <v>36.434</v>
      </c>
      <c r="BA152" s="2">
        <v>36.849</v>
      </c>
      <c r="BB152" s="2">
        <v>37.267</v>
      </c>
      <c r="BC152" s="2">
        <v>37.685</v>
      </c>
      <c r="BD152" s="2">
        <v>38.106</v>
      </c>
      <c r="BE152" s="2">
        <v>38.529</v>
      </c>
      <c r="BF152" s="2">
        <v>38.954</v>
      </c>
      <c r="BG152" s="2">
        <v>39.38</v>
      </c>
      <c r="BH152" s="2">
        <v>39.808</v>
      </c>
      <c r="BI152" s="2">
        <v>40.238</v>
      </c>
      <c r="BJ152" s="2">
        <v>40.669</v>
      </c>
      <c r="BK152" s="2">
        <v>41.102</v>
      </c>
      <c r="BL152" s="2">
        <v>41.536</v>
      </c>
      <c r="BM152" s="2">
        <v>41.971</v>
      </c>
      <c r="BN152" s="2">
        <v>42.407</v>
      </c>
      <c r="BO152" s="2">
        <v>1705.217</v>
      </c>
    </row>
    <row r="153" ht="14.25" customHeight="1">
      <c r="A153" s="2" t="s">
        <v>82</v>
      </c>
      <c r="B153" s="2">
        <v>11.066</v>
      </c>
      <c r="C153" s="2">
        <v>11.361</v>
      </c>
      <c r="D153" s="2">
        <v>11.662</v>
      </c>
      <c r="E153" s="2">
        <v>11.97</v>
      </c>
      <c r="F153" s="2">
        <v>12.286</v>
      </c>
      <c r="G153" s="2">
        <v>12.608</v>
      </c>
      <c r="H153" s="2">
        <v>12.938</v>
      </c>
      <c r="I153" s="2">
        <v>13.274</v>
      </c>
      <c r="J153" s="2">
        <v>13.619</v>
      </c>
      <c r="K153" s="2">
        <v>13.971</v>
      </c>
      <c r="L153" s="2">
        <v>14.33</v>
      </c>
      <c r="M153" s="2">
        <v>14.697</v>
      </c>
      <c r="N153" s="2">
        <v>15.072</v>
      </c>
      <c r="O153" s="2">
        <v>15.454</v>
      </c>
      <c r="P153" s="2">
        <v>15.845</v>
      </c>
      <c r="Q153" s="2">
        <v>16.244</v>
      </c>
      <c r="R153" s="2">
        <v>16.651</v>
      </c>
      <c r="S153" s="2">
        <v>17.083</v>
      </c>
      <c r="T153" s="2">
        <v>17.54</v>
      </c>
      <c r="U153" s="2">
        <v>18.007</v>
      </c>
      <c r="V153" s="2">
        <v>18.484</v>
      </c>
      <c r="W153" s="2">
        <v>18.97</v>
      </c>
      <c r="X153" s="2">
        <v>19.466</v>
      </c>
      <c r="Y153" s="2">
        <v>19.972</v>
      </c>
      <c r="Z153" s="2">
        <v>20.488</v>
      </c>
      <c r="AA153" s="2">
        <v>21.013</v>
      </c>
      <c r="AB153" s="2">
        <v>21.548</v>
      </c>
      <c r="AC153" s="2">
        <v>22.069</v>
      </c>
      <c r="AD153" s="2">
        <v>22.482</v>
      </c>
      <c r="AE153" s="2">
        <v>22.899</v>
      </c>
      <c r="AF153" s="2">
        <v>23.322</v>
      </c>
      <c r="AG153" s="2">
        <v>23.751</v>
      </c>
      <c r="AH153" s="2">
        <v>24.186</v>
      </c>
      <c r="AI153" s="2">
        <v>24.624</v>
      </c>
      <c r="AJ153" s="2">
        <v>25.069</v>
      </c>
      <c r="AK153" s="2">
        <v>25.519</v>
      </c>
      <c r="AL153" s="2">
        <v>25.975</v>
      </c>
      <c r="AM153" s="2">
        <v>26.434</v>
      </c>
      <c r="AN153" s="2">
        <v>26.948</v>
      </c>
      <c r="AO153" s="2">
        <v>27.646</v>
      </c>
      <c r="AP153" s="2">
        <v>28.356</v>
      </c>
      <c r="AQ153" s="2">
        <v>29.075</v>
      </c>
      <c r="AR153" s="2">
        <v>29.806</v>
      </c>
      <c r="AS153" s="2">
        <v>30.547</v>
      </c>
      <c r="AT153" s="2">
        <v>31.3</v>
      </c>
      <c r="AU153" s="2">
        <v>32.06</v>
      </c>
      <c r="AV153" s="2">
        <v>32.832</v>
      </c>
      <c r="AW153" s="2">
        <v>33.612</v>
      </c>
      <c r="AX153" s="2">
        <v>34.403</v>
      </c>
      <c r="AY153" s="2">
        <v>35.2</v>
      </c>
      <c r="AZ153" s="2">
        <v>35.999</v>
      </c>
      <c r="BA153" s="2">
        <v>36.799</v>
      </c>
      <c r="BB153" s="2">
        <v>37.599</v>
      </c>
      <c r="BC153" s="2">
        <v>38.398</v>
      </c>
      <c r="BD153" s="2">
        <v>39.196</v>
      </c>
      <c r="BE153" s="2">
        <v>39.991</v>
      </c>
      <c r="BF153" s="2">
        <v>40.783</v>
      </c>
      <c r="BG153" s="2">
        <v>41.572</v>
      </c>
      <c r="BH153" s="2">
        <v>42.356</v>
      </c>
      <c r="BI153" s="2">
        <v>43.136</v>
      </c>
      <c r="BJ153" s="2">
        <v>43.909</v>
      </c>
      <c r="BK153" s="2">
        <v>44.677</v>
      </c>
      <c r="BL153" s="2">
        <v>45.437</v>
      </c>
      <c r="BM153" s="2">
        <v>46.189</v>
      </c>
      <c r="BN153" s="2">
        <v>46.934</v>
      </c>
      <c r="BO153" s="2">
        <v>1686.7089999999998</v>
      </c>
    </row>
    <row r="154" ht="14.25" customHeight="1">
      <c r="A154" s="2" t="s">
        <v>83</v>
      </c>
      <c r="B154" s="2">
        <v>90.129</v>
      </c>
      <c r="C154" s="2">
        <v>90.069</v>
      </c>
      <c r="D154" s="2">
        <v>90.008</v>
      </c>
      <c r="E154" s="2">
        <v>89.948</v>
      </c>
      <c r="F154" s="2">
        <v>89.886</v>
      </c>
      <c r="G154" s="2">
        <v>89.825</v>
      </c>
      <c r="H154" s="2">
        <v>89.764</v>
      </c>
      <c r="I154" s="2">
        <v>89.702</v>
      </c>
      <c r="J154" s="2">
        <v>89.682</v>
      </c>
      <c r="K154" s="2">
        <v>89.69</v>
      </c>
      <c r="L154" s="2">
        <v>89.699</v>
      </c>
      <c r="M154" s="2">
        <v>89.708</v>
      </c>
      <c r="N154" s="2">
        <v>89.716</v>
      </c>
      <c r="O154" s="2">
        <v>89.725</v>
      </c>
      <c r="P154" s="2">
        <v>89.734</v>
      </c>
      <c r="Q154" s="2">
        <v>89.742</v>
      </c>
      <c r="R154" s="2">
        <v>89.751</v>
      </c>
      <c r="S154" s="2">
        <v>89.76</v>
      </c>
      <c r="T154" s="2">
        <v>89.768</v>
      </c>
      <c r="U154" s="2">
        <v>89.777</v>
      </c>
      <c r="V154" s="2">
        <v>89.785</v>
      </c>
      <c r="W154" s="2">
        <v>89.794</v>
      </c>
      <c r="X154" s="2">
        <v>89.803</v>
      </c>
      <c r="Y154" s="2">
        <v>89.811</v>
      </c>
      <c r="Z154" s="2">
        <v>89.82</v>
      </c>
      <c r="AA154" s="2">
        <v>89.828</v>
      </c>
      <c r="AB154" s="2">
        <v>89.907</v>
      </c>
      <c r="AC154" s="2">
        <v>90.028</v>
      </c>
      <c r="AD154" s="2">
        <v>90.147</v>
      </c>
      <c r="AE154" s="2">
        <v>90.265</v>
      </c>
      <c r="AF154" s="2">
        <v>90.381</v>
      </c>
      <c r="AG154" s="2">
        <v>90.497</v>
      </c>
      <c r="AH154" s="2">
        <v>90.611</v>
      </c>
      <c r="AI154" s="2">
        <v>90.723</v>
      </c>
      <c r="AJ154" s="2">
        <v>90.835</v>
      </c>
      <c r="AK154" s="2">
        <v>90.946</v>
      </c>
      <c r="AL154" s="2">
        <v>91.181</v>
      </c>
      <c r="AM154" s="2">
        <v>91.492</v>
      </c>
      <c r="AN154" s="2">
        <v>91.793</v>
      </c>
      <c r="AO154" s="2">
        <v>92.085</v>
      </c>
      <c r="AP154" s="2">
        <v>92.368</v>
      </c>
      <c r="AQ154" s="2">
        <v>92.641</v>
      </c>
      <c r="AR154" s="2">
        <v>92.905</v>
      </c>
      <c r="AS154" s="2">
        <v>93.16</v>
      </c>
      <c r="AT154" s="2">
        <v>93.407</v>
      </c>
      <c r="AU154" s="2">
        <v>93.645</v>
      </c>
      <c r="AV154" s="2">
        <v>93.784</v>
      </c>
      <c r="AW154" s="2">
        <v>93.857</v>
      </c>
      <c r="AX154" s="2">
        <v>93.929</v>
      </c>
      <c r="AY154" s="2">
        <v>94.001</v>
      </c>
      <c r="AZ154" s="2">
        <v>94.072</v>
      </c>
      <c r="BA154" s="2">
        <v>94.141</v>
      </c>
      <c r="BB154" s="2">
        <v>94.211</v>
      </c>
      <c r="BC154" s="2">
        <v>94.279</v>
      </c>
      <c r="BD154" s="2">
        <v>94.347</v>
      </c>
      <c r="BE154" s="2">
        <v>94.414</v>
      </c>
      <c r="BF154" s="2">
        <v>94.48</v>
      </c>
      <c r="BG154" s="2">
        <v>94.546</v>
      </c>
      <c r="BH154" s="2">
        <v>94.612</v>
      </c>
      <c r="BI154" s="2">
        <v>94.678</v>
      </c>
      <c r="BJ154" s="2">
        <v>94.744</v>
      </c>
      <c r="BK154" s="2">
        <v>94.81</v>
      </c>
      <c r="BL154" s="2">
        <v>94.875</v>
      </c>
      <c r="BM154" s="2">
        <v>94.941</v>
      </c>
      <c r="BN154" s="2">
        <v>95.006</v>
      </c>
      <c r="BO154" s="2">
        <v>5957.668</v>
      </c>
    </row>
    <row r="155" ht="14.25" customHeight="1">
      <c r="A155" s="2" t="s">
        <v>549</v>
      </c>
      <c r="B155" s="2">
        <v>35.584</v>
      </c>
      <c r="C155" s="2">
        <v>36.959</v>
      </c>
      <c r="D155" s="2">
        <v>38.358</v>
      </c>
      <c r="E155" s="2">
        <v>39.776</v>
      </c>
      <c r="F155" s="2">
        <v>41.214</v>
      </c>
      <c r="G155" s="2">
        <v>42.663</v>
      </c>
      <c r="H155" s="2">
        <v>44.126</v>
      </c>
      <c r="I155" s="2">
        <v>45.6</v>
      </c>
      <c r="J155" s="2">
        <v>48.229</v>
      </c>
      <c r="K155" s="2">
        <v>50.861</v>
      </c>
      <c r="L155" s="2">
        <v>53.492</v>
      </c>
      <c r="M155" s="2">
        <v>56.103</v>
      </c>
      <c r="N155" s="2">
        <v>58.685</v>
      </c>
      <c r="O155" s="2">
        <v>61.212</v>
      </c>
      <c r="P155" s="2">
        <v>61.093</v>
      </c>
      <c r="Q155" s="2">
        <v>60.632</v>
      </c>
      <c r="R155" s="2">
        <v>60.168</v>
      </c>
      <c r="S155" s="2">
        <v>59.704</v>
      </c>
      <c r="T155" s="2">
        <v>59.237</v>
      </c>
      <c r="U155" s="2">
        <v>58.769</v>
      </c>
      <c r="V155" s="2">
        <v>58.298</v>
      </c>
      <c r="W155" s="2">
        <v>58.826</v>
      </c>
      <c r="X155" s="2">
        <v>59.614</v>
      </c>
      <c r="Y155" s="2">
        <v>60.396</v>
      </c>
      <c r="Z155" s="2">
        <v>61.175</v>
      </c>
      <c r="AA155" s="2">
        <v>61.945</v>
      </c>
      <c r="AB155" s="2">
        <v>62.711</v>
      </c>
      <c r="AC155" s="2">
        <v>63.47</v>
      </c>
      <c r="AD155" s="2">
        <v>64.224</v>
      </c>
      <c r="AE155" s="2">
        <v>64.714</v>
      </c>
      <c r="AF155" s="2">
        <v>65.054</v>
      </c>
      <c r="AG155" s="2">
        <v>65.392</v>
      </c>
      <c r="AH155" s="2">
        <v>65.728</v>
      </c>
      <c r="AI155" s="2">
        <v>66.063</v>
      </c>
      <c r="AJ155" s="2">
        <v>66.396</v>
      </c>
      <c r="AK155" s="2">
        <v>66.727</v>
      </c>
      <c r="AL155" s="2">
        <v>67.058</v>
      </c>
      <c r="AM155" s="2">
        <v>67.385</v>
      </c>
      <c r="AN155" s="2">
        <v>67.712</v>
      </c>
      <c r="AO155" s="2">
        <v>68.053</v>
      </c>
      <c r="AP155" s="2">
        <v>68.58</v>
      </c>
      <c r="AQ155" s="2">
        <v>69.101</v>
      </c>
      <c r="AR155" s="2">
        <v>69.618</v>
      </c>
      <c r="AS155" s="2">
        <v>70.13</v>
      </c>
      <c r="AT155" s="2">
        <v>70.637</v>
      </c>
      <c r="AU155" s="2">
        <v>71.138</v>
      </c>
      <c r="AV155" s="2">
        <v>71.635</v>
      </c>
      <c r="AW155" s="2">
        <v>72.126</v>
      </c>
      <c r="AX155" s="2">
        <v>72.613</v>
      </c>
      <c r="AY155" s="2">
        <v>73.093</v>
      </c>
      <c r="AZ155" s="2">
        <v>73.568</v>
      </c>
      <c r="BA155" s="2">
        <v>74.038</v>
      </c>
      <c r="BB155" s="2">
        <v>74.498</v>
      </c>
      <c r="BC155" s="2">
        <v>74.946</v>
      </c>
      <c r="BD155" s="2">
        <v>75.384</v>
      </c>
      <c r="BE155" s="2">
        <v>75.811</v>
      </c>
      <c r="BF155" s="2">
        <v>76.228</v>
      </c>
      <c r="BG155" s="2">
        <v>76.634</v>
      </c>
      <c r="BH155" s="2">
        <v>77.031</v>
      </c>
      <c r="BI155" s="2">
        <v>77.417</v>
      </c>
      <c r="BJ155" s="2">
        <v>77.794</v>
      </c>
      <c r="BK155" s="2">
        <v>78.162</v>
      </c>
      <c r="BL155" s="2">
        <v>78.52</v>
      </c>
      <c r="BM155" s="2">
        <v>78.868</v>
      </c>
      <c r="BN155" s="2">
        <v>79.208</v>
      </c>
      <c r="BO155" s="2">
        <v>4150.184</v>
      </c>
    </row>
    <row r="156" ht="14.25" customHeight="1">
      <c r="A156" s="2" t="s">
        <v>470</v>
      </c>
      <c r="B156" s="2">
        <v>6.88</v>
      </c>
      <c r="C156" s="2">
        <v>7.435</v>
      </c>
      <c r="D156" s="2">
        <v>8.031</v>
      </c>
      <c r="E156" s="2">
        <v>8.671</v>
      </c>
      <c r="F156" s="2">
        <v>9.357</v>
      </c>
      <c r="G156" s="2">
        <v>10.09</v>
      </c>
      <c r="H156" s="2">
        <v>10.874</v>
      </c>
      <c r="I156" s="2">
        <v>11.712</v>
      </c>
      <c r="J156" s="2">
        <v>12.606</v>
      </c>
      <c r="K156" s="2">
        <v>13.554</v>
      </c>
      <c r="L156" s="2">
        <v>14.564</v>
      </c>
      <c r="M156" s="2">
        <v>15.636</v>
      </c>
      <c r="N156" s="2">
        <v>16.773</v>
      </c>
      <c r="O156" s="2">
        <v>17.971</v>
      </c>
      <c r="P156" s="2">
        <v>19.237</v>
      </c>
      <c r="Q156" s="2">
        <v>20.569</v>
      </c>
      <c r="R156" s="2">
        <v>21.971</v>
      </c>
      <c r="S156" s="2">
        <v>23.327</v>
      </c>
      <c r="T156" s="2">
        <v>24.627</v>
      </c>
      <c r="U156" s="2">
        <v>25.975</v>
      </c>
      <c r="V156" s="2">
        <v>27.371</v>
      </c>
      <c r="W156" s="2">
        <v>28.81</v>
      </c>
      <c r="X156" s="2">
        <v>30.295</v>
      </c>
      <c r="Y156" s="2">
        <v>31.822</v>
      </c>
      <c r="Z156" s="2">
        <v>33.391</v>
      </c>
      <c r="AA156" s="2">
        <v>34.994</v>
      </c>
      <c r="AB156" s="2">
        <v>36.634</v>
      </c>
      <c r="AC156" s="2">
        <v>38.305</v>
      </c>
      <c r="AD156" s="2">
        <v>39.57</v>
      </c>
      <c r="AE156" s="2">
        <v>39.447</v>
      </c>
      <c r="AF156" s="2">
        <v>39.323</v>
      </c>
      <c r="AG156" s="2">
        <v>39.199</v>
      </c>
      <c r="AH156" s="2">
        <v>39.075</v>
      </c>
      <c r="AI156" s="2">
        <v>38.952</v>
      </c>
      <c r="AJ156" s="2">
        <v>38.829</v>
      </c>
      <c r="AK156" s="2">
        <v>38.705</v>
      </c>
      <c r="AL156" s="2">
        <v>38.582</v>
      </c>
      <c r="AM156" s="2">
        <v>38.459</v>
      </c>
      <c r="AN156" s="2">
        <v>38.337</v>
      </c>
      <c r="AO156" s="2">
        <v>38.214</v>
      </c>
      <c r="AP156" s="2">
        <v>38.091</v>
      </c>
      <c r="AQ156" s="2">
        <v>38.616</v>
      </c>
      <c r="AR156" s="2">
        <v>39.48</v>
      </c>
      <c r="AS156" s="2">
        <v>40.351</v>
      </c>
      <c r="AT156" s="2">
        <v>41.229</v>
      </c>
      <c r="AU156" s="2">
        <v>42.111</v>
      </c>
      <c r="AV156" s="2">
        <v>42.998</v>
      </c>
      <c r="AW156" s="2">
        <v>43.89</v>
      </c>
      <c r="AX156" s="2">
        <v>44.788</v>
      </c>
      <c r="AY156" s="2">
        <v>45.686</v>
      </c>
      <c r="AZ156" s="2">
        <v>46.588</v>
      </c>
      <c r="BA156" s="2">
        <v>47.493</v>
      </c>
      <c r="BB156" s="2">
        <v>48.4</v>
      </c>
      <c r="BC156" s="2">
        <v>49.306</v>
      </c>
      <c r="BD156" s="2">
        <v>50.203</v>
      </c>
      <c r="BE156" s="2">
        <v>51.089</v>
      </c>
      <c r="BF156" s="2">
        <v>51.962</v>
      </c>
      <c r="BG156" s="2">
        <v>52.824</v>
      </c>
      <c r="BH156" s="2">
        <v>53.672</v>
      </c>
      <c r="BI156" s="2">
        <v>54.507</v>
      </c>
      <c r="BJ156" s="2">
        <v>55.327</v>
      </c>
      <c r="BK156" s="2">
        <v>56.133</v>
      </c>
      <c r="BL156" s="2">
        <v>56.923</v>
      </c>
      <c r="BM156" s="2">
        <v>57.699</v>
      </c>
      <c r="BN156" s="2">
        <v>58.458</v>
      </c>
      <c r="BO156" s="2">
        <v>2235.9980000000005</v>
      </c>
    </row>
    <row r="157" ht="14.25" customHeight="1">
      <c r="A157" s="2" t="s">
        <v>84</v>
      </c>
      <c r="B157" s="2">
        <v>35.111</v>
      </c>
      <c r="C157" s="2">
        <v>35.829</v>
      </c>
      <c r="D157" s="2">
        <v>36.555</v>
      </c>
      <c r="E157" s="2">
        <v>37.286</v>
      </c>
      <c r="F157" s="2">
        <v>38.025</v>
      </c>
      <c r="G157" s="2">
        <v>38.767</v>
      </c>
      <c r="H157" s="2">
        <v>39.516</v>
      </c>
      <c r="I157" s="2">
        <v>40.269</v>
      </c>
      <c r="J157" s="2">
        <v>41.028</v>
      </c>
      <c r="K157" s="2">
        <v>41.79</v>
      </c>
      <c r="L157" s="2">
        <v>42.556</v>
      </c>
      <c r="M157" s="2">
        <v>43.326</v>
      </c>
      <c r="N157" s="2">
        <v>44.1</v>
      </c>
      <c r="O157" s="2">
        <v>43.881</v>
      </c>
      <c r="P157" s="2">
        <v>43.662</v>
      </c>
      <c r="Q157" s="2">
        <v>43.443</v>
      </c>
      <c r="R157" s="2">
        <v>43.224</v>
      </c>
      <c r="S157" s="2">
        <v>43.005</v>
      </c>
      <c r="T157" s="2">
        <v>42.787</v>
      </c>
      <c r="U157" s="2">
        <v>42.569</v>
      </c>
      <c r="V157" s="2">
        <v>42.351</v>
      </c>
      <c r="W157" s="2">
        <v>42.134</v>
      </c>
      <c r="X157" s="2">
        <v>41.917</v>
      </c>
      <c r="Y157" s="2">
        <v>41.701</v>
      </c>
      <c r="Z157" s="2">
        <v>42.012</v>
      </c>
      <c r="AA157" s="2">
        <v>42.325</v>
      </c>
      <c r="AB157" s="2">
        <v>42.639</v>
      </c>
      <c r="AC157" s="2">
        <v>42.953</v>
      </c>
      <c r="AD157" s="2">
        <v>43.269</v>
      </c>
      <c r="AE157" s="2">
        <v>43.584</v>
      </c>
      <c r="AF157" s="2">
        <v>43.9</v>
      </c>
      <c r="AG157" s="2">
        <v>43.777</v>
      </c>
      <c r="AH157" s="2">
        <v>43.653</v>
      </c>
      <c r="AI157" s="2">
        <v>43.53</v>
      </c>
      <c r="AJ157" s="2">
        <v>43.407</v>
      </c>
      <c r="AK157" s="2">
        <v>43.284</v>
      </c>
      <c r="AL157" s="2">
        <v>43.161</v>
      </c>
      <c r="AM157" s="2">
        <v>43.038</v>
      </c>
      <c r="AN157" s="2">
        <v>42.916</v>
      </c>
      <c r="AO157" s="2">
        <v>42.793</v>
      </c>
      <c r="AP157" s="2">
        <v>42.67</v>
      </c>
      <c r="AQ157" s="2">
        <v>42.559</v>
      </c>
      <c r="AR157" s="2">
        <v>42.447</v>
      </c>
      <c r="AS157" s="2">
        <v>42.335</v>
      </c>
      <c r="AT157" s="2">
        <v>42.223</v>
      </c>
      <c r="AU157" s="2">
        <v>42.112</v>
      </c>
      <c r="AV157" s="2">
        <v>42.0</v>
      </c>
      <c r="AW157" s="2">
        <v>41.889</v>
      </c>
      <c r="AX157" s="2">
        <v>41.777</v>
      </c>
      <c r="AY157" s="2">
        <v>41.666</v>
      </c>
      <c r="AZ157" s="2">
        <v>41.555</v>
      </c>
      <c r="BA157" s="2">
        <v>41.444</v>
      </c>
      <c r="BB157" s="2">
        <v>41.332</v>
      </c>
      <c r="BC157" s="2">
        <v>41.222</v>
      </c>
      <c r="BD157" s="2">
        <v>41.111</v>
      </c>
      <c r="BE157" s="2">
        <v>41.0</v>
      </c>
      <c r="BF157" s="2">
        <v>40.91</v>
      </c>
      <c r="BG157" s="2">
        <v>40.841</v>
      </c>
      <c r="BH157" s="2">
        <v>40.793</v>
      </c>
      <c r="BI157" s="2">
        <v>40.766</v>
      </c>
      <c r="BJ157" s="2">
        <v>40.76</v>
      </c>
      <c r="BK157" s="2">
        <v>40.775</v>
      </c>
      <c r="BL157" s="2">
        <v>40.81</v>
      </c>
      <c r="BM157" s="2">
        <v>40.867</v>
      </c>
      <c r="BN157" s="2">
        <v>40.944</v>
      </c>
      <c r="BO157" s="2">
        <v>2711.8810000000003</v>
      </c>
    </row>
    <row r="158" ht="14.25" customHeight="1">
      <c r="A158" s="2" t="s">
        <v>85</v>
      </c>
      <c r="B158" s="2">
        <v>50.753</v>
      </c>
      <c r="C158" s="2">
        <v>51.59</v>
      </c>
      <c r="D158" s="2">
        <v>52.428</v>
      </c>
      <c r="E158" s="2">
        <v>53.265</v>
      </c>
      <c r="F158" s="2">
        <v>54.1</v>
      </c>
      <c r="G158" s="2">
        <v>54.931</v>
      </c>
      <c r="H158" s="2">
        <v>55.761</v>
      </c>
      <c r="I158" s="2">
        <v>56.587</v>
      </c>
      <c r="J158" s="2">
        <v>57.411</v>
      </c>
      <c r="K158" s="2">
        <v>58.229</v>
      </c>
      <c r="L158" s="2">
        <v>59.021</v>
      </c>
      <c r="M158" s="2">
        <v>59.779</v>
      </c>
      <c r="N158" s="2">
        <v>60.532</v>
      </c>
      <c r="O158" s="2">
        <v>61.279</v>
      </c>
      <c r="P158" s="2">
        <v>62.022</v>
      </c>
      <c r="Q158" s="2">
        <v>62.759</v>
      </c>
      <c r="R158" s="2">
        <v>63.491</v>
      </c>
      <c r="S158" s="2">
        <v>64.215</v>
      </c>
      <c r="T158" s="2">
        <v>64.934</v>
      </c>
      <c r="U158" s="2">
        <v>65.646</v>
      </c>
      <c r="V158" s="2">
        <v>66.339</v>
      </c>
      <c r="W158" s="2">
        <v>66.87</v>
      </c>
      <c r="X158" s="2">
        <v>67.396</v>
      </c>
      <c r="Y158" s="2">
        <v>67.919</v>
      </c>
      <c r="Z158" s="2">
        <v>68.437</v>
      </c>
      <c r="AA158" s="2">
        <v>68.95</v>
      </c>
      <c r="AB158" s="2">
        <v>69.459</v>
      </c>
      <c r="AC158" s="2">
        <v>69.963</v>
      </c>
      <c r="AD158" s="2">
        <v>70.462</v>
      </c>
      <c r="AE158" s="2">
        <v>70.956</v>
      </c>
      <c r="AF158" s="2">
        <v>71.419</v>
      </c>
      <c r="AG158" s="2">
        <v>71.816</v>
      </c>
      <c r="AH158" s="2">
        <v>72.209</v>
      </c>
      <c r="AI158" s="2">
        <v>72.598</v>
      </c>
      <c r="AJ158" s="2">
        <v>72.985</v>
      </c>
      <c r="AK158" s="2">
        <v>73.368</v>
      </c>
      <c r="AL158" s="2">
        <v>73.67</v>
      </c>
      <c r="AM158" s="2">
        <v>73.929</v>
      </c>
      <c r="AN158" s="2">
        <v>74.186</v>
      </c>
      <c r="AO158" s="2">
        <v>74.441</v>
      </c>
      <c r="AP158" s="2">
        <v>74.722</v>
      </c>
      <c r="AQ158" s="2">
        <v>75.045</v>
      </c>
      <c r="AR158" s="2">
        <v>75.365</v>
      </c>
      <c r="AS158" s="2">
        <v>75.682</v>
      </c>
      <c r="AT158" s="2">
        <v>75.997</v>
      </c>
      <c r="AU158" s="2">
        <v>76.308</v>
      </c>
      <c r="AV158" s="2">
        <v>76.616</v>
      </c>
      <c r="AW158" s="2">
        <v>76.92</v>
      </c>
      <c r="AX158" s="2">
        <v>77.222</v>
      </c>
      <c r="AY158" s="2">
        <v>77.52</v>
      </c>
      <c r="AZ158" s="2">
        <v>77.815</v>
      </c>
      <c r="BA158" s="2">
        <v>78.111</v>
      </c>
      <c r="BB158" s="2">
        <v>78.405</v>
      </c>
      <c r="BC158" s="2">
        <v>78.699</v>
      </c>
      <c r="BD158" s="2">
        <v>78.993</v>
      </c>
      <c r="BE158" s="2">
        <v>79.285</v>
      </c>
      <c r="BF158" s="2">
        <v>79.577</v>
      </c>
      <c r="BG158" s="2">
        <v>79.867</v>
      </c>
      <c r="BH158" s="2">
        <v>80.156</v>
      </c>
      <c r="BI158" s="2">
        <v>80.444</v>
      </c>
      <c r="BJ158" s="2">
        <v>80.731</v>
      </c>
      <c r="BK158" s="2">
        <v>81.016</v>
      </c>
      <c r="BL158" s="2">
        <v>81.3</v>
      </c>
      <c r="BM158" s="2">
        <v>81.582</v>
      </c>
      <c r="BN158" s="2">
        <v>81.862</v>
      </c>
      <c r="BO158" s="2">
        <v>4545.345</v>
      </c>
    </row>
    <row r="159" ht="14.25" customHeight="1">
      <c r="A159" s="2" t="s">
        <v>550</v>
      </c>
      <c r="B159" s="2">
        <v>22.312</v>
      </c>
      <c r="C159" s="2">
        <v>22.553</v>
      </c>
      <c r="D159" s="2">
        <v>22.797</v>
      </c>
      <c r="E159" s="2">
        <v>23.042</v>
      </c>
      <c r="F159" s="2">
        <v>23.289</v>
      </c>
      <c r="G159" s="2">
        <v>23.537</v>
      </c>
      <c r="H159" s="2">
        <v>23.788</v>
      </c>
      <c r="I159" s="2">
        <v>24.04</v>
      </c>
      <c r="J159" s="2">
        <v>24.295</v>
      </c>
      <c r="K159" s="2">
        <v>24.551</v>
      </c>
      <c r="L159" s="2">
        <v>24.808</v>
      </c>
      <c r="M159" s="2">
        <v>25.068</v>
      </c>
      <c r="N159" s="2">
        <v>25.33</v>
      </c>
      <c r="O159" s="2">
        <v>25.593</v>
      </c>
      <c r="P159" s="2">
        <v>25.741</v>
      </c>
      <c r="Q159" s="2">
        <v>25.858</v>
      </c>
      <c r="R159" s="2">
        <v>25.975</v>
      </c>
      <c r="S159" s="2">
        <v>26.092</v>
      </c>
      <c r="T159" s="2">
        <v>26.209</v>
      </c>
      <c r="U159" s="2">
        <v>26.327</v>
      </c>
      <c r="V159" s="2">
        <v>26.445</v>
      </c>
      <c r="W159" s="2">
        <v>26.417</v>
      </c>
      <c r="X159" s="2">
        <v>26.35</v>
      </c>
      <c r="Y159" s="2">
        <v>26.283</v>
      </c>
      <c r="Z159" s="2">
        <v>26.216</v>
      </c>
      <c r="AA159" s="2">
        <v>26.149</v>
      </c>
      <c r="AB159" s="2">
        <v>26.083</v>
      </c>
      <c r="AC159" s="2">
        <v>26.016</v>
      </c>
      <c r="AD159" s="2">
        <v>25.95</v>
      </c>
      <c r="AE159" s="2">
        <v>25.884</v>
      </c>
      <c r="AF159" s="2">
        <v>25.818</v>
      </c>
      <c r="AG159" s="2">
        <v>25.752</v>
      </c>
      <c r="AH159" s="2">
        <v>25.686</v>
      </c>
      <c r="AI159" s="2">
        <v>25.62</v>
      </c>
      <c r="AJ159" s="2">
        <v>25.554</v>
      </c>
      <c r="AK159" s="2">
        <v>25.068</v>
      </c>
      <c r="AL159" s="2">
        <v>24.473</v>
      </c>
      <c r="AM159" s="2">
        <v>23.889</v>
      </c>
      <c r="AN159" s="2">
        <v>23.314</v>
      </c>
      <c r="AO159" s="2">
        <v>22.749</v>
      </c>
      <c r="AP159" s="2">
        <v>22.33</v>
      </c>
      <c r="AQ159" s="2">
        <v>22.33</v>
      </c>
      <c r="AR159" s="2">
        <v>22.33</v>
      </c>
      <c r="AS159" s="2">
        <v>22.33</v>
      </c>
      <c r="AT159" s="2">
        <v>22.33</v>
      </c>
      <c r="AU159" s="2">
        <v>22.33</v>
      </c>
      <c r="AV159" s="2">
        <v>22.324</v>
      </c>
      <c r="AW159" s="2">
        <v>22.317</v>
      </c>
      <c r="AX159" s="2">
        <v>22.311</v>
      </c>
      <c r="AY159" s="2">
        <v>22.305</v>
      </c>
      <c r="AZ159" s="2">
        <v>22.298</v>
      </c>
      <c r="BA159" s="2">
        <v>22.305</v>
      </c>
      <c r="BB159" s="2">
        <v>22.324</v>
      </c>
      <c r="BC159" s="2">
        <v>22.355</v>
      </c>
      <c r="BD159" s="2">
        <v>22.399</v>
      </c>
      <c r="BE159" s="2">
        <v>22.456</v>
      </c>
      <c r="BF159" s="2">
        <v>22.526</v>
      </c>
      <c r="BG159" s="2">
        <v>22.608</v>
      </c>
      <c r="BH159" s="2">
        <v>22.703</v>
      </c>
      <c r="BI159" s="2">
        <v>22.812</v>
      </c>
      <c r="BJ159" s="2">
        <v>22.933</v>
      </c>
      <c r="BK159" s="2">
        <v>23.068</v>
      </c>
      <c r="BL159" s="2">
        <v>23.217</v>
      </c>
      <c r="BM159" s="2">
        <v>23.379</v>
      </c>
      <c r="BN159" s="2">
        <v>23.555</v>
      </c>
      <c r="BO159" s="2">
        <v>1565.0959999999998</v>
      </c>
    </row>
    <row r="160" ht="14.25" customHeight="1">
      <c r="A160" s="2" t="s">
        <v>551</v>
      </c>
      <c r="B160" s="2">
        <v>28.7524985600796</v>
      </c>
      <c r="C160" s="2">
        <v>29.3521285493369</v>
      </c>
      <c r="D160" s="2">
        <v>29.9116214661269</v>
      </c>
      <c r="E160" s="2">
        <v>30.4756494297509</v>
      </c>
      <c r="F160" s="2">
        <v>31.0447781333266</v>
      </c>
      <c r="G160" s="2">
        <v>31.6343693536486</v>
      </c>
      <c r="H160" s="2">
        <v>32.1951310386273</v>
      </c>
      <c r="I160" s="2">
        <v>32.7057675242253</v>
      </c>
      <c r="J160" s="2">
        <v>33.2303734616614</v>
      </c>
      <c r="K160" s="2">
        <v>33.7569405807772</v>
      </c>
      <c r="L160" s="2">
        <v>34.2856463467761</v>
      </c>
      <c r="M160" s="2">
        <v>34.8029468926446</v>
      </c>
      <c r="N160" s="2">
        <v>35.3273025070315</v>
      </c>
      <c r="O160" s="2">
        <v>35.8628469825224</v>
      </c>
      <c r="P160" s="2">
        <v>36.3909714733238</v>
      </c>
      <c r="Q160" s="2">
        <v>36.9230632888889</v>
      </c>
      <c r="R160" s="2">
        <v>37.450890377476</v>
      </c>
      <c r="S160" s="2">
        <v>37.943978845142</v>
      </c>
      <c r="T160" s="2">
        <v>38.4301145756202</v>
      </c>
      <c r="U160" s="2">
        <v>38.9260014437874</v>
      </c>
      <c r="V160" s="2">
        <v>39.4613145538138</v>
      </c>
      <c r="W160" s="2">
        <v>40.06823122929</v>
      </c>
      <c r="X160" s="2">
        <v>40.6175308119145</v>
      </c>
      <c r="Y160" s="2">
        <v>41.066587415608</v>
      </c>
      <c r="Z160" s="2">
        <v>41.5114445586084</v>
      </c>
      <c r="AA160" s="2">
        <v>41.9454278575908</v>
      </c>
      <c r="AB160" s="2">
        <v>42.3910154195133</v>
      </c>
      <c r="AC160" s="2">
        <v>42.7954514205802</v>
      </c>
      <c r="AD160" s="2">
        <v>43.1234292750007</v>
      </c>
      <c r="AE160" s="2">
        <v>43.4000037469609</v>
      </c>
      <c r="AF160" s="2">
        <v>43.8068370432096</v>
      </c>
      <c r="AG160" s="2">
        <v>44.0795123882118</v>
      </c>
      <c r="AH160" s="2">
        <v>44.3573809697218</v>
      </c>
      <c r="AI160" s="2">
        <v>44.5998384140809</v>
      </c>
      <c r="AJ160" s="2">
        <v>44.849702761811</v>
      </c>
      <c r="AK160" s="2">
        <v>45.0932301839738</v>
      </c>
      <c r="AL160" s="2">
        <v>45.32659956848</v>
      </c>
      <c r="AM160" s="2">
        <v>45.5669810574772</v>
      </c>
      <c r="AN160" s="2">
        <v>45.8141394806376</v>
      </c>
      <c r="AO160" s="2">
        <v>46.0509723456934</v>
      </c>
      <c r="AP160" s="2">
        <v>46.3097051686053</v>
      </c>
      <c r="AQ160" s="2">
        <v>46.5710236847772</v>
      </c>
      <c r="AR160" s="2">
        <v>46.7797138854854</v>
      </c>
      <c r="AS160" s="2">
        <v>46.9843943102949</v>
      </c>
      <c r="AT160" s="2">
        <v>47.2402660312111</v>
      </c>
      <c r="AU160" s="2">
        <v>47.5273733319656</v>
      </c>
      <c r="AV160" s="2">
        <v>47.8062667483666</v>
      </c>
      <c r="AW160" s="2">
        <v>48.0610975452996</v>
      </c>
      <c r="AX160" s="2">
        <v>48.3006884352445</v>
      </c>
      <c r="AY160" s="2">
        <v>48.5380518857828</v>
      </c>
      <c r="AZ160" s="2">
        <v>48.7848007669425</v>
      </c>
      <c r="BA160" s="2">
        <v>48.9672920117843</v>
      </c>
      <c r="BB160" s="2">
        <v>49.1583162832565</v>
      </c>
      <c r="BC160" s="2">
        <v>49.4230571633408</v>
      </c>
      <c r="BD160" s="2">
        <v>49.7109583002776</v>
      </c>
      <c r="BE160" s="2">
        <v>50.0173125127403</v>
      </c>
      <c r="BF160" s="2">
        <v>50.299656741359</v>
      </c>
      <c r="BG160" s="2">
        <v>50.5591949528695</v>
      </c>
      <c r="BH160" s="2">
        <v>50.8132407261622</v>
      </c>
      <c r="BI160" s="2">
        <v>51.0649270322675</v>
      </c>
      <c r="BJ160" s="2">
        <v>51.3116626769768</v>
      </c>
      <c r="BK160" s="2">
        <v>51.5827288533318</v>
      </c>
      <c r="BL160" s="2">
        <v>51.8947837283827</v>
      </c>
      <c r="BM160" s="2">
        <v>52.2121790296612</v>
      </c>
      <c r="BN160" s="2">
        <v>52.5173231582965</v>
      </c>
      <c r="BO160" s="2">
        <v>2777.7646662976335</v>
      </c>
    </row>
    <row r="161" ht="14.25" customHeight="1">
      <c r="A161" s="2" t="s">
        <v>552</v>
      </c>
      <c r="B161" s="2">
        <v>28.7524985600796</v>
      </c>
      <c r="C161" s="2">
        <v>29.3521285493369</v>
      </c>
      <c r="D161" s="2">
        <v>29.9116214661269</v>
      </c>
      <c r="E161" s="2">
        <v>30.4756494297509</v>
      </c>
      <c r="F161" s="2">
        <v>31.0447781333266</v>
      </c>
      <c r="G161" s="2">
        <v>31.6343693536486</v>
      </c>
      <c r="H161" s="2">
        <v>32.1951310386273</v>
      </c>
      <c r="I161" s="2">
        <v>32.7057675242253</v>
      </c>
      <c r="J161" s="2">
        <v>33.2303734616614</v>
      </c>
      <c r="K161" s="2">
        <v>33.7569405807772</v>
      </c>
      <c r="L161" s="2">
        <v>34.2856463467761</v>
      </c>
      <c r="M161" s="2">
        <v>34.8029468926446</v>
      </c>
      <c r="N161" s="2">
        <v>35.3273025070314</v>
      </c>
      <c r="O161" s="2">
        <v>35.8628469825224</v>
      </c>
      <c r="P161" s="2">
        <v>36.3909714733238</v>
      </c>
      <c r="Q161" s="2">
        <v>36.9230632888889</v>
      </c>
      <c r="R161" s="2">
        <v>37.450890377476</v>
      </c>
      <c r="S161" s="2">
        <v>37.943978845142</v>
      </c>
      <c r="T161" s="2">
        <v>38.4301145756202</v>
      </c>
      <c r="U161" s="2">
        <v>38.9260014437874</v>
      </c>
      <c r="V161" s="2">
        <v>39.4613145538137</v>
      </c>
      <c r="W161" s="2">
        <v>40.06823122929</v>
      </c>
      <c r="X161" s="2">
        <v>40.6175308119145</v>
      </c>
      <c r="Y161" s="2">
        <v>41.066587415608</v>
      </c>
      <c r="Z161" s="2">
        <v>41.5114445586084</v>
      </c>
      <c r="AA161" s="2">
        <v>41.9454278575908</v>
      </c>
      <c r="AB161" s="2">
        <v>42.3910154195133</v>
      </c>
      <c r="AC161" s="2">
        <v>42.7954514205802</v>
      </c>
      <c r="AD161" s="2">
        <v>43.1234292750007</v>
      </c>
      <c r="AE161" s="2">
        <v>43.4000037469609</v>
      </c>
      <c r="AF161" s="2">
        <v>43.6752516754811</v>
      </c>
      <c r="AG161" s="2">
        <v>43.9443697415699</v>
      </c>
      <c r="AH161" s="2">
        <v>44.2185730852561</v>
      </c>
      <c r="AI161" s="2">
        <v>44.4569980419001</v>
      </c>
      <c r="AJ161" s="2">
        <v>44.7025928872495</v>
      </c>
      <c r="AK161" s="2">
        <v>44.9415847793744</v>
      </c>
      <c r="AL161" s="2">
        <v>45.1701388537496</v>
      </c>
      <c r="AM161" s="2">
        <v>45.4055833408665</v>
      </c>
      <c r="AN161" s="2">
        <v>45.6517895293643</v>
      </c>
      <c r="AO161" s="2">
        <v>45.8883005442523</v>
      </c>
      <c r="AP161" s="2">
        <v>46.1467250112561</v>
      </c>
      <c r="AQ161" s="2">
        <v>46.4077039631217</v>
      </c>
      <c r="AR161" s="2">
        <v>46.6156653261379</v>
      </c>
      <c r="AS161" s="2">
        <v>46.819670048026</v>
      </c>
      <c r="AT161" s="2">
        <v>47.0753059912818</v>
      </c>
      <c r="AU161" s="2">
        <v>47.3624027353742</v>
      </c>
      <c r="AV161" s="2">
        <v>47.6412490272859</v>
      </c>
      <c r="AW161" s="2">
        <v>47.8957197666865</v>
      </c>
      <c r="AX161" s="2">
        <v>48.1345078305976</v>
      </c>
      <c r="AY161" s="2">
        <v>48.371225969382</v>
      </c>
      <c r="AZ161" s="2">
        <v>48.6173822028922</v>
      </c>
      <c r="BA161" s="2">
        <v>48.7988261588752</v>
      </c>
      <c r="BB161" s="2">
        <v>48.9887452049583</v>
      </c>
      <c r="BC161" s="2">
        <v>49.2527804483742</v>
      </c>
      <c r="BD161" s="2">
        <v>49.5400775372725</v>
      </c>
      <c r="BE161" s="2">
        <v>49.8457822425934</v>
      </c>
      <c r="BF161" s="2">
        <v>50.1272231726775</v>
      </c>
      <c r="BG161" s="2">
        <v>50.3861773229214</v>
      </c>
      <c r="BH161" s="2">
        <v>50.6387662527733</v>
      </c>
      <c r="BI161" s="2">
        <v>50.8890037110977</v>
      </c>
      <c r="BJ161" s="2">
        <v>51.1342115026342</v>
      </c>
      <c r="BK161" s="2">
        <v>51.4038422701024</v>
      </c>
      <c r="BL161" s="2">
        <v>51.7147486556237</v>
      </c>
      <c r="BM161" s="2">
        <v>52.0311420435838</v>
      </c>
      <c r="BN161" s="2">
        <v>52.3351791276276</v>
      </c>
      <c r="BO161" s="2">
        <v>2772.0127031218753</v>
      </c>
    </row>
    <row r="162" ht="14.25" customHeight="1">
      <c r="A162" s="2" t="s">
        <v>553</v>
      </c>
      <c r="B162" s="2">
        <v>29.7173094294903</v>
      </c>
      <c r="C162" s="2">
        <v>30.3447686912329</v>
      </c>
      <c r="D162" s="2">
        <v>30.9403946255064</v>
      </c>
      <c r="E162" s="2">
        <v>31.5390808881518</v>
      </c>
      <c r="F162" s="2">
        <v>32.1509098742991</v>
      </c>
      <c r="G162" s="2">
        <v>32.7802585613654</v>
      </c>
      <c r="H162" s="2">
        <v>33.3776217017058</v>
      </c>
      <c r="I162" s="2">
        <v>33.9398827552513</v>
      </c>
      <c r="J162" s="2">
        <v>34.5043453441434</v>
      </c>
      <c r="K162" s="2">
        <v>35.0783433001271</v>
      </c>
      <c r="L162" s="2">
        <v>35.6606356527893</v>
      </c>
      <c r="M162" s="2">
        <v>36.2317413370043</v>
      </c>
      <c r="N162" s="2">
        <v>36.806766094829</v>
      </c>
      <c r="O162" s="2">
        <v>37.4018440039363</v>
      </c>
      <c r="P162" s="2">
        <v>37.9829987280592</v>
      </c>
      <c r="Q162" s="2">
        <v>38.5577972418805</v>
      </c>
      <c r="R162" s="2">
        <v>39.1331769792024</v>
      </c>
      <c r="S162" s="2">
        <v>39.6799014632571</v>
      </c>
      <c r="T162" s="2">
        <v>40.220000735059</v>
      </c>
      <c r="U162" s="2">
        <v>40.7718466260668</v>
      </c>
      <c r="V162" s="2">
        <v>41.3580544931825</v>
      </c>
      <c r="W162" s="2">
        <v>42.0043570373268</v>
      </c>
      <c r="X162" s="2">
        <v>42.5928664923967</v>
      </c>
      <c r="Y162" s="2">
        <v>43.0851529054065</v>
      </c>
      <c r="Z162" s="2">
        <v>43.5637788640537</v>
      </c>
      <c r="AA162" s="2">
        <v>44.0339488841391</v>
      </c>
      <c r="AB162" s="2">
        <v>44.5154867961315</v>
      </c>
      <c r="AC162" s="2">
        <v>44.947170161302</v>
      </c>
      <c r="AD162" s="2">
        <v>45.305611551887</v>
      </c>
      <c r="AE162" s="2">
        <v>45.6139106038603</v>
      </c>
      <c r="AF162" s="2">
        <v>45.9568684342278</v>
      </c>
      <c r="AG162" s="2">
        <v>46.2295007831584</v>
      </c>
      <c r="AH162" s="2">
        <v>46.5754368889077</v>
      </c>
      <c r="AI162" s="2">
        <v>46.8421574621475</v>
      </c>
      <c r="AJ162" s="2">
        <v>47.1025612281485</v>
      </c>
      <c r="AK162" s="2">
        <v>47.3566309947748</v>
      </c>
      <c r="AL162" s="2">
        <v>47.6103394828704</v>
      </c>
      <c r="AM162" s="2">
        <v>47.8758590889394</v>
      </c>
      <c r="AN162" s="2">
        <v>48.1457315226913</v>
      </c>
      <c r="AO162" s="2">
        <v>48.4058148633023</v>
      </c>
      <c r="AP162" s="2">
        <v>48.6964988287983</v>
      </c>
      <c r="AQ162" s="2">
        <v>48.9997815875061</v>
      </c>
      <c r="AR162" s="2">
        <v>49.2490750771855</v>
      </c>
      <c r="AS162" s="2">
        <v>49.4901716936847</v>
      </c>
      <c r="AT162" s="2">
        <v>49.7768179206833</v>
      </c>
      <c r="AU162" s="2">
        <v>50.0971512122545</v>
      </c>
      <c r="AV162" s="2">
        <v>50.4257855692334</v>
      </c>
      <c r="AW162" s="2">
        <v>50.7549179084716</v>
      </c>
      <c r="AX162" s="2">
        <v>51.0673958664026</v>
      </c>
      <c r="AY162" s="2">
        <v>51.3589935583313</v>
      </c>
      <c r="AZ162" s="2">
        <v>51.5706862807145</v>
      </c>
      <c r="BA162" s="2">
        <v>51.8030588293785</v>
      </c>
      <c r="BB162" s="2">
        <v>52.0625197732866</v>
      </c>
      <c r="BC162" s="2">
        <v>52.4065166891321</v>
      </c>
      <c r="BD162" s="2">
        <v>52.7368859867344</v>
      </c>
      <c r="BE162" s="2">
        <v>53.1229249093041</v>
      </c>
      <c r="BF162" s="2">
        <v>53.4653658066936</v>
      </c>
      <c r="BG162" s="2">
        <v>53.7232256564093</v>
      </c>
      <c r="BH162" s="2">
        <v>53.9242829286333</v>
      </c>
      <c r="BI162" s="2">
        <v>54.1425070359764</v>
      </c>
      <c r="BJ162" s="2">
        <v>54.4074384854235</v>
      </c>
      <c r="BK162" s="2">
        <v>54.5928225800166</v>
      </c>
      <c r="BL162" s="2">
        <v>54.9664853093317</v>
      </c>
      <c r="BM162" s="2">
        <v>55.3450146500146</v>
      </c>
      <c r="BN162" s="2">
        <v>55.7010004133504</v>
      </c>
      <c r="BO162" s="2">
        <v>2919.828187129162</v>
      </c>
    </row>
    <row r="163" ht="14.25" customHeight="1">
      <c r="A163" s="2" t="s">
        <v>554</v>
      </c>
      <c r="B163" s="2">
        <v>22.1304847533857</v>
      </c>
      <c r="C163" s="2">
        <v>22.614713037556</v>
      </c>
      <c r="D163" s="2">
        <v>23.0839382130246</v>
      </c>
      <c r="E163" s="2">
        <v>23.5279249540323</v>
      </c>
      <c r="F163" s="2">
        <v>23.979829008823</v>
      </c>
      <c r="G163" s="2">
        <v>24.1832788826084</v>
      </c>
      <c r="H163" s="2">
        <v>24.3932217237643</v>
      </c>
      <c r="I163" s="2">
        <v>24.6200548842038</v>
      </c>
      <c r="J163" s="2">
        <v>24.84805143786</v>
      </c>
      <c r="K163" s="2">
        <v>25.0732468785134</v>
      </c>
      <c r="L163" s="2">
        <v>25.2953173917827</v>
      </c>
      <c r="M163" s="2">
        <v>25.5430439231594</v>
      </c>
      <c r="N163" s="2">
        <v>25.8268601208318</v>
      </c>
      <c r="O163" s="2">
        <v>26.1471642762586</v>
      </c>
      <c r="P163" s="2">
        <v>26.5117324882269</v>
      </c>
      <c r="Q163" s="2">
        <v>26.8265673369826</v>
      </c>
      <c r="R163" s="2">
        <v>27.1972648220639</v>
      </c>
      <c r="S163" s="2">
        <v>27.5730665359753</v>
      </c>
      <c r="T163" s="2">
        <v>28.0587828645654</v>
      </c>
      <c r="U163" s="2">
        <v>28.6446440356847</v>
      </c>
      <c r="V163" s="2">
        <v>29.241386250761</v>
      </c>
      <c r="W163" s="2">
        <v>29.8506348958672</v>
      </c>
      <c r="X163" s="2">
        <v>30.4225501914295</v>
      </c>
      <c r="Y163" s="2">
        <v>30.9485626871993</v>
      </c>
      <c r="Z163" s="2">
        <v>31.4872955443586</v>
      </c>
      <c r="AA163" s="2">
        <v>32.025870651555</v>
      </c>
      <c r="AB163" s="2">
        <v>32.5615542882025</v>
      </c>
      <c r="AC163" s="2">
        <v>33.0920661168846</v>
      </c>
      <c r="AD163" s="2">
        <v>33.6198229604063</v>
      </c>
      <c r="AE163" s="2">
        <v>34.143319007198</v>
      </c>
      <c r="AF163" s="2">
        <v>34.681350012078</v>
      </c>
      <c r="AG163" s="2">
        <v>35.2017508751708</v>
      </c>
      <c r="AH163" s="2">
        <v>35.7193527664288</v>
      </c>
      <c r="AI163" s="2">
        <v>36.2349806909221</v>
      </c>
      <c r="AJ163" s="2">
        <v>36.7502149187685</v>
      </c>
      <c r="AK163" s="2">
        <v>37.2638166838519</v>
      </c>
      <c r="AL163" s="2">
        <v>37.7809010956635</v>
      </c>
      <c r="AM163" s="2">
        <v>38.3013815491138</v>
      </c>
      <c r="AN163" s="2">
        <v>38.8285853962861</v>
      </c>
      <c r="AO163" s="2">
        <v>39.3604082466266</v>
      </c>
      <c r="AP163" s="2">
        <v>39.9021243796827</v>
      </c>
      <c r="AQ163" s="2">
        <v>40.4991547923041</v>
      </c>
      <c r="AR163" s="2">
        <v>41.1482511141497</v>
      </c>
      <c r="AS163" s="2">
        <v>41.8051861756846</v>
      </c>
      <c r="AT163" s="2">
        <v>42.468161056164</v>
      </c>
      <c r="AU163" s="2">
        <v>43.1357017151638</v>
      </c>
      <c r="AV163" s="2">
        <v>43.7908125622922</v>
      </c>
      <c r="AW163" s="2">
        <v>44.4322338679196</v>
      </c>
      <c r="AX163" s="2">
        <v>45.0801497548705</v>
      </c>
      <c r="AY163" s="2">
        <v>45.7289632505739</v>
      </c>
      <c r="AZ163" s="2">
        <v>46.3760214227417</v>
      </c>
      <c r="BA163" s="2">
        <v>46.9959515643163</v>
      </c>
      <c r="BB163" s="2">
        <v>47.608436404347</v>
      </c>
      <c r="BC163" s="2">
        <v>48.2325391365215</v>
      </c>
      <c r="BD163" s="2">
        <v>48.8569398442886</v>
      </c>
      <c r="BE163" s="2">
        <v>49.4762959793181</v>
      </c>
      <c r="BF163" s="2">
        <v>50.0884468028491</v>
      </c>
      <c r="BG163" s="2">
        <v>50.6985080182169</v>
      </c>
      <c r="BH163" s="2">
        <v>51.3049706292102</v>
      </c>
      <c r="BI163" s="2">
        <v>51.901711293326</v>
      </c>
      <c r="BJ163" s="2">
        <v>52.4827584151324</v>
      </c>
      <c r="BK163" s="2">
        <v>53.0542232962802</v>
      </c>
      <c r="BL163" s="2">
        <v>53.6143634433195</v>
      </c>
      <c r="BM163" s="2">
        <v>54.1642810434769</v>
      </c>
      <c r="BN163" s="2">
        <v>54.7141582203946</v>
      </c>
      <c r="BO163" s="2">
        <v>2381.1553365806194</v>
      </c>
    </row>
    <row r="164" ht="14.25" customHeight="1">
      <c r="A164" s="2" t="s">
        <v>471</v>
      </c>
      <c r="B164" s="2">
        <v>23.424</v>
      </c>
      <c r="C164" s="2">
        <v>24.216</v>
      </c>
      <c r="D164" s="2">
        <v>25.027</v>
      </c>
      <c r="E164" s="2">
        <v>25.856</v>
      </c>
      <c r="F164" s="2">
        <v>26.703</v>
      </c>
      <c r="G164" s="2">
        <v>27.566</v>
      </c>
      <c r="H164" s="2">
        <v>28.447</v>
      </c>
      <c r="I164" s="2">
        <v>29.345</v>
      </c>
      <c r="J164" s="2">
        <v>30.26</v>
      </c>
      <c r="K164" s="2">
        <v>31.189</v>
      </c>
      <c r="L164" s="2">
        <v>32.068</v>
      </c>
      <c r="M164" s="2">
        <v>32.879</v>
      </c>
      <c r="N164" s="2">
        <v>33.701</v>
      </c>
      <c r="O164" s="2">
        <v>34.531</v>
      </c>
      <c r="P164" s="2">
        <v>35.372</v>
      </c>
      <c r="Q164" s="2">
        <v>36.222</v>
      </c>
      <c r="R164" s="2">
        <v>37.082</v>
      </c>
      <c r="S164" s="2">
        <v>37.948</v>
      </c>
      <c r="T164" s="2">
        <v>38.822</v>
      </c>
      <c r="U164" s="2">
        <v>39.64</v>
      </c>
      <c r="V164" s="2">
        <v>40.387</v>
      </c>
      <c r="W164" s="2">
        <v>41.136</v>
      </c>
      <c r="X164" s="2">
        <v>41.891</v>
      </c>
      <c r="Y164" s="2">
        <v>42.649</v>
      </c>
      <c r="Z164" s="2">
        <v>43.412</v>
      </c>
      <c r="AA164" s="2">
        <v>44.176</v>
      </c>
      <c r="AB164" s="2">
        <v>44.944</v>
      </c>
      <c r="AC164" s="2">
        <v>45.714</v>
      </c>
      <c r="AD164" s="2">
        <v>46.488</v>
      </c>
      <c r="AE164" s="2">
        <v>46.856</v>
      </c>
      <c r="AF164" s="2">
        <v>46.762</v>
      </c>
      <c r="AG164" s="2">
        <v>46.669</v>
      </c>
      <c r="AH164" s="2">
        <v>46.575</v>
      </c>
      <c r="AI164" s="2">
        <v>46.481</v>
      </c>
      <c r="AJ164" s="2">
        <v>46.387</v>
      </c>
      <c r="AK164" s="2">
        <v>46.294</v>
      </c>
      <c r="AL164" s="2">
        <v>46.2</v>
      </c>
      <c r="AM164" s="2">
        <v>45.797</v>
      </c>
      <c r="AN164" s="2">
        <v>45.394</v>
      </c>
      <c r="AO164" s="2">
        <v>44.992</v>
      </c>
      <c r="AP164" s="2">
        <v>44.589</v>
      </c>
      <c r="AQ164" s="2">
        <v>44.189</v>
      </c>
      <c r="AR164" s="2">
        <v>43.789</v>
      </c>
      <c r="AS164" s="2">
        <v>43.389</v>
      </c>
      <c r="AT164" s="2">
        <v>42.99</v>
      </c>
      <c r="AU164" s="2">
        <v>42.775</v>
      </c>
      <c r="AV164" s="2">
        <v>42.744</v>
      </c>
      <c r="AW164" s="2">
        <v>42.713</v>
      </c>
      <c r="AX164" s="2">
        <v>42.682</v>
      </c>
      <c r="AY164" s="2">
        <v>42.651</v>
      </c>
      <c r="AZ164" s="2">
        <v>42.62</v>
      </c>
      <c r="BA164" s="2">
        <v>42.589</v>
      </c>
      <c r="BB164" s="2">
        <v>42.558</v>
      </c>
      <c r="BC164" s="2">
        <v>42.527</v>
      </c>
      <c r="BD164" s="2">
        <v>42.496</v>
      </c>
      <c r="BE164" s="2">
        <v>42.49</v>
      </c>
      <c r="BF164" s="2">
        <v>42.511</v>
      </c>
      <c r="BG164" s="2">
        <v>42.557</v>
      </c>
      <c r="BH164" s="2">
        <v>42.629</v>
      </c>
      <c r="BI164" s="2">
        <v>42.726</v>
      </c>
      <c r="BJ164" s="2">
        <v>42.849</v>
      </c>
      <c r="BK164" s="2">
        <v>42.998</v>
      </c>
      <c r="BL164" s="2">
        <v>43.173</v>
      </c>
      <c r="BM164" s="2">
        <v>43.373</v>
      </c>
      <c r="BN164" s="2">
        <v>43.599</v>
      </c>
      <c r="BO164" s="2">
        <v>2603.708</v>
      </c>
    </row>
    <row r="165" ht="14.25" customHeight="1">
      <c r="A165" s="2" t="s">
        <v>555</v>
      </c>
      <c r="B165" s="2">
        <v>100.0</v>
      </c>
      <c r="C165" s="2">
        <v>100.0</v>
      </c>
      <c r="D165" s="2">
        <v>100.0</v>
      </c>
      <c r="E165" s="2">
        <v>100.0</v>
      </c>
      <c r="F165" s="2">
        <v>100.0</v>
      </c>
      <c r="G165" s="2">
        <v>100.0</v>
      </c>
      <c r="H165" s="2">
        <v>100.0</v>
      </c>
      <c r="I165" s="2">
        <v>100.0</v>
      </c>
      <c r="J165" s="2">
        <v>100.0</v>
      </c>
      <c r="K165" s="2">
        <v>100.0</v>
      </c>
      <c r="L165" s="2">
        <v>100.0</v>
      </c>
      <c r="M165" s="2">
        <v>100.0</v>
      </c>
      <c r="N165" s="2">
        <v>100.0</v>
      </c>
      <c r="O165" s="2">
        <v>100.0</v>
      </c>
      <c r="P165" s="2">
        <v>100.0</v>
      </c>
      <c r="Q165" s="2">
        <v>100.0</v>
      </c>
      <c r="R165" s="2">
        <v>100.0</v>
      </c>
      <c r="S165" s="2">
        <v>100.0</v>
      </c>
      <c r="T165" s="2">
        <v>100.0</v>
      </c>
      <c r="U165" s="2">
        <v>100.0</v>
      </c>
      <c r="V165" s="2">
        <v>100.0</v>
      </c>
      <c r="W165" s="2">
        <v>100.0</v>
      </c>
      <c r="X165" s="2">
        <v>100.0</v>
      </c>
      <c r="Y165" s="2">
        <v>100.0</v>
      </c>
      <c r="Z165" s="2">
        <v>100.0</v>
      </c>
      <c r="AA165" s="2">
        <v>100.0</v>
      </c>
      <c r="AB165" s="2">
        <v>100.0</v>
      </c>
      <c r="AC165" s="2">
        <v>100.0</v>
      </c>
      <c r="AD165" s="2">
        <v>100.0</v>
      </c>
      <c r="AE165" s="2">
        <v>100.0</v>
      </c>
      <c r="AF165" s="2">
        <v>100.0</v>
      </c>
      <c r="AG165" s="2">
        <v>100.0</v>
      </c>
      <c r="AH165" s="2">
        <v>100.0</v>
      </c>
      <c r="AI165" s="2">
        <v>100.0</v>
      </c>
      <c r="AJ165" s="2">
        <v>100.0</v>
      </c>
      <c r="AK165" s="2">
        <v>100.0</v>
      </c>
      <c r="AL165" s="2">
        <v>100.0</v>
      </c>
      <c r="AM165" s="2">
        <v>100.0</v>
      </c>
      <c r="AN165" s="2">
        <v>100.0</v>
      </c>
      <c r="AO165" s="2">
        <v>100.0</v>
      </c>
      <c r="AP165" s="2">
        <v>100.0</v>
      </c>
      <c r="AQ165" s="2">
        <v>100.0</v>
      </c>
      <c r="AR165" s="2">
        <v>100.0</v>
      </c>
      <c r="AS165" s="2">
        <v>100.0</v>
      </c>
      <c r="AT165" s="2">
        <v>100.0</v>
      </c>
      <c r="AU165" s="2">
        <v>100.0</v>
      </c>
      <c r="AV165" s="2">
        <v>100.0</v>
      </c>
      <c r="AW165" s="2">
        <v>100.0</v>
      </c>
      <c r="AX165" s="2">
        <v>100.0</v>
      </c>
      <c r="AY165" s="2">
        <v>100.0</v>
      </c>
      <c r="AZ165" s="2">
        <v>100.0</v>
      </c>
      <c r="BA165" s="2">
        <v>100.0</v>
      </c>
      <c r="BB165" s="2">
        <v>100.0</v>
      </c>
      <c r="BC165" s="2">
        <v>100.0</v>
      </c>
      <c r="BD165" s="2">
        <v>100.0</v>
      </c>
      <c r="BE165" s="2">
        <v>100.0</v>
      </c>
      <c r="BF165" s="2">
        <v>100.0</v>
      </c>
      <c r="BG165" s="2">
        <v>100.0</v>
      </c>
      <c r="BH165" s="2">
        <v>100.0</v>
      </c>
      <c r="BI165" s="2">
        <v>100.0</v>
      </c>
      <c r="BJ165" s="2">
        <v>100.0</v>
      </c>
      <c r="BK165" s="2">
        <v>100.0</v>
      </c>
      <c r="BL165" s="2">
        <v>100.0</v>
      </c>
      <c r="BM165" s="2">
        <v>100.0</v>
      </c>
      <c r="BN165" s="2">
        <v>100.0</v>
      </c>
      <c r="BO165" s="2">
        <v>6500.0</v>
      </c>
    </row>
    <row r="166" ht="14.25" customHeight="1">
      <c r="A166" s="2" t="s">
        <v>472</v>
      </c>
      <c r="B166" s="2">
        <v>35.679</v>
      </c>
      <c r="C166" s="2">
        <v>37.682</v>
      </c>
      <c r="D166" s="2">
        <v>39.73</v>
      </c>
      <c r="E166" s="2">
        <v>41.056</v>
      </c>
      <c r="F166" s="2">
        <v>41.585</v>
      </c>
      <c r="G166" s="2">
        <v>42.114</v>
      </c>
      <c r="H166" s="2">
        <v>42.647</v>
      </c>
      <c r="I166" s="2">
        <v>43.181</v>
      </c>
      <c r="J166" s="2">
        <v>43.717</v>
      </c>
      <c r="K166" s="2">
        <v>44.336</v>
      </c>
      <c r="L166" s="2">
        <v>45.052</v>
      </c>
      <c r="M166" s="2">
        <v>45.77</v>
      </c>
      <c r="N166" s="2">
        <v>46.491</v>
      </c>
      <c r="O166" s="2">
        <v>47.211</v>
      </c>
      <c r="P166" s="2">
        <v>47.933</v>
      </c>
      <c r="Q166" s="2">
        <v>48.656</v>
      </c>
      <c r="R166" s="2">
        <v>49.381</v>
      </c>
      <c r="S166" s="2">
        <v>50.103</v>
      </c>
      <c r="T166" s="2">
        <v>50.827</v>
      </c>
      <c r="U166" s="2">
        <v>51.488</v>
      </c>
      <c r="V166" s="2">
        <v>52.083</v>
      </c>
      <c r="W166" s="2">
        <v>52.676</v>
      </c>
      <c r="X166" s="2">
        <v>53.268</v>
      </c>
      <c r="Y166" s="2">
        <v>53.86</v>
      </c>
      <c r="Z166" s="2">
        <v>54.452</v>
      </c>
      <c r="AA166" s="2">
        <v>55.04</v>
      </c>
      <c r="AB166" s="2">
        <v>55.628</v>
      </c>
      <c r="AC166" s="2">
        <v>56.215</v>
      </c>
      <c r="AD166" s="2">
        <v>56.8</v>
      </c>
      <c r="AE166" s="2">
        <v>57.078</v>
      </c>
      <c r="AF166" s="2">
        <v>57.033</v>
      </c>
      <c r="AG166" s="2">
        <v>56.987</v>
      </c>
      <c r="AH166" s="2">
        <v>56.942</v>
      </c>
      <c r="AI166" s="2">
        <v>56.896</v>
      </c>
      <c r="AJ166" s="2">
        <v>56.851</v>
      </c>
      <c r="AK166" s="2">
        <v>56.805</v>
      </c>
      <c r="AL166" s="2">
        <v>56.76</v>
      </c>
      <c r="AM166" s="2">
        <v>56.714</v>
      </c>
      <c r="AN166" s="2">
        <v>56.669</v>
      </c>
      <c r="AO166" s="2">
        <v>56.623</v>
      </c>
      <c r="AP166" s="2">
        <v>57.133</v>
      </c>
      <c r="AQ166" s="2">
        <v>58.222</v>
      </c>
      <c r="AR166" s="2">
        <v>59.304</v>
      </c>
      <c r="AS166" s="2">
        <v>60.378</v>
      </c>
      <c r="AT166" s="2">
        <v>61.443</v>
      </c>
      <c r="AU166" s="2">
        <v>62.494</v>
      </c>
      <c r="AV166" s="2">
        <v>63.535</v>
      </c>
      <c r="AW166" s="2">
        <v>64.564</v>
      </c>
      <c r="AX166" s="2">
        <v>65.581</v>
      </c>
      <c r="AY166" s="2">
        <v>66.58</v>
      </c>
      <c r="AZ166" s="2">
        <v>67.567</v>
      </c>
      <c r="BA166" s="2">
        <v>67.963</v>
      </c>
      <c r="BB166" s="2">
        <v>68.03</v>
      </c>
      <c r="BC166" s="2">
        <v>68.097</v>
      </c>
      <c r="BD166" s="2">
        <v>68.163</v>
      </c>
      <c r="BE166" s="2">
        <v>68.23</v>
      </c>
      <c r="BF166" s="2">
        <v>68.297</v>
      </c>
      <c r="BG166" s="2">
        <v>68.363</v>
      </c>
      <c r="BH166" s="2">
        <v>68.445</v>
      </c>
      <c r="BI166" s="2">
        <v>68.543</v>
      </c>
      <c r="BJ166" s="2">
        <v>68.657</v>
      </c>
      <c r="BK166" s="2">
        <v>68.785</v>
      </c>
      <c r="BL166" s="2">
        <v>68.93</v>
      </c>
      <c r="BM166" s="2">
        <v>69.089</v>
      </c>
      <c r="BN166" s="2">
        <v>69.263</v>
      </c>
      <c r="BO166" s="2">
        <v>3655.6750000000006</v>
      </c>
    </row>
    <row r="167" ht="14.25" customHeight="1">
      <c r="A167" s="2" t="s">
        <v>473</v>
      </c>
      <c r="B167" s="2">
        <v>18.788</v>
      </c>
      <c r="C167" s="2">
        <v>19.502</v>
      </c>
      <c r="D167" s="2">
        <v>20.237</v>
      </c>
      <c r="E167" s="2">
        <v>20.993</v>
      </c>
      <c r="F167" s="2">
        <v>21.77</v>
      </c>
      <c r="G167" s="2">
        <v>22.566</v>
      </c>
      <c r="H167" s="2">
        <v>23.383</v>
      </c>
      <c r="I167" s="2">
        <v>24.22</v>
      </c>
      <c r="J167" s="2">
        <v>25.079</v>
      </c>
      <c r="K167" s="2">
        <v>25.955</v>
      </c>
      <c r="L167" s="2">
        <v>26.853</v>
      </c>
      <c r="M167" s="2">
        <v>27.769</v>
      </c>
      <c r="N167" s="2">
        <v>28.706</v>
      </c>
      <c r="O167" s="2">
        <v>29.659</v>
      </c>
      <c r="P167" s="2">
        <v>30.632</v>
      </c>
      <c r="Q167" s="2">
        <v>31.622</v>
      </c>
      <c r="R167" s="2">
        <v>32.63</v>
      </c>
      <c r="S167" s="2">
        <v>33.652</v>
      </c>
      <c r="T167" s="2">
        <v>34.69</v>
      </c>
      <c r="U167" s="2">
        <v>35.744</v>
      </c>
      <c r="V167" s="2">
        <v>36.813</v>
      </c>
      <c r="W167" s="2">
        <v>37.892</v>
      </c>
      <c r="X167" s="2">
        <v>38.984</v>
      </c>
      <c r="Y167" s="2">
        <v>40.088</v>
      </c>
      <c r="Z167" s="2">
        <v>41.204</v>
      </c>
      <c r="AA167" s="2">
        <v>42.325</v>
      </c>
      <c r="AB167" s="2">
        <v>43.456</v>
      </c>
      <c r="AC167" s="2">
        <v>44.594</v>
      </c>
      <c r="AD167" s="2">
        <v>45.739</v>
      </c>
      <c r="AE167" s="2">
        <v>46.886</v>
      </c>
      <c r="AF167" s="2">
        <v>48.037</v>
      </c>
      <c r="AG167" s="2">
        <v>49.165</v>
      </c>
      <c r="AH167" s="2">
        <v>50.218</v>
      </c>
      <c r="AI167" s="2">
        <v>51.267</v>
      </c>
      <c r="AJ167" s="2">
        <v>52.317</v>
      </c>
      <c r="AK167" s="2">
        <v>53.365</v>
      </c>
      <c r="AL167" s="2">
        <v>54.412</v>
      </c>
      <c r="AM167" s="2">
        <v>55.451</v>
      </c>
      <c r="AN167" s="2">
        <v>56.488</v>
      </c>
      <c r="AO167" s="2">
        <v>57.518</v>
      </c>
      <c r="AP167" s="2">
        <v>58.544</v>
      </c>
      <c r="AQ167" s="2">
        <v>59.559</v>
      </c>
      <c r="AR167" s="2">
        <v>60.568</v>
      </c>
      <c r="AS167" s="2">
        <v>61.568</v>
      </c>
      <c r="AT167" s="2">
        <v>62.127</v>
      </c>
      <c r="AU167" s="2">
        <v>62.465</v>
      </c>
      <c r="AV167" s="2">
        <v>62.803</v>
      </c>
      <c r="AW167" s="2">
        <v>63.139</v>
      </c>
      <c r="AX167" s="2">
        <v>63.475</v>
      </c>
      <c r="AY167" s="2">
        <v>63.808</v>
      </c>
      <c r="AZ167" s="2">
        <v>64.14</v>
      </c>
      <c r="BA167" s="2">
        <v>64.472</v>
      </c>
      <c r="BB167" s="2">
        <v>64.804</v>
      </c>
      <c r="BC167" s="2">
        <v>65.137</v>
      </c>
      <c r="BD167" s="2">
        <v>65.471</v>
      </c>
      <c r="BE167" s="2">
        <v>65.806</v>
      </c>
      <c r="BF167" s="2">
        <v>66.141</v>
      </c>
      <c r="BG167" s="2">
        <v>66.477</v>
      </c>
      <c r="BH167" s="2">
        <v>66.813</v>
      </c>
      <c r="BI167" s="2">
        <v>67.15</v>
      </c>
      <c r="BJ167" s="2">
        <v>67.488</v>
      </c>
      <c r="BK167" s="2">
        <v>67.826</v>
      </c>
      <c r="BL167" s="2">
        <v>68.164</v>
      </c>
      <c r="BM167" s="2">
        <v>68.502</v>
      </c>
      <c r="BN167" s="2">
        <v>68.84</v>
      </c>
      <c r="BO167" s="2">
        <v>3095.956000000001</v>
      </c>
    </row>
    <row r="168" ht="14.25" customHeight="1">
      <c r="A168" s="2" t="s">
        <v>86</v>
      </c>
      <c r="B168" s="2">
        <v>29.357</v>
      </c>
      <c r="C168" s="2">
        <v>29.849</v>
      </c>
      <c r="D168" s="2">
        <v>30.345</v>
      </c>
      <c r="E168" s="2">
        <v>30.846</v>
      </c>
      <c r="F168" s="2">
        <v>31.353</v>
      </c>
      <c r="G168" s="2">
        <v>31.862</v>
      </c>
      <c r="H168" s="2">
        <v>32.377</v>
      </c>
      <c r="I168" s="2">
        <v>32.896</v>
      </c>
      <c r="J168" s="2">
        <v>33.419</v>
      </c>
      <c r="K168" s="2">
        <v>33.946</v>
      </c>
      <c r="L168" s="2">
        <v>34.477</v>
      </c>
      <c r="M168" s="2">
        <v>35.012</v>
      </c>
      <c r="N168" s="2">
        <v>35.675</v>
      </c>
      <c r="O168" s="2">
        <v>36.349</v>
      </c>
      <c r="P168" s="2">
        <v>37.029</v>
      </c>
      <c r="Q168" s="2">
        <v>37.714</v>
      </c>
      <c r="R168" s="2">
        <v>38.405</v>
      </c>
      <c r="S168" s="2">
        <v>39.099</v>
      </c>
      <c r="T168" s="2">
        <v>39.798</v>
      </c>
      <c r="U168" s="2">
        <v>40.502</v>
      </c>
      <c r="V168" s="2">
        <v>41.21</v>
      </c>
      <c r="W168" s="2">
        <v>41.92</v>
      </c>
      <c r="X168" s="2">
        <v>42.634</v>
      </c>
      <c r="Y168" s="2">
        <v>43.347</v>
      </c>
      <c r="Z168" s="2">
        <v>44.063</v>
      </c>
      <c r="AA168" s="2">
        <v>44.779</v>
      </c>
      <c r="AB168" s="2">
        <v>45.498</v>
      </c>
      <c r="AC168" s="2">
        <v>46.219</v>
      </c>
      <c r="AD168" s="2">
        <v>46.943</v>
      </c>
      <c r="AE168" s="2">
        <v>47.666</v>
      </c>
      <c r="AF168" s="2">
        <v>48.391</v>
      </c>
      <c r="AG168" s="2">
        <v>49.117</v>
      </c>
      <c r="AH168" s="2">
        <v>49.844</v>
      </c>
      <c r="AI168" s="2">
        <v>50.569</v>
      </c>
      <c r="AJ168" s="2">
        <v>51.295</v>
      </c>
      <c r="AK168" s="2">
        <v>51.692</v>
      </c>
      <c r="AL168" s="2">
        <v>52.022</v>
      </c>
      <c r="AM168" s="2">
        <v>52.35</v>
      </c>
      <c r="AN168" s="2">
        <v>52.678</v>
      </c>
      <c r="AO168" s="2">
        <v>53.007</v>
      </c>
      <c r="AP168" s="2">
        <v>53.335</v>
      </c>
      <c r="AQ168" s="2">
        <v>53.662</v>
      </c>
      <c r="AR168" s="2">
        <v>53.99</v>
      </c>
      <c r="AS168" s="2">
        <v>54.317</v>
      </c>
      <c r="AT168" s="2">
        <v>54.644</v>
      </c>
      <c r="AU168" s="2">
        <v>55.174</v>
      </c>
      <c r="AV168" s="2">
        <v>55.746</v>
      </c>
      <c r="AW168" s="2">
        <v>56.317</v>
      </c>
      <c r="AX168" s="2">
        <v>56.886</v>
      </c>
      <c r="AY168" s="2">
        <v>57.452</v>
      </c>
      <c r="AZ168" s="2">
        <v>58.018</v>
      </c>
      <c r="BA168" s="2">
        <v>58.581</v>
      </c>
      <c r="BB168" s="2">
        <v>59.142</v>
      </c>
      <c r="BC168" s="2">
        <v>59.7</v>
      </c>
      <c r="BD168" s="2">
        <v>60.256</v>
      </c>
      <c r="BE168" s="2">
        <v>60.809</v>
      </c>
      <c r="BF168" s="2">
        <v>61.36</v>
      </c>
      <c r="BG168" s="2">
        <v>61.908</v>
      </c>
      <c r="BH168" s="2">
        <v>62.453</v>
      </c>
      <c r="BI168" s="2">
        <v>62.994</v>
      </c>
      <c r="BJ168" s="2">
        <v>63.532</v>
      </c>
      <c r="BK168" s="2">
        <v>64.065</v>
      </c>
      <c r="BL168" s="2">
        <v>64.596</v>
      </c>
      <c r="BM168" s="2">
        <v>65.121</v>
      </c>
      <c r="BN168" s="2">
        <v>65.643</v>
      </c>
      <c r="BO168" s="2">
        <v>3125.2550000000006</v>
      </c>
    </row>
    <row r="169" ht="14.25" customHeight="1">
      <c r="A169" s="2" t="s">
        <v>87</v>
      </c>
      <c r="B169" s="2">
        <v>6.868</v>
      </c>
      <c r="C169" s="2">
        <v>7.051</v>
      </c>
      <c r="D169" s="2">
        <v>7.246</v>
      </c>
      <c r="E169" s="2">
        <v>7.445</v>
      </c>
      <c r="F169" s="2">
        <v>7.65</v>
      </c>
      <c r="G169" s="2">
        <v>7.86</v>
      </c>
      <c r="H169" s="2">
        <v>8.075</v>
      </c>
      <c r="I169" s="2">
        <v>8.296</v>
      </c>
      <c r="J169" s="2">
        <v>8.522</v>
      </c>
      <c r="K169" s="2">
        <v>8.753</v>
      </c>
      <c r="L169" s="2">
        <v>8.99</v>
      </c>
      <c r="M169" s="2">
        <v>9.298</v>
      </c>
      <c r="N169" s="2">
        <v>9.671</v>
      </c>
      <c r="O169" s="2">
        <v>10.056</v>
      </c>
      <c r="P169" s="2">
        <v>10.456</v>
      </c>
      <c r="Q169" s="2">
        <v>10.869</v>
      </c>
      <c r="R169" s="2">
        <v>11.297</v>
      </c>
      <c r="S169" s="2">
        <v>11.739</v>
      </c>
      <c r="T169" s="2">
        <v>12.197</v>
      </c>
      <c r="U169" s="2">
        <v>12.669</v>
      </c>
      <c r="V169" s="2">
        <v>13.158</v>
      </c>
      <c r="W169" s="2">
        <v>14.051</v>
      </c>
      <c r="X169" s="2">
        <v>15.035</v>
      </c>
      <c r="Y169" s="2">
        <v>16.074</v>
      </c>
      <c r="Z169" s="2">
        <v>17.172</v>
      </c>
      <c r="AA169" s="2">
        <v>18.326</v>
      </c>
      <c r="AB169" s="2">
        <v>19.541</v>
      </c>
      <c r="AC169" s="2">
        <v>20.815</v>
      </c>
      <c r="AD169" s="2">
        <v>22.152</v>
      </c>
      <c r="AE169" s="2">
        <v>23.545</v>
      </c>
      <c r="AF169" s="2">
        <v>25.0</v>
      </c>
      <c r="AG169" s="2">
        <v>25.487</v>
      </c>
      <c r="AH169" s="2">
        <v>25.98</v>
      </c>
      <c r="AI169" s="2">
        <v>26.479</v>
      </c>
      <c r="AJ169" s="2">
        <v>26.984</v>
      </c>
      <c r="AK169" s="2">
        <v>27.495</v>
      </c>
      <c r="AL169" s="2">
        <v>28.013</v>
      </c>
      <c r="AM169" s="2">
        <v>28.535</v>
      </c>
      <c r="AN169" s="2">
        <v>28.742</v>
      </c>
      <c r="AO169" s="2">
        <v>28.92</v>
      </c>
      <c r="AP169" s="2">
        <v>29.098</v>
      </c>
      <c r="AQ169" s="2">
        <v>29.277</v>
      </c>
      <c r="AR169" s="2">
        <v>29.457</v>
      </c>
      <c r="AS169" s="2">
        <v>29.637</v>
      </c>
      <c r="AT169" s="2">
        <v>29.818</v>
      </c>
      <c r="AU169" s="2">
        <v>29.999</v>
      </c>
      <c r="AV169" s="2">
        <v>30.182</v>
      </c>
      <c r="AW169" s="2">
        <v>30.364</v>
      </c>
      <c r="AX169" s="2">
        <v>30.832</v>
      </c>
      <c r="AY169" s="2">
        <v>31.328</v>
      </c>
      <c r="AZ169" s="2">
        <v>31.83</v>
      </c>
      <c r="BA169" s="2">
        <v>32.336</v>
      </c>
      <c r="BB169" s="2">
        <v>32.846</v>
      </c>
      <c r="BC169" s="2">
        <v>33.36</v>
      </c>
      <c r="BD169" s="2">
        <v>33.878</v>
      </c>
      <c r="BE169" s="2">
        <v>34.4</v>
      </c>
      <c r="BF169" s="2">
        <v>34.926</v>
      </c>
      <c r="BG169" s="2">
        <v>35.455</v>
      </c>
      <c r="BH169" s="2">
        <v>35.988</v>
      </c>
      <c r="BI169" s="2">
        <v>36.528</v>
      </c>
      <c r="BJ169" s="2">
        <v>37.074</v>
      </c>
      <c r="BK169" s="2">
        <v>37.628</v>
      </c>
      <c r="BL169" s="2">
        <v>38.187</v>
      </c>
      <c r="BM169" s="2">
        <v>38.753</v>
      </c>
      <c r="BN169" s="2">
        <v>39.326</v>
      </c>
      <c r="BO169" s="2">
        <v>1469.0189999999998</v>
      </c>
    </row>
    <row r="170" ht="14.25" customHeight="1">
      <c r="A170" s="2" t="s">
        <v>88</v>
      </c>
      <c r="B170" s="2">
        <v>19.226</v>
      </c>
      <c r="C170" s="2">
        <v>19.566</v>
      </c>
      <c r="D170" s="2">
        <v>19.91</v>
      </c>
      <c r="E170" s="2">
        <v>20.259</v>
      </c>
      <c r="F170" s="2">
        <v>20.613</v>
      </c>
      <c r="G170" s="2">
        <v>20.971</v>
      </c>
      <c r="H170" s="2">
        <v>21.334</v>
      </c>
      <c r="I170" s="2">
        <v>21.701</v>
      </c>
      <c r="J170" s="2">
        <v>22.073</v>
      </c>
      <c r="K170" s="2">
        <v>22.449</v>
      </c>
      <c r="L170" s="2">
        <v>22.83</v>
      </c>
      <c r="M170" s="2">
        <v>23.215</v>
      </c>
      <c r="N170" s="2">
        <v>23.606</v>
      </c>
      <c r="O170" s="2">
        <v>23.903</v>
      </c>
      <c r="P170" s="2">
        <v>23.913</v>
      </c>
      <c r="Q170" s="2">
        <v>23.922</v>
      </c>
      <c r="R170" s="2">
        <v>23.933</v>
      </c>
      <c r="S170" s="2">
        <v>23.942</v>
      </c>
      <c r="T170" s="2">
        <v>23.952</v>
      </c>
      <c r="U170" s="2">
        <v>23.962</v>
      </c>
      <c r="V170" s="2">
        <v>23.973</v>
      </c>
      <c r="W170" s="2">
        <v>23.982</v>
      </c>
      <c r="X170" s="2">
        <v>23.993</v>
      </c>
      <c r="Y170" s="2">
        <v>24.042</v>
      </c>
      <c r="Z170" s="2">
        <v>24.212</v>
      </c>
      <c r="AA170" s="2">
        <v>24.381</v>
      </c>
      <c r="AB170" s="2">
        <v>24.552</v>
      </c>
      <c r="AC170" s="2">
        <v>24.724</v>
      </c>
      <c r="AD170" s="2">
        <v>24.896</v>
      </c>
      <c r="AE170" s="2">
        <v>25.069</v>
      </c>
      <c r="AF170" s="2">
        <v>25.243</v>
      </c>
      <c r="AG170" s="2">
        <v>25.418</v>
      </c>
      <c r="AH170" s="2">
        <v>25.593</v>
      </c>
      <c r="AI170" s="2">
        <v>25.769</v>
      </c>
      <c r="AJ170" s="2">
        <v>25.946</v>
      </c>
      <c r="AK170" s="2">
        <v>26.124</v>
      </c>
      <c r="AL170" s="2">
        <v>26.303</v>
      </c>
      <c r="AM170" s="2">
        <v>26.482</v>
      </c>
      <c r="AN170" s="2">
        <v>26.663</v>
      </c>
      <c r="AO170" s="2">
        <v>26.843</v>
      </c>
      <c r="AP170" s="2">
        <v>27.025</v>
      </c>
      <c r="AQ170" s="2">
        <v>27.208</v>
      </c>
      <c r="AR170" s="2">
        <v>27.391</v>
      </c>
      <c r="AS170" s="2">
        <v>27.575</v>
      </c>
      <c r="AT170" s="2">
        <v>27.76</v>
      </c>
      <c r="AU170" s="2">
        <v>27.946</v>
      </c>
      <c r="AV170" s="2">
        <v>28.132</v>
      </c>
      <c r="AW170" s="2">
        <v>28.319</v>
      </c>
      <c r="AX170" s="2">
        <v>28.507</v>
      </c>
      <c r="AY170" s="2">
        <v>28.695</v>
      </c>
      <c r="AZ170" s="2">
        <v>28.885</v>
      </c>
      <c r="BA170" s="2">
        <v>29.075</v>
      </c>
      <c r="BB170" s="2">
        <v>29.266</v>
      </c>
      <c r="BC170" s="2">
        <v>29.457</v>
      </c>
      <c r="BD170" s="2">
        <v>29.65</v>
      </c>
      <c r="BE170" s="2">
        <v>29.858</v>
      </c>
      <c r="BF170" s="2">
        <v>30.082</v>
      </c>
      <c r="BG170" s="2">
        <v>30.322</v>
      </c>
      <c r="BH170" s="2">
        <v>30.579</v>
      </c>
      <c r="BI170" s="2">
        <v>30.852</v>
      </c>
      <c r="BJ170" s="2">
        <v>31.141</v>
      </c>
      <c r="BK170" s="2">
        <v>31.448</v>
      </c>
      <c r="BL170" s="2">
        <v>31.771</v>
      </c>
      <c r="BM170" s="2">
        <v>32.112</v>
      </c>
      <c r="BN170" s="2">
        <v>32.47</v>
      </c>
      <c r="BO170" s="2">
        <v>1685.0140000000006</v>
      </c>
    </row>
    <row r="171" ht="14.25" customHeight="1">
      <c r="A171" s="2" t="s">
        <v>474</v>
      </c>
      <c r="B171" s="2">
        <v>17.909</v>
      </c>
      <c r="C171" s="2">
        <v>18.334</v>
      </c>
      <c r="D171" s="2">
        <v>18.748</v>
      </c>
      <c r="E171" s="2">
        <v>19.17</v>
      </c>
      <c r="F171" s="2">
        <v>19.6</v>
      </c>
      <c r="G171" s="2">
        <v>20.035</v>
      </c>
      <c r="H171" s="2">
        <v>20.478</v>
      </c>
      <c r="I171" s="2">
        <v>20.929</v>
      </c>
      <c r="J171" s="2">
        <v>21.387</v>
      </c>
      <c r="K171" s="2">
        <v>21.852</v>
      </c>
      <c r="L171" s="2">
        <v>22.292</v>
      </c>
      <c r="M171" s="2">
        <v>22.559</v>
      </c>
      <c r="N171" s="2">
        <v>22.829</v>
      </c>
      <c r="O171" s="2">
        <v>23.1</v>
      </c>
      <c r="P171" s="2">
        <v>23.374</v>
      </c>
      <c r="Q171" s="2">
        <v>23.651</v>
      </c>
      <c r="R171" s="2">
        <v>23.929</v>
      </c>
      <c r="S171" s="2">
        <v>24.21</v>
      </c>
      <c r="T171" s="2">
        <v>24.493</v>
      </c>
      <c r="U171" s="2">
        <v>24.778</v>
      </c>
      <c r="V171" s="2">
        <v>25.066</v>
      </c>
      <c r="W171" s="2">
        <v>25.355</v>
      </c>
      <c r="X171" s="2">
        <v>25.611</v>
      </c>
      <c r="Y171" s="2">
        <v>25.861</v>
      </c>
      <c r="Z171" s="2">
        <v>26.113</v>
      </c>
      <c r="AA171" s="2">
        <v>26.366</v>
      </c>
      <c r="AB171" s="2">
        <v>26.621</v>
      </c>
      <c r="AC171" s="2">
        <v>26.877</v>
      </c>
      <c r="AD171" s="2">
        <v>27.136</v>
      </c>
      <c r="AE171" s="2">
        <v>27.395</v>
      </c>
      <c r="AF171" s="2">
        <v>27.656</v>
      </c>
      <c r="AG171" s="2">
        <v>27.919</v>
      </c>
      <c r="AH171" s="2">
        <v>28.336</v>
      </c>
      <c r="AI171" s="2">
        <v>28.823</v>
      </c>
      <c r="AJ171" s="2">
        <v>29.316</v>
      </c>
      <c r="AK171" s="2">
        <v>29.813</v>
      </c>
      <c r="AL171" s="2">
        <v>30.316</v>
      </c>
      <c r="AM171" s="2">
        <v>30.823</v>
      </c>
      <c r="AN171" s="2">
        <v>31.335</v>
      </c>
      <c r="AO171" s="2">
        <v>31.851</v>
      </c>
      <c r="AP171" s="2">
        <v>32.373</v>
      </c>
      <c r="AQ171" s="2">
        <v>32.898</v>
      </c>
      <c r="AR171" s="2">
        <v>33.766</v>
      </c>
      <c r="AS171" s="2">
        <v>34.709</v>
      </c>
      <c r="AT171" s="2">
        <v>35.666</v>
      </c>
      <c r="AU171" s="2">
        <v>36.632</v>
      </c>
      <c r="AV171" s="2">
        <v>37.61</v>
      </c>
      <c r="AW171" s="2">
        <v>38.598</v>
      </c>
      <c r="AX171" s="2">
        <v>39.597</v>
      </c>
      <c r="AY171" s="2">
        <v>40.601</v>
      </c>
      <c r="AZ171" s="2">
        <v>41.616</v>
      </c>
      <c r="BA171" s="2">
        <v>42.637</v>
      </c>
      <c r="BB171" s="2">
        <v>43.693</v>
      </c>
      <c r="BC171" s="2">
        <v>44.756</v>
      </c>
      <c r="BD171" s="2">
        <v>45.826</v>
      </c>
      <c r="BE171" s="2">
        <v>46.9</v>
      </c>
      <c r="BF171" s="2">
        <v>47.961</v>
      </c>
      <c r="BG171" s="2">
        <v>49.005</v>
      </c>
      <c r="BH171" s="2">
        <v>50.032</v>
      </c>
      <c r="BI171" s="2">
        <v>51.042</v>
      </c>
      <c r="BJ171" s="2">
        <v>52.033</v>
      </c>
      <c r="BK171" s="2">
        <v>53.005</v>
      </c>
      <c r="BL171" s="2">
        <v>53.956</v>
      </c>
      <c r="BM171" s="2">
        <v>54.886</v>
      </c>
      <c r="BN171" s="2">
        <v>55.795</v>
      </c>
      <c r="BO171" s="2">
        <v>2087.839</v>
      </c>
    </row>
    <row r="172" ht="14.25" customHeight="1">
      <c r="A172" s="2" t="s">
        <v>556</v>
      </c>
      <c r="B172" s="2">
        <v>100.0</v>
      </c>
      <c r="C172" s="2">
        <v>100.0</v>
      </c>
      <c r="D172" s="2">
        <v>100.0</v>
      </c>
      <c r="E172" s="2">
        <v>100.0</v>
      </c>
      <c r="F172" s="2">
        <v>100.0</v>
      </c>
      <c r="G172" s="2">
        <v>100.0</v>
      </c>
      <c r="H172" s="2">
        <v>100.0</v>
      </c>
      <c r="I172" s="2">
        <v>100.0</v>
      </c>
      <c r="J172" s="2">
        <v>100.0</v>
      </c>
      <c r="K172" s="2">
        <v>100.0</v>
      </c>
      <c r="L172" s="2">
        <v>100.0</v>
      </c>
      <c r="M172" s="2">
        <v>100.0</v>
      </c>
      <c r="N172" s="2">
        <v>100.0</v>
      </c>
      <c r="O172" s="2">
        <v>100.0</v>
      </c>
      <c r="P172" s="2">
        <v>100.0</v>
      </c>
      <c r="Q172" s="2">
        <v>100.0</v>
      </c>
      <c r="R172" s="2">
        <v>100.0</v>
      </c>
      <c r="S172" s="2">
        <v>100.0</v>
      </c>
      <c r="T172" s="2">
        <v>100.0</v>
      </c>
      <c r="U172" s="2">
        <v>100.0</v>
      </c>
      <c r="V172" s="2">
        <v>100.0</v>
      </c>
      <c r="W172" s="2">
        <v>100.0</v>
      </c>
      <c r="X172" s="2">
        <v>100.0</v>
      </c>
      <c r="Y172" s="2">
        <v>100.0</v>
      </c>
      <c r="Z172" s="2">
        <v>100.0</v>
      </c>
      <c r="AA172" s="2">
        <v>100.0</v>
      </c>
      <c r="AB172" s="2">
        <v>100.0</v>
      </c>
      <c r="AC172" s="2">
        <v>100.0</v>
      </c>
      <c r="AD172" s="2">
        <v>100.0</v>
      </c>
      <c r="AE172" s="2">
        <v>100.0</v>
      </c>
      <c r="AF172" s="2">
        <v>100.0</v>
      </c>
      <c r="AG172" s="2">
        <v>100.0</v>
      </c>
      <c r="AH172" s="2">
        <v>100.0</v>
      </c>
      <c r="AI172" s="2">
        <v>100.0</v>
      </c>
      <c r="AJ172" s="2">
        <v>100.0</v>
      </c>
      <c r="AK172" s="2">
        <v>100.0</v>
      </c>
      <c r="AL172" s="2">
        <v>100.0</v>
      </c>
      <c r="AM172" s="2">
        <v>100.0</v>
      </c>
      <c r="AN172" s="2">
        <v>100.0</v>
      </c>
      <c r="AO172" s="2">
        <v>100.0</v>
      </c>
      <c r="AP172" s="2">
        <v>100.0</v>
      </c>
      <c r="AQ172" s="2">
        <v>100.0</v>
      </c>
      <c r="AR172" s="2">
        <v>100.0</v>
      </c>
      <c r="AS172" s="2">
        <v>100.0</v>
      </c>
      <c r="AT172" s="2">
        <v>100.0</v>
      </c>
      <c r="AU172" s="2">
        <v>100.0</v>
      </c>
      <c r="AV172" s="2">
        <v>100.0</v>
      </c>
      <c r="AW172" s="2">
        <v>100.0</v>
      </c>
      <c r="AX172" s="2">
        <v>100.0</v>
      </c>
      <c r="AY172" s="2">
        <v>100.0</v>
      </c>
      <c r="AZ172" s="2">
        <v>100.0</v>
      </c>
      <c r="BA172" s="2">
        <v>100.0</v>
      </c>
      <c r="BB172" s="2">
        <v>100.0</v>
      </c>
      <c r="BC172" s="2">
        <v>100.0</v>
      </c>
      <c r="BD172" s="2">
        <v>100.0</v>
      </c>
      <c r="BE172" s="2">
        <v>100.0</v>
      </c>
      <c r="BF172" s="2">
        <v>100.0</v>
      </c>
      <c r="BG172" s="2">
        <v>100.0</v>
      </c>
      <c r="BH172" s="2">
        <v>100.0</v>
      </c>
      <c r="BI172" s="2">
        <v>100.0</v>
      </c>
      <c r="BJ172" s="2">
        <v>100.0</v>
      </c>
      <c r="BK172" s="2">
        <v>100.0</v>
      </c>
      <c r="BL172" s="2">
        <v>100.0</v>
      </c>
      <c r="BM172" s="2">
        <v>100.0</v>
      </c>
      <c r="BN172" s="2">
        <v>100.0</v>
      </c>
      <c r="BO172" s="2">
        <v>6500.0</v>
      </c>
    </row>
    <row r="173" ht="14.25" customHeight="1">
      <c r="A173" s="2" t="s">
        <v>89</v>
      </c>
      <c r="B173" s="2">
        <v>3.48</v>
      </c>
      <c r="C173" s="2">
        <v>3.571</v>
      </c>
      <c r="D173" s="2">
        <v>3.612</v>
      </c>
      <c r="E173" s="2">
        <v>3.653</v>
      </c>
      <c r="F173" s="2">
        <v>3.695</v>
      </c>
      <c r="G173" s="2">
        <v>3.737</v>
      </c>
      <c r="H173" s="2">
        <v>3.78</v>
      </c>
      <c r="I173" s="2">
        <v>3.823</v>
      </c>
      <c r="J173" s="2">
        <v>3.867</v>
      </c>
      <c r="K173" s="2">
        <v>3.911</v>
      </c>
      <c r="L173" s="2">
        <v>3.956</v>
      </c>
      <c r="M173" s="2">
        <v>4.005</v>
      </c>
      <c r="N173" s="2">
        <v>4.198</v>
      </c>
      <c r="O173" s="2">
        <v>4.399</v>
      </c>
      <c r="P173" s="2">
        <v>4.61</v>
      </c>
      <c r="Q173" s="2">
        <v>4.83</v>
      </c>
      <c r="R173" s="2">
        <v>5.061</v>
      </c>
      <c r="S173" s="2">
        <v>5.302</v>
      </c>
      <c r="T173" s="2">
        <v>5.553</v>
      </c>
      <c r="U173" s="2">
        <v>5.816</v>
      </c>
      <c r="V173" s="2">
        <v>6.091</v>
      </c>
      <c r="W173" s="2">
        <v>6.376</v>
      </c>
      <c r="X173" s="2">
        <v>6.616</v>
      </c>
      <c r="Y173" s="2">
        <v>6.864</v>
      </c>
      <c r="Z173" s="2">
        <v>7.121</v>
      </c>
      <c r="AA173" s="2">
        <v>7.386</v>
      </c>
      <c r="AB173" s="2">
        <v>7.66</v>
      </c>
      <c r="AC173" s="2">
        <v>7.944</v>
      </c>
      <c r="AD173" s="2">
        <v>8.238</v>
      </c>
      <c r="AE173" s="2">
        <v>8.541</v>
      </c>
      <c r="AF173" s="2">
        <v>8.854</v>
      </c>
      <c r="AG173" s="2">
        <v>9.18</v>
      </c>
      <c r="AH173" s="2">
        <v>9.582</v>
      </c>
      <c r="AI173" s="2">
        <v>9.999</v>
      </c>
      <c r="AJ173" s="2">
        <v>10.433</v>
      </c>
      <c r="AK173" s="2">
        <v>10.883</v>
      </c>
      <c r="AL173" s="2">
        <v>11.35</v>
      </c>
      <c r="AM173" s="2">
        <v>11.834</v>
      </c>
      <c r="AN173" s="2">
        <v>12.336</v>
      </c>
      <c r="AO173" s="2">
        <v>12.857</v>
      </c>
      <c r="AP173" s="2">
        <v>13.397</v>
      </c>
      <c r="AQ173" s="2">
        <v>13.947</v>
      </c>
      <c r="AR173" s="2">
        <v>14.24</v>
      </c>
      <c r="AS173" s="2">
        <v>14.538</v>
      </c>
      <c r="AT173" s="2">
        <v>14.841</v>
      </c>
      <c r="AU173" s="2">
        <v>15.149</v>
      </c>
      <c r="AV173" s="2">
        <v>15.462</v>
      </c>
      <c r="AW173" s="2">
        <v>15.781</v>
      </c>
      <c r="AX173" s="2">
        <v>16.105</v>
      </c>
      <c r="AY173" s="2">
        <v>16.434</v>
      </c>
      <c r="AZ173" s="2">
        <v>16.768</v>
      </c>
      <c r="BA173" s="2">
        <v>17.108</v>
      </c>
      <c r="BB173" s="2">
        <v>17.458</v>
      </c>
      <c r="BC173" s="2">
        <v>17.815</v>
      </c>
      <c r="BD173" s="2">
        <v>18.182</v>
      </c>
      <c r="BE173" s="2">
        <v>18.557</v>
      </c>
      <c r="BF173" s="2">
        <v>18.942</v>
      </c>
      <c r="BG173" s="2">
        <v>19.336</v>
      </c>
      <c r="BH173" s="2">
        <v>19.74</v>
      </c>
      <c r="BI173" s="2">
        <v>20.153</v>
      </c>
      <c r="BJ173" s="2">
        <v>20.576</v>
      </c>
      <c r="BK173" s="2">
        <v>21.008</v>
      </c>
      <c r="BL173" s="2">
        <v>21.451</v>
      </c>
      <c r="BM173" s="2">
        <v>21.903</v>
      </c>
      <c r="BN173" s="2">
        <v>22.366</v>
      </c>
      <c r="BO173" s="2">
        <v>706.2610000000002</v>
      </c>
    </row>
    <row r="174" ht="14.25" customHeight="1">
      <c r="A174" s="2" t="s">
        <v>90</v>
      </c>
      <c r="B174" s="2">
        <v>59.752</v>
      </c>
      <c r="C174" s="2">
        <v>60.02</v>
      </c>
      <c r="D174" s="2">
        <v>60.204</v>
      </c>
      <c r="E174" s="2">
        <v>60.387</v>
      </c>
      <c r="F174" s="2">
        <v>60.57</v>
      </c>
      <c r="G174" s="2">
        <v>60.753</v>
      </c>
      <c r="H174" s="2">
        <v>60.936</v>
      </c>
      <c r="I174" s="2">
        <v>61.118</v>
      </c>
      <c r="J174" s="2">
        <v>61.3</v>
      </c>
      <c r="K174" s="2">
        <v>61.481</v>
      </c>
      <c r="L174" s="2">
        <v>61.663</v>
      </c>
      <c r="M174" s="2">
        <v>61.913</v>
      </c>
      <c r="N174" s="2">
        <v>62.232</v>
      </c>
      <c r="O174" s="2">
        <v>62.55</v>
      </c>
      <c r="P174" s="2">
        <v>62.867</v>
      </c>
      <c r="Q174" s="2">
        <v>63.183</v>
      </c>
      <c r="R174" s="2">
        <v>63.498</v>
      </c>
      <c r="S174" s="2">
        <v>63.811</v>
      </c>
      <c r="T174" s="2">
        <v>64.123</v>
      </c>
      <c r="U174" s="2">
        <v>64.435</v>
      </c>
      <c r="V174" s="2">
        <v>64.745</v>
      </c>
      <c r="W174" s="2">
        <v>65.104</v>
      </c>
      <c r="X174" s="2">
        <v>65.511</v>
      </c>
      <c r="Y174" s="2">
        <v>65.916</v>
      </c>
      <c r="Z174" s="2">
        <v>66.319</v>
      </c>
      <c r="AA174" s="2">
        <v>66.719</v>
      </c>
      <c r="AB174" s="2">
        <v>67.117</v>
      </c>
      <c r="AC174" s="2">
        <v>67.513</v>
      </c>
      <c r="AD174" s="2">
        <v>67.906</v>
      </c>
      <c r="AE174" s="2">
        <v>68.296</v>
      </c>
      <c r="AF174" s="2">
        <v>68.684</v>
      </c>
      <c r="AG174" s="2">
        <v>69.329</v>
      </c>
      <c r="AH174" s="2">
        <v>70.223</v>
      </c>
      <c r="AI174" s="2">
        <v>71.1</v>
      </c>
      <c r="AJ174" s="2">
        <v>71.962</v>
      </c>
      <c r="AK174" s="2">
        <v>72.809</v>
      </c>
      <c r="AL174" s="2">
        <v>73.64</v>
      </c>
      <c r="AM174" s="2">
        <v>74.453</v>
      </c>
      <c r="AN174" s="2">
        <v>75.25</v>
      </c>
      <c r="AO174" s="2">
        <v>76.03</v>
      </c>
      <c r="AP174" s="2">
        <v>76.795</v>
      </c>
      <c r="AQ174" s="2">
        <v>77.83</v>
      </c>
      <c r="AR174" s="2">
        <v>79.113</v>
      </c>
      <c r="AS174" s="2">
        <v>80.341</v>
      </c>
      <c r="AT174" s="2">
        <v>81.514</v>
      </c>
      <c r="AU174" s="2">
        <v>82.63</v>
      </c>
      <c r="AV174" s="2">
        <v>83.636</v>
      </c>
      <c r="AW174" s="2">
        <v>84.539</v>
      </c>
      <c r="AX174" s="2">
        <v>85.402</v>
      </c>
      <c r="AY174" s="2">
        <v>86.288</v>
      </c>
      <c r="AZ174" s="2">
        <v>87.134</v>
      </c>
      <c r="BA174" s="2">
        <v>87.879</v>
      </c>
      <c r="BB174" s="2">
        <v>88.588</v>
      </c>
      <c r="BC174" s="2">
        <v>89.187</v>
      </c>
      <c r="BD174" s="2">
        <v>89.69</v>
      </c>
      <c r="BE174" s="2">
        <v>90.173</v>
      </c>
      <c r="BF174" s="2">
        <v>90.635</v>
      </c>
      <c r="BG174" s="2">
        <v>91.077</v>
      </c>
      <c r="BH174" s="2">
        <v>91.49</v>
      </c>
      <c r="BI174" s="2">
        <v>91.876</v>
      </c>
      <c r="BJ174" s="2">
        <v>92.236</v>
      </c>
      <c r="BK174" s="2">
        <v>92.572</v>
      </c>
      <c r="BL174" s="2">
        <v>92.886</v>
      </c>
      <c r="BM174" s="2">
        <v>93.179</v>
      </c>
      <c r="BN174" s="2">
        <v>93.453</v>
      </c>
      <c r="BO174" s="2">
        <v>4805.565000000001</v>
      </c>
    </row>
    <row r="175" ht="14.25" customHeight="1">
      <c r="A175" s="2" t="s">
        <v>557</v>
      </c>
      <c r="B175" s="2">
        <v>37.36</v>
      </c>
      <c r="C175" s="2">
        <v>38.781</v>
      </c>
      <c r="D175" s="2">
        <v>40.224</v>
      </c>
      <c r="E175" s="2">
        <v>41.684</v>
      </c>
      <c r="F175" s="2">
        <v>43.161</v>
      </c>
      <c r="G175" s="2">
        <v>44.646</v>
      </c>
      <c r="H175" s="2">
        <v>46.142</v>
      </c>
      <c r="I175" s="2">
        <v>47.646</v>
      </c>
      <c r="J175" s="2">
        <v>49.156</v>
      </c>
      <c r="K175" s="2">
        <v>50.442</v>
      </c>
      <c r="L175" s="2">
        <v>51.232</v>
      </c>
      <c r="M175" s="2">
        <v>52.022</v>
      </c>
      <c r="N175" s="2">
        <v>52.811</v>
      </c>
      <c r="O175" s="2">
        <v>53.597</v>
      </c>
      <c r="P175" s="2">
        <v>54.382</v>
      </c>
      <c r="Q175" s="2">
        <v>55.165</v>
      </c>
      <c r="R175" s="2">
        <v>55.873</v>
      </c>
      <c r="S175" s="2">
        <v>56.262</v>
      </c>
      <c r="T175" s="2">
        <v>56.651</v>
      </c>
      <c r="U175" s="2">
        <v>57.039</v>
      </c>
      <c r="V175" s="2">
        <v>57.426</v>
      </c>
      <c r="W175" s="2">
        <v>57.812</v>
      </c>
      <c r="X175" s="2">
        <v>58.197</v>
      </c>
      <c r="Y175" s="2">
        <v>58.532</v>
      </c>
      <c r="Z175" s="2">
        <v>58.683</v>
      </c>
      <c r="AA175" s="2">
        <v>58.834</v>
      </c>
      <c r="AB175" s="2">
        <v>58.985</v>
      </c>
      <c r="AC175" s="2">
        <v>59.135</v>
      </c>
      <c r="AD175" s="2">
        <v>59.286</v>
      </c>
      <c r="AE175" s="2">
        <v>59.434</v>
      </c>
      <c r="AF175" s="2">
        <v>59.577</v>
      </c>
      <c r="AG175" s="2">
        <v>59.719</v>
      </c>
      <c r="AH175" s="2">
        <v>59.862</v>
      </c>
      <c r="AI175" s="2">
        <v>60.004</v>
      </c>
      <c r="AJ175" s="2">
        <v>60.146</v>
      </c>
      <c r="AK175" s="2">
        <v>60.288</v>
      </c>
      <c r="AL175" s="2">
        <v>60.475</v>
      </c>
      <c r="AM175" s="2">
        <v>60.838</v>
      </c>
      <c r="AN175" s="2">
        <v>61.199</v>
      </c>
      <c r="AO175" s="2">
        <v>61.559</v>
      </c>
      <c r="AP175" s="2">
        <v>61.919</v>
      </c>
      <c r="AQ175" s="2">
        <v>62.276</v>
      </c>
      <c r="AR175" s="2">
        <v>62.632</v>
      </c>
      <c r="AS175" s="2">
        <v>62.987</v>
      </c>
      <c r="AT175" s="2">
        <v>63.341</v>
      </c>
      <c r="AU175" s="2">
        <v>63.965</v>
      </c>
      <c r="AV175" s="2">
        <v>64.638</v>
      </c>
      <c r="AW175" s="2">
        <v>65.306</v>
      </c>
      <c r="AX175" s="2">
        <v>65.969</v>
      </c>
      <c r="AY175" s="2">
        <v>66.624</v>
      </c>
      <c r="AZ175" s="2">
        <v>67.102</v>
      </c>
      <c r="BA175" s="2">
        <v>67.565</v>
      </c>
      <c r="BB175" s="2">
        <v>68.024</v>
      </c>
      <c r="BC175" s="2">
        <v>68.479</v>
      </c>
      <c r="BD175" s="2">
        <v>68.931</v>
      </c>
      <c r="BE175" s="2">
        <v>69.379</v>
      </c>
      <c r="BF175" s="2">
        <v>69.821</v>
      </c>
      <c r="BG175" s="2">
        <v>70.256</v>
      </c>
      <c r="BH175" s="2">
        <v>70.683</v>
      </c>
      <c r="BI175" s="2">
        <v>71.104</v>
      </c>
      <c r="BJ175" s="2">
        <v>71.518</v>
      </c>
      <c r="BK175" s="2">
        <v>71.925</v>
      </c>
      <c r="BL175" s="2">
        <v>72.325</v>
      </c>
      <c r="BM175" s="2">
        <v>72.719</v>
      </c>
      <c r="BN175" s="2">
        <v>73.106</v>
      </c>
      <c r="BO175" s="2">
        <v>3866.860999999999</v>
      </c>
    </row>
    <row r="176" ht="14.25" customHeight="1">
      <c r="A176" s="2" t="s">
        <v>91</v>
      </c>
      <c r="B176" s="2">
        <v>75.998</v>
      </c>
      <c r="C176" s="2">
        <v>76.525</v>
      </c>
      <c r="D176" s="2">
        <v>77.133</v>
      </c>
      <c r="E176" s="2">
        <v>77.73</v>
      </c>
      <c r="F176" s="2">
        <v>78.317</v>
      </c>
      <c r="G176" s="2">
        <v>78.891</v>
      </c>
      <c r="H176" s="2">
        <v>79.421</v>
      </c>
      <c r="I176" s="2">
        <v>79.852</v>
      </c>
      <c r="J176" s="2">
        <v>80.277</v>
      </c>
      <c r="K176" s="2">
        <v>80.695</v>
      </c>
      <c r="L176" s="2">
        <v>81.106</v>
      </c>
      <c r="M176" s="2">
        <v>81.491</v>
      </c>
      <c r="N176" s="2">
        <v>81.819</v>
      </c>
      <c r="O176" s="2">
        <v>82.141</v>
      </c>
      <c r="P176" s="2">
        <v>82.46</v>
      </c>
      <c r="Q176" s="2">
        <v>82.774</v>
      </c>
      <c r="R176" s="2">
        <v>83.028</v>
      </c>
      <c r="S176" s="2">
        <v>83.128</v>
      </c>
      <c r="T176" s="2">
        <v>83.229</v>
      </c>
      <c r="U176" s="2">
        <v>83.328</v>
      </c>
      <c r="V176" s="2">
        <v>83.428</v>
      </c>
      <c r="W176" s="2">
        <v>83.511</v>
      </c>
      <c r="X176" s="2">
        <v>83.552</v>
      </c>
      <c r="Y176" s="2">
        <v>83.592</v>
      </c>
      <c r="Z176" s="2">
        <v>83.633</v>
      </c>
      <c r="AA176" s="2">
        <v>83.673</v>
      </c>
      <c r="AB176" s="2">
        <v>83.78</v>
      </c>
      <c r="AC176" s="2">
        <v>84.025</v>
      </c>
      <c r="AD176" s="2">
        <v>84.268</v>
      </c>
      <c r="AE176" s="2">
        <v>84.506</v>
      </c>
      <c r="AF176" s="2">
        <v>84.742</v>
      </c>
      <c r="AG176" s="2">
        <v>84.95</v>
      </c>
      <c r="AH176" s="2">
        <v>85.103</v>
      </c>
      <c r="AI176" s="2">
        <v>85.254</v>
      </c>
      <c r="AJ176" s="2">
        <v>85.404</v>
      </c>
      <c r="AK176" s="2">
        <v>85.553</v>
      </c>
      <c r="AL176" s="2">
        <v>85.7</v>
      </c>
      <c r="AM176" s="2">
        <v>85.781</v>
      </c>
      <c r="AN176" s="2">
        <v>85.861</v>
      </c>
      <c r="AO176" s="2">
        <v>85.941</v>
      </c>
      <c r="AP176" s="2">
        <v>86.021</v>
      </c>
      <c r="AQ176" s="2">
        <v>86.1</v>
      </c>
      <c r="AR176" s="2">
        <v>86.161</v>
      </c>
      <c r="AS176" s="2">
        <v>86.221</v>
      </c>
      <c r="AT176" s="2">
        <v>86.281</v>
      </c>
      <c r="AU176" s="2">
        <v>86.341</v>
      </c>
      <c r="AV176" s="2">
        <v>86.4</v>
      </c>
      <c r="AW176" s="2">
        <v>86.34</v>
      </c>
      <c r="AX176" s="2">
        <v>86.28</v>
      </c>
      <c r="AY176" s="2">
        <v>86.22</v>
      </c>
      <c r="AZ176" s="2">
        <v>86.16</v>
      </c>
      <c r="BA176" s="2">
        <v>86.1</v>
      </c>
      <c r="BB176" s="2">
        <v>86.161</v>
      </c>
      <c r="BC176" s="2">
        <v>86.221</v>
      </c>
      <c r="BD176" s="2">
        <v>86.281</v>
      </c>
      <c r="BE176" s="2">
        <v>86.341</v>
      </c>
      <c r="BF176" s="2">
        <v>86.4</v>
      </c>
      <c r="BG176" s="2">
        <v>86.466</v>
      </c>
      <c r="BH176" s="2">
        <v>86.538</v>
      </c>
      <c r="BI176" s="2">
        <v>86.615</v>
      </c>
      <c r="BJ176" s="2">
        <v>86.699</v>
      </c>
      <c r="BK176" s="2">
        <v>86.789</v>
      </c>
      <c r="BL176" s="2">
        <v>86.884</v>
      </c>
      <c r="BM176" s="2">
        <v>86.985</v>
      </c>
      <c r="BN176" s="2">
        <v>87.091</v>
      </c>
      <c r="BO176" s="2">
        <v>5461.695999999999</v>
      </c>
    </row>
    <row r="177" ht="14.25" customHeight="1">
      <c r="A177" s="2" t="s">
        <v>92</v>
      </c>
      <c r="B177" s="2">
        <v>39.581</v>
      </c>
      <c r="C177" s="2">
        <v>40.03</v>
      </c>
      <c r="D177" s="2">
        <v>40.481</v>
      </c>
      <c r="E177" s="2">
        <v>41.005</v>
      </c>
      <c r="F177" s="2">
        <v>41.855</v>
      </c>
      <c r="G177" s="2">
        <v>42.707</v>
      </c>
      <c r="H177" s="2">
        <v>43.565</v>
      </c>
      <c r="I177" s="2">
        <v>44.427</v>
      </c>
      <c r="J177" s="2">
        <v>45.293</v>
      </c>
      <c r="K177" s="2">
        <v>46.16</v>
      </c>
      <c r="L177" s="2">
        <v>47.03</v>
      </c>
      <c r="M177" s="2">
        <v>47.785</v>
      </c>
      <c r="N177" s="2">
        <v>48.063</v>
      </c>
      <c r="O177" s="2">
        <v>48.341</v>
      </c>
      <c r="P177" s="2">
        <v>48.62</v>
      </c>
      <c r="Q177" s="2">
        <v>48.898</v>
      </c>
      <c r="R177" s="2">
        <v>49.177</v>
      </c>
      <c r="S177" s="2">
        <v>49.456</v>
      </c>
      <c r="T177" s="2">
        <v>49.734</v>
      </c>
      <c r="U177" s="2">
        <v>50.013</v>
      </c>
      <c r="V177" s="2">
        <v>50.292</v>
      </c>
      <c r="W177" s="2">
        <v>50.57</v>
      </c>
      <c r="X177" s="2">
        <v>50.849</v>
      </c>
      <c r="Y177" s="2">
        <v>51.127</v>
      </c>
      <c r="Z177" s="2">
        <v>51.406</v>
      </c>
      <c r="AA177" s="2">
        <v>51.684</v>
      </c>
      <c r="AB177" s="2">
        <v>51.963</v>
      </c>
      <c r="AC177" s="2">
        <v>52.241</v>
      </c>
      <c r="AD177" s="2">
        <v>52.519</v>
      </c>
      <c r="AE177" s="2">
        <v>52.797</v>
      </c>
      <c r="AF177" s="2">
        <v>53.075</v>
      </c>
      <c r="AG177" s="2">
        <v>53.352</v>
      </c>
      <c r="AH177" s="2">
        <v>53.63</v>
      </c>
      <c r="AI177" s="2">
        <v>53.907</v>
      </c>
      <c r="AJ177" s="2">
        <v>54.183</v>
      </c>
      <c r="AK177" s="2">
        <v>54.437</v>
      </c>
      <c r="AL177" s="2">
        <v>54.587</v>
      </c>
      <c r="AM177" s="2">
        <v>54.737</v>
      </c>
      <c r="AN177" s="2">
        <v>54.886</v>
      </c>
      <c r="AO177" s="2">
        <v>55.036</v>
      </c>
      <c r="AP177" s="2">
        <v>55.185</v>
      </c>
      <c r="AQ177" s="2">
        <v>55.335</v>
      </c>
      <c r="AR177" s="2">
        <v>55.484</v>
      </c>
      <c r="AS177" s="2">
        <v>55.633</v>
      </c>
      <c r="AT177" s="2">
        <v>55.782</v>
      </c>
      <c r="AU177" s="2">
        <v>55.935</v>
      </c>
      <c r="AV177" s="2">
        <v>56.132</v>
      </c>
      <c r="AW177" s="2">
        <v>56.328</v>
      </c>
      <c r="AX177" s="2">
        <v>56.525</v>
      </c>
      <c r="AY177" s="2">
        <v>56.721</v>
      </c>
      <c r="AZ177" s="2">
        <v>56.917</v>
      </c>
      <c r="BA177" s="2">
        <v>57.113</v>
      </c>
      <c r="BB177" s="2">
        <v>57.309</v>
      </c>
      <c r="BC177" s="2">
        <v>57.505</v>
      </c>
      <c r="BD177" s="2">
        <v>57.7</v>
      </c>
      <c r="BE177" s="2">
        <v>57.895</v>
      </c>
      <c r="BF177" s="2">
        <v>58.09</v>
      </c>
      <c r="BG177" s="2">
        <v>58.299</v>
      </c>
      <c r="BH177" s="2">
        <v>58.522</v>
      </c>
      <c r="BI177" s="2">
        <v>58.76</v>
      </c>
      <c r="BJ177" s="2">
        <v>59.012</v>
      </c>
      <c r="BK177" s="2">
        <v>59.277</v>
      </c>
      <c r="BL177" s="2">
        <v>59.556</v>
      </c>
      <c r="BM177" s="2">
        <v>59.849</v>
      </c>
      <c r="BN177" s="2">
        <v>60.155</v>
      </c>
      <c r="BO177" s="2">
        <v>3404.518000000001</v>
      </c>
    </row>
    <row r="178" ht="14.25" customHeight="1">
      <c r="A178" s="2" t="s">
        <v>93</v>
      </c>
      <c r="B178" s="2">
        <v>5.793</v>
      </c>
      <c r="C178" s="2">
        <v>5.896</v>
      </c>
      <c r="D178" s="2">
        <v>6.0</v>
      </c>
      <c r="E178" s="2">
        <v>6.259</v>
      </c>
      <c r="F178" s="2">
        <v>6.529</v>
      </c>
      <c r="G178" s="2">
        <v>6.809</v>
      </c>
      <c r="H178" s="2">
        <v>7.1</v>
      </c>
      <c r="I178" s="2">
        <v>7.493</v>
      </c>
      <c r="J178" s="2">
        <v>7.906</v>
      </c>
      <c r="K178" s="2">
        <v>8.339</v>
      </c>
      <c r="L178" s="2">
        <v>8.794</v>
      </c>
      <c r="M178" s="2">
        <v>9.271</v>
      </c>
      <c r="N178" s="2">
        <v>9.772</v>
      </c>
      <c r="O178" s="2">
        <v>10.296</v>
      </c>
      <c r="P178" s="2">
        <v>10.845</v>
      </c>
      <c r="Q178" s="2">
        <v>11.419</v>
      </c>
      <c r="R178" s="2">
        <v>12.021</v>
      </c>
      <c r="S178" s="2">
        <v>12.648</v>
      </c>
      <c r="T178" s="2">
        <v>13.025</v>
      </c>
      <c r="U178" s="2">
        <v>13.233</v>
      </c>
      <c r="V178" s="2">
        <v>13.443</v>
      </c>
      <c r="W178" s="2">
        <v>13.656</v>
      </c>
      <c r="X178" s="2">
        <v>13.871</v>
      </c>
      <c r="Y178" s="2">
        <v>14.09</v>
      </c>
      <c r="Z178" s="2">
        <v>14.312</v>
      </c>
      <c r="AA178" s="2">
        <v>14.536</v>
      </c>
      <c r="AB178" s="2">
        <v>14.763</v>
      </c>
      <c r="AC178" s="2">
        <v>14.993</v>
      </c>
      <c r="AD178" s="2">
        <v>15.209</v>
      </c>
      <c r="AE178" s="2">
        <v>15.289</v>
      </c>
      <c r="AF178" s="2">
        <v>15.368</v>
      </c>
      <c r="AG178" s="2">
        <v>15.449</v>
      </c>
      <c r="AH178" s="2">
        <v>15.529</v>
      </c>
      <c r="AI178" s="2">
        <v>15.61</v>
      </c>
      <c r="AJ178" s="2">
        <v>15.691</v>
      </c>
      <c r="AK178" s="2">
        <v>15.773</v>
      </c>
      <c r="AL178" s="2">
        <v>15.855</v>
      </c>
      <c r="AM178" s="2">
        <v>15.937</v>
      </c>
      <c r="AN178" s="2">
        <v>16.02</v>
      </c>
      <c r="AO178" s="2">
        <v>16.103</v>
      </c>
      <c r="AP178" s="2">
        <v>16.186</v>
      </c>
      <c r="AQ178" s="2">
        <v>16.26</v>
      </c>
      <c r="AR178" s="2">
        <v>16.255</v>
      </c>
      <c r="AS178" s="2">
        <v>16.251</v>
      </c>
      <c r="AT178" s="2">
        <v>16.247</v>
      </c>
      <c r="AU178" s="2">
        <v>16.242</v>
      </c>
      <c r="AV178" s="2">
        <v>16.238</v>
      </c>
      <c r="AW178" s="2">
        <v>16.234</v>
      </c>
      <c r="AX178" s="2">
        <v>16.229</v>
      </c>
      <c r="AY178" s="2">
        <v>16.225</v>
      </c>
      <c r="AZ178" s="2">
        <v>16.221</v>
      </c>
      <c r="BA178" s="2">
        <v>16.216</v>
      </c>
      <c r="BB178" s="2">
        <v>16.212</v>
      </c>
      <c r="BC178" s="2">
        <v>16.208</v>
      </c>
      <c r="BD178" s="2">
        <v>16.219</v>
      </c>
      <c r="BE178" s="2">
        <v>16.247</v>
      </c>
      <c r="BF178" s="2">
        <v>16.29</v>
      </c>
      <c r="BG178" s="2">
        <v>16.35</v>
      </c>
      <c r="BH178" s="2">
        <v>16.425</v>
      </c>
      <c r="BI178" s="2">
        <v>16.517</v>
      </c>
      <c r="BJ178" s="2">
        <v>16.626</v>
      </c>
      <c r="BK178" s="2">
        <v>16.751</v>
      </c>
      <c r="BL178" s="2">
        <v>16.894</v>
      </c>
      <c r="BM178" s="2">
        <v>17.054</v>
      </c>
      <c r="BN178" s="2">
        <v>17.232</v>
      </c>
      <c r="BO178" s="2">
        <v>890.774</v>
      </c>
    </row>
    <row r="179" ht="14.25" customHeight="1">
      <c r="A179" s="2" t="s">
        <v>475</v>
      </c>
      <c r="B179" s="2">
        <v>15.41</v>
      </c>
      <c r="C179" s="2">
        <v>15.633</v>
      </c>
      <c r="D179" s="2">
        <v>15.858</v>
      </c>
      <c r="E179" s="2">
        <v>16.087</v>
      </c>
      <c r="F179" s="2">
        <v>16.318</v>
      </c>
      <c r="G179" s="2">
        <v>16.551</v>
      </c>
      <c r="H179" s="2">
        <v>16.788</v>
      </c>
      <c r="I179" s="2">
        <v>17.027</v>
      </c>
      <c r="J179" s="2">
        <v>17.269</v>
      </c>
      <c r="K179" s="2">
        <v>17.513</v>
      </c>
      <c r="L179" s="2">
        <v>17.76</v>
      </c>
      <c r="M179" s="2">
        <v>18.151</v>
      </c>
      <c r="N179" s="2">
        <v>18.549</v>
      </c>
      <c r="O179" s="2">
        <v>18.952</v>
      </c>
      <c r="P179" s="2">
        <v>19.363</v>
      </c>
      <c r="Q179" s="2">
        <v>19.78</v>
      </c>
      <c r="R179" s="2">
        <v>20.205</v>
      </c>
      <c r="S179" s="2">
        <v>20.636</v>
      </c>
      <c r="T179" s="2">
        <v>21.074</v>
      </c>
      <c r="U179" s="2">
        <v>21.518</v>
      </c>
      <c r="V179" s="2">
        <v>21.97</v>
      </c>
      <c r="W179" s="2">
        <v>22.671</v>
      </c>
      <c r="X179" s="2">
        <v>23.389</v>
      </c>
      <c r="Y179" s="2">
        <v>24.122</v>
      </c>
      <c r="Z179" s="2">
        <v>24.872</v>
      </c>
      <c r="AA179" s="2">
        <v>25.635</v>
      </c>
      <c r="AB179" s="2">
        <v>26.414</v>
      </c>
      <c r="AC179" s="2">
        <v>27.209</v>
      </c>
      <c r="AD179" s="2">
        <v>28.019</v>
      </c>
      <c r="AE179" s="2">
        <v>28.842</v>
      </c>
      <c r="AF179" s="2">
        <v>29.68</v>
      </c>
      <c r="AG179" s="2">
        <v>30.176</v>
      </c>
      <c r="AH179" s="2">
        <v>30.677</v>
      </c>
      <c r="AI179" s="2">
        <v>31.182</v>
      </c>
      <c r="AJ179" s="2">
        <v>31.691</v>
      </c>
      <c r="AK179" s="2">
        <v>32.205</v>
      </c>
      <c r="AL179" s="2">
        <v>32.725</v>
      </c>
      <c r="AM179" s="2">
        <v>33.247</v>
      </c>
      <c r="AN179" s="2">
        <v>33.773</v>
      </c>
      <c r="AO179" s="2">
        <v>34.304</v>
      </c>
      <c r="AP179" s="2">
        <v>34.84</v>
      </c>
      <c r="AQ179" s="2">
        <v>35.669</v>
      </c>
      <c r="AR179" s="2">
        <v>36.508</v>
      </c>
      <c r="AS179" s="2">
        <v>37.356</v>
      </c>
      <c r="AT179" s="2">
        <v>38.212</v>
      </c>
      <c r="AU179" s="2">
        <v>39.074</v>
      </c>
      <c r="AV179" s="2">
        <v>39.943</v>
      </c>
      <c r="AW179" s="2">
        <v>40.819</v>
      </c>
      <c r="AX179" s="2">
        <v>41.702</v>
      </c>
      <c r="AY179" s="2">
        <v>42.588</v>
      </c>
      <c r="AZ179" s="2">
        <v>43.48</v>
      </c>
      <c r="BA179" s="2">
        <v>44.366</v>
      </c>
      <c r="BB179" s="2">
        <v>45.246</v>
      </c>
      <c r="BC179" s="2">
        <v>46.118</v>
      </c>
      <c r="BD179" s="2">
        <v>46.982</v>
      </c>
      <c r="BE179" s="2">
        <v>47.838</v>
      </c>
      <c r="BF179" s="2">
        <v>48.683</v>
      </c>
      <c r="BG179" s="2">
        <v>49.519</v>
      </c>
      <c r="BH179" s="2">
        <v>50.344</v>
      </c>
      <c r="BI179" s="2">
        <v>51.157</v>
      </c>
      <c r="BJ179" s="2">
        <v>51.958</v>
      </c>
      <c r="BK179" s="2">
        <v>52.746</v>
      </c>
      <c r="BL179" s="2">
        <v>53.521</v>
      </c>
      <c r="BM179" s="2">
        <v>54.283</v>
      </c>
      <c r="BN179" s="2">
        <v>55.03</v>
      </c>
      <c r="BO179" s="2">
        <v>2061.2270000000003</v>
      </c>
    </row>
    <row r="180" ht="14.25" customHeight="1">
      <c r="A180" s="2" t="s">
        <v>139</v>
      </c>
      <c r="B180" s="2">
        <v>69.9180690805904</v>
      </c>
      <c r="C180" s="2">
        <v>70.3191959889056</v>
      </c>
      <c r="D180" s="2">
        <v>70.7394470422043</v>
      </c>
      <c r="E180" s="2">
        <v>71.1560385445779</v>
      </c>
      <c r="F180" s="2">
        <v>71.5690525593508</v>
      </c>
      <c r="G180" s="2">
        <v>71.9783721334145</v>
      </c>
      <c r="H180" s="2">
        <v>72.3823013618412</v>
      </c>
      <c r="I180" s="2">
        <v>72.7618894863363</v>
      </c>
      <c r="J180" s="2">
        <v>73.138234872023</v>
      </c>
      <c r="K180" s="2">
        <v>73.5109049798131</v>
      </c>
      <c r="L180" s="2">
        <v>73.8013251392746</v>
      </c>
      <c r="M180" s="2">
        <v>73.8558994838804</v>
      </c>
      <c r="N180" s="2">
        <v>73.8537032200439</v>
      </c>
      <c r="O180" s="2">
        <v>73.8517330954348</v>
      </c>
      <c r="P180" s="2">
        <v>73.8500905142755</v>
      </c>
      <c r="Q180" s="2">
        <v>73.8483189723757</v>
      </c>
      <c r="R180" s="2">
        <v>73.8474390330718</v>
      </c>
      <c r="S180" s="2">
        <v>73.8605726534702</v>
      </c>
      <c r="T180" s="2">
        <v>73.8724295815047</v>
      </c>
      <c r="U180" s="2">
        <v>73.8850973283103</v>
      </c>
      <c r="V180" s="2">
        <v>73.9310234782124</v>
      </c>
      <c r="W180" s="2">
        <v>74.0733441964861</v>
      </c>
      <c r="X180" s="2">
        <v>74.2266553419058</v>
      </c>
      <c r="Y180" s="2">
        <v>74.3796124856135</v>
      </c>
      <c r="Z180" s="2">
        <v>74.5306786093547</v>
      </c>
      <c r="AA180" s="2">
        <v>74.6815627534877</v>
      </c>
      <c r="AB180" s="2">
        <v>74.8314332274583</v>
      </c>
      <c r="AC180" s="2">
        <v>74.9683938676998</v>
      </c>
      <c r="AD180" s="2">
        <v>75.1052134718599</v>
      </c>
      <c r="AE180" s="2">
        <v>75.240746844241</v>
      </c>
      <c r="AF180" s="2">
        <v>75.4331128828764</v>
      </c>
      <c r="AG180" s="2">
        <v>75.7976831146594</v>
      </c>
      <c r="AH180" s="2">
        <v>76.1805582731051</v>
      </c>
      <c r="AI180" s="2">
        <v>76.5587731673707</v>
      </c>
      <c r="AJ180" s="2">
        <v>76.9331828935238</v>
      </c>
      <c r="AK180" s="2">
        <v>77.3030092454184</v>
      </c>
      <c r="AL180" s="2">
        <v>77.6716608468304</v>
      </c>
      <c r="AM180" s="2">
        <v>78.0451821793856</v>
      </c>
      <c r="AN180" s="2">
        <v>78.4154717527385</v>
      </c>
      <c r="AO180" s="2">
        <v>78.7816579730606</v>
      </c>
      <c r="AP180" s="2">
        <v>79.1024052219814</v>
      </c>
      <c r="AQ180" s="2">
        <v>79.2946000347278</v>
      </c>
      <c r="AR180" s="2">
        <v>79.4600916763101</v>
      </c>
      <c r="AS180" s="2">
        <v>79.6247150617386</v>
      </c>
      <c r="AT180" s="2">
        <v>79.7892181733619</v>
      </c>
      <c r="AU180" s="2">
        <v>79.9509204392546</v>
      </c>
      <c r="AV180" s="2">
        <v>80.1139950647123</v>
      </c>
      <c r="AW180" s="2">
        <v>80.2852190690772</v>
      </c>
      <c r="AX180" s="2">
        <v>80.4554653722822</v>
      </c>
      <c r="AY180" s="2">
        <v>80.6246349465011</v>
      </c>
      <c r="AZ180" s="2">
        <v>80.7919048503299</v>
      </c>
      <c r="BA180" s="2">
        <v>80.9625825229991</v>
      </c>
      <c r="BB180" s="2">
        <v>81.1242319014411</v>
      </c>
      <c r="BC180" s="2">
        <v>81.2903152718522</v>
      </c>
      <c r="BD180" s="2">
        <v>81.4598469580181</v>
      </c>
      <c r="BE180" s="2">
        <v>81.6331150379756</v>
      </c>
      <c r="BF180" s="2">
        <v>81.8089016137771</v>
      </c>
      <c r="BG180" s="2">
        <v>81.9899052280505</v>
      </c>
      <c r="BH180" s="2">
        <v>82.17342807829</v>
      </c>
      <c r="BI180" s="2">
        <v>82.3621587015053</v>
      </c>
      <c r="BJ180" s="2">
        <v>82.5536546891322</v>
      </c>
      <c r="BK180" s="2">
        <v>82.7500386541762</v>
      </c>
      <c r="BL180" s="2">
        <v>82.9479010196301</v>
      </c>
      <c r="BM180" s="2">
        <v>83.1481694234628</v>
      </c>
      <c r="BN180" s="2">
        <v>83.351649228819</v>
      </c>
      <c r="BO180" s="2">
        <v>5002.138139915393</v>
      </c>
    </row>
    <row r="181" ht="14.25" customHeight="1">
      <c r="A181" s="2" t="s">
        <v>476</v>
      </c>
      <c r="B181" s="2">
        <v>34.02</v>
      </c>
      <c r="C181" s="2">
        <v>35.214</v>
      </c>
      <c r="D181" s="2">
        <v>36.473</v>
      </c>
      <c r="E181" s="2">
        <v>37.75</v>
      </c>
      <c r="F181" s="2">
        <v>39.047</v>
      </c>
      <c r="G181" s="2">
        <v>40.355</v>
      </c>
      <c r="H181" s="2">
        <v>41.68</v>
      </c>
      <c r="I181" s="2">
        <v>43.016</v>
      </c>
      <c r="J181" s="2">
        <v>44.364</v>
      </c>
      <c r="K181" s="2">
        <v>45.718</v>
      </c>
      <c r="L181" s="2">
        <v>47.079</v>
      </c>
      <c r="M181" s="2">
        <v>48.246</v>
      </c>
      <c r="N181" s="2">
        <v>48.827</v>
      </c>
      <c r="O181" s="2">
        <v>49.407</v>
      </c>
      <c r="P181" s="2">
        <v>49.988</v>
      </c>
      <c r="Q181" s="2">
        <v>50.569</v>
      </c>
      <c r="R181" s="2">
        <v>51.151</v>
      </c>
      <c r="S181" s="2">
        <v>51.73</v>
      </c>
      <c r="T181" s="2">
        <v>52.31</v>
      </c>
      <c r="U181" s="2">
        <v>52.889</v>
      </c>
      <c r="V181" s="2">
        <v>53.469</v>
      </c>
      <c r="W181" s="2">
        <v>54.007</v>
      </c>
      <c r="X181" s="2">
        <v>54.43</v>
      </c>
      <c r="Y181" s="2">
        <v>54.853</v>
      </c>
      <c r="Z181" s="2">
        <v>55.276</v>
      </c>
      <c r="AA181" s="2">
        <v>55.696</v>
      </c>
      <c r="AB181" s="2">
        <v>56.117</v>
      </c>
      <c r="AC181" s="2">
        <v>56.536</v>
      </c>
      <c r="AD181" s="2">
        <v>56.955</v>
      </c>
      <c r="AE181" s="2">
        <v>57.373</v>
      </c>
      <c r="AF181" s="2">
        <v>57.789</v>
      </c>
      <c r="AG181" s="2">
        <v>58.234</v>
      </c>
      <c r="AH181" s="2">
        <v>58.764</v>
      </c>
      <c r="AI181" s="2">
        <v>59.291</v>
      </c>
      <c r="AJ181" s="2">
        <v>59.794</v>
      </c>
      <c r="AK181" s="2">
        <v>59.587</v>
      </c>
      <c r="AL181" s="2">
        <v>59.38</v>
      </c>
      <c r="AM181" s="2">
        <v>59.172</v>
      </c>
      <c r="AN181" s="2">
        <v>58.965</v>
      </c>
      <c r="AO181" s="2">
        <v>58.757</v>
      </c>
      <c r="AP181" s="2">
        <v>58.548</v>
      </c>
      <c r="AQ181" s="2">
        <v>58.339</v>
      </c>
      <c r="AR181" s="2">
        <v>58.13</v>
      </c>
      <c r="AS181" s="2">
        <v>57.921</v>
      </c>
      <c r="AT181" s="2">
        <v>57.711</v>
      </c>
      <c r="AU181" s="2">
        <v>57.532</v>
      </c>
      <c r="AV181" s="2">
        <v>57.383</v>
      </c>
      <c r="AW181" s="2">
        <v>57.264</v>
      </c>
      <c r="AX181" s="2">
        <v>57.175</v>
      </c>
      <c r="AY181" s="2">
        <v>57.117</v>
      </c>
      <c r="AZ181" s="2">
        <v>57.089</v>
      </c>
      <c r="BA181" s="2">
        <v>57.092</v>
      </c>
      <c r="BB181" s="2">
        <v>57.125</v>
      </c>
      <c r="BC181" s="2">
        <v>57.189</v>
      </c>
      <c r="BD181" s="2">
        <v>57.284</v>
      </c>
      <c r="BE181" s="2">
        <v>57.408</v>
      </c>
      <c r="BF181" s="2">
        <v>57.563</v>
      </c>
      <c r="BG181" s="2">
        <v>57.748</v>
      </c>
      <c r="BH181" s="2">
        <v>57.963</v>
      </c>
      <c r="BI181" s="2">
        <v>58.208</v>
      </c>
      <c r="BJ181" s="2">
        <v>58.482</v>
      </c>
      <c r="BK181" s="2">
        <v>58.786</v>
      </c>
      <c r="BL181" s="2">
        <v>59.118</v>
      </c>
      <c r="BM181" s="2">
        <v>59.479</v>
      </c>
      <c r="BN181" s="2">
        <v>59.868</v>
      </c>
      <c r="BO181" s="2">
        <v>3491.8</v>
      </c>
    </row>
    <row r="182" ht="14.25" customHeight="1">
      <c r="A182" s="2" t="s">
        <v>558</v>
      </c>
      <c r="B182" s="2">
        <v>51.219</v>
      </c>
      <c r="C182" s="2">
        <v>52.741</v>
      </c>
      <c r="D182" s="2">
        <v>54.26</v>
      </c>
      <c r="E182" s="2">
        <v>55.771</v>
      </c>
      <c r="F182" s="2">
        <v>57.274</v>
      </c>
      <c r="G182" s="2">
        <v>58.759</v>
      </c>
      <c r="H182" s="2">
        <v>60.231</v>
      </c>
      <c r="I182" s="2">
        <v>61.688</v>
      </c>
      <c r="J182" s="2">
        <v>64.592</v>
      </c>
      <c r="K182" s="2">
        <v>67.384</v>
      </c>
      <c r="L182" s="2">
        <v>70.062</v>
      </c>
      <c r="M182" s="2">
        <v>72.609</v>
      </c>
      <c r="N182" s="2">
        <v>75.021</v>
      </c>
      <c r="O182" s="2">
        <v>77.28</v>
      </c>
      <c r="P182" s="2">
        <v>79.016</v>
      </c>
      <c r="Q182" s="2">
        <v>80.554</v>
      </c>
      <c r="R182" s="2">
        <v>82.007</v>
      </c>
      <c r="S182" s="2">
        <v>83.37</v>
      </c>
      <c r="T182" s="2">
        <v>84.651</v>
      </c>
      <c r="U182" s="2">
        <v>85.85</v>
      </c>
      <c r="V182" s="2">
        <v>86.784</v>
      </c>
      <c r="W182" s="2">
        <v>87.117</v>
      </c>
      <c r="X182" s="2">
        <v>87.444</v>
      </c>
      <c r="Y182" s="2">
        <v>87.763</v>
      </c>
      <c r="Z182" s="2">
        <v>88.076</v>
      </c>
      <c r="AA182" s="2">
        <v>88.381</v>
      </c>
      <c r="AB182" s="2">
        <v>88.679</v>
      </c>
      <c r="AC182" s="2">
        <v>88.971</v>
      </c>
      <c r="AD182" s="2">
        <v>89.257</v>
      </c>
      <c r="AE182" s="2">
        <v>89.535</v>
      </c>
      <c r="AF182" s="2">
        <v>89.731</v>
      </c>
      <c r="AG182" s="2">
        <v>89.697</v>
      </c>
      <c r="AH182" s="2">
        <v>89.662</v>
      </c>
      <c r="AI182" s="2">
        <v>89.627</v>
      </c>
      <c r="AJ182" s="2">
        <v>89.592</v>
      </c>
      <c r="AK182" s="2">
        <v>89.557</v>
      </c>
      <c r="AL182" s="2">
        <v>89.655</v>
      </c>
      <c r="AM182" s="2">
        <v>89.784</v>
      </c>
      <c r="AN182" s="2">
        <v>89.912</v>
      </c>
      <c r="AO182" s="2">
        <v>90.038</v>
      </c>
      <c r="AP182" s="2">
        <v>90.152</v>
      </c>
      <c r="AQ182" s="2">
        <v>90.235</v>
      </c>
      <c r="AR182" s="2">
        <v>90.316</v>
      </c>
      <c r="AS182" s="2">
        <v>90.398</v>
      </c>
      <c r="AT182" s="2">
        <v>90.478</v>
      </c>
      <c r="AU182" s="2">
        <v>90.558</v>
      </c>
      <c r="AV182" s="2">
        <v>90.638</v>
      </c>
      <c r="AW182" s="2">
        <v>90.716</v>
      </c>
      <c r="AX182" s="2">
        <v>90.795</v>
      </c>
      <c r="AY182" s="2">
        <v>90.872</v>
      </c>
      <c r="AZ182" s="2">
        <v>90.949</v>
      </c>
      <c r="BA182" s="2">
        <v>91.028</v>
      </c>
      <c r="BB182" s="2">
        <v>91.108</v>
      </c>
      <c r="BC182" s="2">
        <v>91.19</v>
      </c>
      <c r="BD182" s="2">
        <v>91.273</v>
      </c>
      <c r="BE182" s="2">
        <v>91.357</v>
      </c>
      <c r="BF182" s="2">
        <v>91.443</v>
      </c>
      <c r="BG182" s="2">
        <v>91.53</v>
      </c>
      <c r="BH182" s="2">
        <v>91.618</v>
      </c>
      <c r="BI182" s="2">
        <v>91.708</v>
      </c>
      <c r="BJ182" s="2">
        <v>91.798</v>
      </c>
      <c r="BK182" s="2">
        <v>91.89</v>
      </c>
      <c r="BL182" s="2">
        <v>91.983</v>
      </c>
      <c r="BM182" s="2">
        <v>92.076</v>
      </c>
      <c r="BN182" s="2">
        <v>92.171</v>
      </c>
      <c r="BO182" s="2">
        <v>5431.881</v>
      </c>
    </row>
    <row r="183" ht="14.25" customHeight="1">
      <c r="A183" s="2" t="s">
        <v>94</v>
      </c>
      <c r="B183" s="2">
        <v>49.92</v>
      </c>
      <c r="C183" s="2">
        <v>50.998</v>
      </c>
      <c r="D183" s="2">
        <v>52.653</v>
      </c>
      <c r="E183" s="2">
        <v>54.302</v>
      </c>
      <c r="F183" s="2">
        <v>55.944</v>
      </c>
      <c r="G183" s="2">
        <v>57.568</v>
      </c>
      <c r="H183" s="2">
        <v>59.179</v>
      </c>
      <c r="I183" s="2">
        <v>60.77</v>
      </c>
      <c r="J183" s="2">
        <v>62.34</v>
      </c>
      <c r="K183" s="2">
        <v>63.881</v>
      </c>
      <c r="L183" s="2">
        <v>65.396</v>
      </c>
      <c r="M183" s="2">
        <v>66.23</v>
      </c>
      <c r="N183" s="2">
        <v>66.725</v>
      </c>
      <c r="O183" s="2">
        <v>67.216</v>
      </c>
      <c r="P183" s="2">
        <v>67.703</v>
      </c>
      <c r="Q183" s="2">
        <v>68.187</v>
      </c>
      <c r="R183" s="2">
        <v>68.667</v>
      </c>
      <c r="S183" s="2">
        <v>69.142</v>
      </c>
      <c r="T183" s="2">
        <v>69.614</v>
      </c>
      <c r="U183" s="2">
        <v>70.081</v>
      </c>
      <c r="V183" s="2">
        <v>70.545</v>
      </c>
      <c r="W183" s="2">
        <v>70.787</v>
      </c>
      <c r="X183" s="2">
        <v>70.918</v>
      </c>
      <c r="Y183" s="2">
        <v>71.049</v>
      </c>
      <c r="Z183" s="2">
        <v>71.18</v>
      </c>
      <c r="AA183" s="2">
        <v>71.31</v>
      </c>
      <c r="AB183" s="2">
        <v>71.44</v>
      </c>
      <c r="AC183" s="2">
        <v>71.57</v>
      </c>
      <c r="AD183" s="2">
        <v>71.699</v>
      </c>
      <c r="AE183" s="2">
        <v>71.828</v>
      </c>
      <c r="AF183" s="2">
        <v>71.956</v>
      </c>
      <c r="AG183" s="2">
        <v>72.265</v>
      </c>
      <c r="AH183" s="2">
        <v>72.665</v>
      </c>
      <c r="AI183" s="2">
        <v>73.061</v>
      </c>
      <c r="AJ183" s="2">
        <v>73.453</v>
      </c>
      <c r="AK183" s="2">
        <v>73.787</v>
      </c>
      <c r="AL183" s="2">
        <v>74.062</v>
      </c>
      <c r="AM183" s="2">
        <v>74.476</v>
      </c>
      <c r="AN183" s="2">
        <v>75.027</v>
      </c>
      <c r="AO183" s="2">
        <v>75.569</v>
      </c>
      <c r="AP183" s="2">
        <v>76.02</v>
      </c>
      <c r="AQ183" s="2">
        <v>76.378</v>
      </c>
      <c r="AR183" s="2">
        <v>76.733</v>
      </c>
      <c r="AS183" s="2">
        <v>77.084</v>
      </c>
      <c r="AT183" s="2">
        <v>77.399</v>
      </c>
      <c r="AU183" s="2">
        <v>77.675</v>
      </c>
      <c r="AV183" s="2">
        <v>77.95</v>
      </c>
      <c r="AW183" s="2">
        <v>78.234</v>
      </c>
      <c r="AX183" s="2">
        <v>78.526</v>
      </c>
      <c r="AY183" s="2">
        <v>78.815</v>
      </c>
      <c r="AZ183" s="2">
        <v>79.102</v>
      </c>
      <c r="BA183" s="2">
        <v>79.455</v>
      </c>
      <c r="BB183" s="2">
        <v>79.874</v>
      </c>
      <c r="BC183" s="2">
        <v>80.286</v>
      </c>
      <c r="BD183" s="2">
        <v>80.692</v>
      </c>
      <c r="BE183" s="2">
        <v>81.091</v>
      </c>
      <c r="BF183" s="2">
        <v>81.485</v>
      </c>
      <c r="BG183" s="2">
        <v>81.871</v>
      </c>
      <c r="BH183" s="2">
        <v>82.248</v>
      </c>
      <c r="BI183" s="2">
        <v>82.616</v>
      </c>
      <c r="BJ183" s="2">
        <v>82.974</v>
      </c>
      <c r="BK183" s="2">
        <v>83.323</v>
      </c>
      <c r="BL183" s="2">
        <v>83.664</v>
      </c>
      <c r="BM183" s="2">
        <v>83.995</v>
      </c>
      <c r="BN183" s="2">
        <v>84.318</v>
      </c>
      <c r="BO183" s="2">
        <v>4696.971</v>
      </c>
    </row>
    <row r="184" ht="14.25" customHeight="1">
      <c r="A184" s="2" t="s">
        <v>559</v>
      </c>
      <c r="B184" s="2">
        <v>62.1412454784483</v>
      </c>
      <c r="C184" s="2">
        <v>62.6385155536095</v>
      </c>
      <c r="D184" s="2">
        <v>63.1368659515588</v>
      </c>
      <c r="E184" s="2">
        <v>63.651441357557</v>
      </c>
      <c r="F184" s="2">
        <v>64.1656716445124</v>
      </c>
      <c r="G184" s="2">
        <v>64.6652675752034</v>
      </c>
      <c r="H184" s="2">
        <v>65.1617863524074</v>
      </c>
      <c r="I184" s="2">
        <v>65.6679764759034</v>
      </c>
      <c r="J184" s="2">
        <v>66.1661567000176</v>
      </c>
      <c r="K184" s="2">
        <v>66.6437341785754</v>
      </c>
      <c r="L184" s="2">
        <v>67.1069441146969</v>
      </c>
      <c r="M184" s="2">
        <v>67.5107467784089</v>
      </c>
      <c r="N184" s="2">
        <v>67.8793889662164</v>
      </c>
      <c r="O184" s="2">
        <v>68.2393521690339</v>
      </c>
      <c r="P184" s="2">
        <v>68.5959228442022</v>
      </c>
      <c r="Q184" s="2">
        <v>68.9349708279247</v>
      </c>
      <c r="R184" s="2">
        <v>69.2053080374188</v>
      </c>
      <c r="S184" s="2">
        <v>69.4647347199735</v>
      </c>
      <c r="T184" s="2">
        <v>69.7268955140762</v>
      </c>
      <c r="U184" s="2">
        <v>69.9849061153478</v>
      </c>
      <c r="V184" s="2">
        <v>70.2427449732978</v>
      </c>
      <c r="W184" s="2">
        <v>70.5488572386701</v>
      </c>
      <c r="X184" s="2">
        <v>70.835216462596</v>
      </c>
      <c r="Y184" s="2">
        <v>71.1056434226485</v>
      </c>
      <c r="Z184" s="2">
        <v>71.3671497694397</v>
      </c>
      <c r="AA184" s="2">
        <v>71.6299732539313</v>
      </c>
      <c r="AB184" s="2">
        <v>71.8988110423125</v>
      </c>
      <c r="AC184" s="2">
        <v>72.1866279421356</v>
      </c>
      <c r="AD184" s="2">
        <v>72.4718125598049</v>
      </c>
      <c r="AE184" s="2">
        <v>72.7358701220033</v>
      </c>
      <c r="AF184" s="2">
        <v>73.0178891903443</v>
      </c>
      <c r="AG184" s="2">
        <v>73.3017769591262</v>
      </c>
      <c r="AH184" s="2">
        <v>73.5662353537082</v>
      </c>
      <c r="AI184" s="2">
        <v>73.8342919187999</v>
      </c>
      <c r="AJ184" s="2">
        <v>74.107121554201</v>
      </c>
      <c r="AK184" s="2">
        <v>74.3784408626072</v>
      </c>
      <c r="AL184" s="2">
        <v>74.628851863791</v>
      </c>
      <c r="AM184" s="2">
        <v>74.8700738141218</v>
      </c>
      <c r="AN184" s="2">
        <v>75.1106565735509</v>
      </c>
      <c r="AO184" s="2">
        <v>75.3519641892462</v>
      </c>
      <c r="AP184" s="2">
        <v>75.5919773921323</v>
      </c>
      <c r="AQ184" s="2">
        <v>75.9427542496699</v>
      </c>
      <c r="AR184" s="2">
        <v>76.3468613558336</v>
      </c>
      <c r="AS184" s="2">
        <v>76.7313280457089</v>
      </c>
      <c r="AT184" s="2">
        <v>77.1007415664553</v>
      </c>
      <c r="AU184" s="2">
        <v>77.4560044751301</v>
      </c>
      <c r="AV184" s="2">
        <v>77.7848292767345</v>
      </c>
      <c r="AW184" s="2">
        <v>78.1013257119815</v>
      </c>
      <c r="AX184" s="2">
        <v>78.4021401942086</v>
      </c>
      <c r="AY184" s="2">
        <v>78.6937274093909</v>
      </c>
      <c r="AZ184" s="2">
        <v>78.9786810675555</v>
      </c>
      <c r="BA184" s="2">
        <v>79.2034329070797</v>
      </c>
      <c r="BB184" s="2">
        <v>79.4011845423572</v>
      </c>
      <c r="BC184" s="2">
        <v>79.6009303447064</v>
      </c>
      <c r="BD184" s="2">
        <v>79.7992968078709</v>
      </c>
      <c r="BE184" s="2">
        <v>79.9974429739664</v>
      </c>
      <c r="BF184" s="2">
        <v>80.1981065926716</v>
      </c>
      <c r="BG184" s="2">
        <v>80.4018750480223</v>
      </c>
      <c r="BH184" s="2">
        <v>80.6055820250278</v>
      </c>
      <c r="BI184" s="2">
        <v>80.8158684349034</v>
      </c>
      <c r="BJ184" s="2">
        <v>81.0327653324629</v>
      </c>
      <c r="BK184" s="2">
        <v>81.2513148285263</v>
      </c>
      <c r="BL184" s="2">
        <v>81.4656772954835</v>
      </c>
      <c r="BM184" s="2">
        <v>81.686628113738</v>
      </c>
      <c r="BN184" s="2">
        <v>81.9124825016309</v>
      </c>
      <c r="BO184" s="2">
        <v>4766.380798914677</v>
      </c>
    </row>
    <row r="185" ht="14.25" customHeight="1">
      <c r="A185" s="2" t="s">
        <v>477</v>
      </c>
      <c r="B185" s="2">
        <v>16.4</v>
      </c>
      <c r="C185" s="2">
        <v>17.475</v>
      </c>
      <c r="D185" s="2">
        <v>18.607</v>
      </c>
      <c r="E185" s="2">
        <v>19.794</v>
      </c>
      <c r="F185" s="2">
        <v>21.04</v>
      </c>
      <c r="G185" s="2">
        <v>22.338</v>
      </c>
      <c r="H185" s="2">
        <v>23.694</v>
      </c>
      <c r="I185" s="2">
        <v>25.106</v>
      </c>
      <c r="J185" s="2">
        <v>26.575</v>
      </c>
      <c r="K185" s="2">
        <v>28.093</v>
      </c>
      <c r="L185" s="2">
        <v>29.665</v>
      </c>
      <c r="M185" s="2">
        <v>31.287</v>
      </c>
      <c r="N185" s="2">
        <v>32.958</v>
      </c>
      <c r="O185" s="2">
        <v>34.669</v>
      </c>
      <c r="P185" s="2">
        <v>36.423</v>
      </c>
      <c r="Q185" s="2">
        <v>38.213</v>
      </c>
      <c r="R185" s="2">
        <v>40.039</v>
      </c>
      <c r="S185" s="2">
        <v>41.888</v>
      </c>
      <c r="T185" s="2">
        <v>43.762</v>
      </c>
      <c r="U185" s="2">
        <v>45.654</v>
      </c>
      <c r="V185" s="2">
        <v>47.562</v>
      </c>
      <c r="W185" s="2">
        <v>49.471</v>
      </c>
      <c r="X185" s="2">
        <v>51.385</v>
      </c>
      <c r="Y185" s="2">
        <v>53.294</v>
      </c>
      <c r="Z185" s="2">
        <v>55.197</v>
      </c>
      <c r="AA185" s="2">
        <v>57.079</v>
      </c>
      <c r="AB185" s="2">
        <v>58.944</v>
      </c>
      <c r="AC185" s="2">
        <v>60.783</v>
      </c>
      <c r="AD185" s="2">
        <v>62.594</v>
      </c>
      <c r="AE185" s="2">
        <v>64.366</v>
      </c>
      <c r="AF185" s="2">
        <v>66.102</v>
      </c>
      <c r="AG185" s="2">
        <v>67.796</v>
      </c>
      <c r="AH185" s="2">
        <v>69.447</v>
      </c>
      <c r="AI185" s="2">
        <v>71.044</v>
      </c>
      <c r="AJ185" s="2">
        <v>71.688</v>
      </c>
      <c r="AK185" s="2">
        <v>71.669</v>
      </c>
      <c r="AL185" s="2">
        <v>71.649</v>
      </c>
      <c r="AM185" s="2">
        <v>71.629</v>
      </c>
      <c r="AN185" s="2">
        <v>71.609</v>
      </c>
      <c r="AO185" s="2">
        <v>71.589</v>
      </c>
      <c r="AP185" s="2">
        <v>71.569</v>
      </c>
      <c r="AQ185" s="2">
        <v>71.549</v>
      </c>
      <c r="AR185" s="2">
        <v>71.529</v>
      </c>
      <c r="AS185" s="2">
        <v>71.509</v>
      </c>
      <c r="AT185" s="2">
        <v>71.827</v>
      </c>
      <c r="AU185" s="2">
        <v>72.4</v>
      </c>
      <c r="AV185" s="2">
        <v>72.967</v>
      </c>
      <c r="AW185" s="2">
        <v>73.527</v>
      </c>
      <c r="AX185" s="2">
        <v>74.08</v>
      </c>
      <c r="AY185" s="2">
        <v>74.624</v>
      </c>
      <c r="AZ185" s="2">
        <v>75.161</v>
      </c>
      <c r="BA185" s="2">
        <v>76.183</v>
      </c>
      <c r="BB185" s="2">
        <v>77.564</v>
      </c>
      <c r="BC185" s="2">
        <v>78.882</v>
      </c>
      <c r="BD185" s="2">
        <v>80.145</v>
      </c>
      <c r="BE185" s="2">
        <v>81.35</v>
      </c>
      <c r="BF185" s="2">
        <v>82.5</v>
      </c>
      <c r="BG185" s="2">
        <v>83.56</v>
      </c>
      <c r="BH185" s="2">
        <v>84.539</v>
      </c>
      <c r="BI185" s="2">
        <v>85.443</v>
      </c>
      <c r="BJ185" s="2">
        <v>86.276</v>
      </c>
      <c r="BK185" s="2">
        <v>87.044</v>
      </c>
      <c r="BL185" s="2">
        <v>87.75</v>
      </c>
      <c r="BM185" s="2">
        <v>88.4</v>
      </c>
      <c r="BN185" s="2">
        <v>88.998</v>
      </c>
      <c r="BO185" s="2">
        <v>3827.9529999999995</v>
      </c>
    </row>
    <row r="186" ht="14.25" customHeight="1">
      <c r="A186" s="2" t="s">
        <v>560</v>
      </c>
      <c r="B186" s="2">
        <v>36.2645861870741</v>
      </c>
      <c r="C186" s="2">
        <v>36.7097953645829</v>
      </c>
      <c r="D186" s="2">
        <v>37.1742072724357</v>
      </c>
      <c r="E186" s="2">
        <v>37.6522859970172</v>
      </c>
      <c r="F186" s="2">
        <v>38.154948801346</v>
      </c>
      <c r="G186" s="2">
        <v>38.6571431506369</v>
      </c>
      <c r="H186" s="2">
        <v>39.1469038474834</v>
      </c>
      <c r="I186" s="2">
        <v>39.6008443311517</v>
      </c>
      <c r="J186" s="2">
        <v>40.0765405280452</v>
      </c>
      <c r="K186" s="2">
        <v>40.5558230913704</v>
      </c>
      <c r="L186" s="2">
        <v>41.0253207716414</v>
      </c>
      <c r="M186" s="2">
        <v>41.5077009627318</v>
      </c>
      <c r="N186" s="2">
        <v>41.9781689152951</v>
      </c>
      <c r="O186" s="2">
        <v>42.3599137319066</v>
      </c>
      <c r="P186" s="2">
        <v>42.8836886173065</v>
      </c>
      <c r="Q186" s="2">
        <v>43.4346192976426</v>
      </c>
      <c r="R186" s="2">
        <v>43.9848133109653</v>
      </c>
      <c r="S186" s="2">
        <v>44.4947905461927</v>
      </c>
      <c r="T186" s="2">
        <v>44.9936716666227</v>
      </c>
      <c r="U186" s="2">
        <v>45.4447201200545</v>
      </c>
      <c r="V186" s="2">
        <v>45.8537772728329</v>
      </c>
      <c r="W186" s="2">
        <v>46.2901073188737</v>
      </c>
      <c r="X186" s="2">
        <v>46.7645400918397</v>
      </c>
      <c r="Y186" s="2">
        <v>47.1037699630691</v>
      </c>
      <c r="Z186" s="2">
        <v>47.4401328551733</v>
      </c>
      <c r="AA186" s="2">
        <v>47.8050559475933</v>
      </c>
      <c r="AB186" s="2">
        <v>48.1991694912815</v>
      </c>
      <c r="AC186" s="2">
        <v>48.5995489172033</v>
      </c>
      <c r="AD186" s="2">
        <v>48.9851814205933</v>
      </c>
      <c r="AE186" s="2">
        <v>49.3468017126342</v>
      </c>
      <c r="AF186" s="2">
        <v>49.7187074016689</v>
      </c>
      <c r="AG186" s="2">
        <v>49.9599936440207</v>
      </c>
      <c r="AH186" s="2">
        <v>50.0559835226686</v>
      </c>
      <c r="AI186" s="2">
        <v>50.1254795901355</v>
      </c>
      <c r="AJ186" s="2">
        <v>50.2893430442929</v>
      </c>
      <c r="AK186" s="2">
        <v>50.4740098450274</v>
      </c>
      <c r="AL186" s="2">
        <v>50.6248785866327</v>
      </c>
      <c r="AM186" s="2">
        <v>50.7885931044785</v>
      </c>
      <c r="AN186" s="2">
        <v>50.9326398599181</v>
      </c>
      <c r="AO186" s="2">
        <v>51.4743760807991</v>
      </c>
      <c r="AP186" s="2">
        <v>51.972000256328</v>
      </c>
      <c r="AQ186" s="2">
        <v>52.0331152086912</v>
      </c>
      <c r="AR186" s="2">
        <v>52.0890259940328</v>
      </c>
      <c r="AS186" s="2">
        <v>52.2142351759671</v>
      </c>
      <c r="AT186" s="2">
        <v>52.3852551461716</v>
      </c>
      <c r="AU186" s="2">
        <v>52.5322613641958</v>
      </c>
      <c r="AV186" s="2">
        <v>52.6416635820601</v>
      </c>
      <c r="AW186" s="2">
        <v>52.7475516643655</v>
      </c>
      <c r="AX186" s="2">
        <v>52.8849948894559</v>
      </c>
      <c r="AY186" s="2">
        <v>53.0206349728792</v>
      </c>
      <c r="AZ186" s="2">
        <v>53.1452622797676</v>
      </c>
      <c r="BA186" s="2">
        <v>53.2575372775719</v>
      </c>
      <c r="BB186" s="2">
        <v>53.3942915386121</v>
      </c>
      <c r="BC186" s="2">
        <v>53.554042630812</v>
      </c>
      <c r="BD186" s="2">
        <v>53.7330540038995</v>
      </c>
      <c r="BE186" s="2">
        <v>53.9285991640959</v>
      </c>
      <c r="BF186" s="2">
        <v>54.1312327242729</v>
      </c>
      <c r="BG186" s="2">
        <v>54.3571454093448</v>
      </c>
      <c r="BH186" s="2">
        <v>54.6048276212628</v>
      </c>
      <c r="BI186" s="2">
        <v>54.8602862593732</v>
      </c>
      <c r="BJ186" s="2">
        <v>55.0796303402671</v>
      </c>
      <c r="BK186" s="2">
        <v>55.271772715976</v>
      </c>
      <c r="BL186" s="2">
        <v>55.5597027670278</v>
      </c>
      <c r="BM186" s="2">
        <v>55.8999738244511</v>
      </c>
      <c r="BN186" s="2">
        <v>56.2194745868699</v>
      </c>
      <c r="BO186" s="2">
        <v>3138.4501475799907</v>
      </c>
    </row>
    <row r="187" ht="14.25" customHeight="1">
      <c r="A187" s="2" t="s">
        <v>561</v>
      </c>
      <c r="B187" s="2">
        <v>22.053890280884</v>
      </c>
      <c r="C187" s="2">
        <v>22.4937335405289</v>
      </c>
      <c r="D187" s="2">
        <v>22.9482217840754</v>
      </c>
      <c r="E187" s="2">
        <v>23.413609236415</v>
      </c>
      <c r="F187" s="2">
        <v>23.8889265909453</v>
      </c>
      <c r="G187" s="2">
        <v>24.3687102878779</v>
      </c>
      <c r="H187" s="2">
        <v>24.842637490055</v>
      </c>
      <c r="I187" s="2">
        <v>25.2239211421761</v>
      </c>
      <c r="J187" s="2">
        <v>25.6076220801856</v>
      </c>
      <c r="K187" s="2">
        <v>26.0106953967173</v>
      </c>
      <c r="L187" s="2">
        <v>26.3972076397099</v>
      </c>
      <c r="M187" s="2">
        <v>26.7466713119641</v>
      </c>
      <c r="N187" s="2">
        <v>27.0736619226718</v>
      </c>
      <c r="O187" s="2">
        <v>27.3817798549118</v>
      </c>
      <c r="P187" s="2">
        <v>27.5935091750156</v>
      </c>
      <c r="Q187" s="2">
        <v>27.7677841490693</v>
      </c>
      <c r="R187" s="2">
        <v>27.9572751580912</v>
      </c>
      <c r="S187" s="2">
        <v>28.1080572437986</v>
      </c>
      <c r="T187" s="2">
        <v>28.2624044510146</v>
      </c>
      <c r="U187" s="2">
        <v>28.4211994383484</v>
      </c>
      <c r="V187" s="2">
        <v>28.5908516881681</v>
      </c>
      <c r="W187" s="2">
        <v>28.7920469177398</v>
      </c>
      <c r="X187" s="2">
        <v>29.0090947970137</v>
      </c>
      <c r="Y187" s="2">
        <v>29.2308308694746</v>
      </c>
      <c r="Z187" s="2">
        <v>29.456772674959</v>
      </c>
      <c r="AA187" s="2">
        <v>29.6867010889156</v>
      </c>
      <c r="AB187" s="2">
        <v>29.9136487164061</v>
      </c>
      <c r="AC187" s="2">
        <v>30.3033362744159</v>
      </c>
      <c r="AD187" s="2">
        <v>30.7000234341502</v>
      </c>
      <c r="AE187" s="2">
        <v>31.083699320144</v>
      </c>
      <c r="AF187" s="2">
        <v>31.4476092491187</v>
      </c>
      <c r="AG187" s="2">
        <v>31.8062525651792</v>
      </c>
      <c r="AH187" s="2">
        <v>32.1550173011308</v>
      </c>
      <c r="AI187" s="2">
        <v>32.4906341841018</v>
      </c>
      <c r="AJ187" s="2">
        <v>32.8202351306464</v>
      </c>
      <c r="AK187" s="2">
        <v>33.1243645775383</v>
      </c>
      <c r="AL187" s="2">
        <v>33.4569450461029</v>
      </c>
      <c r="AM187" s="2">
        <v>33.6865625659327</v>
      </c>
      <c r="AN187" s="2">
        <v>33.9052947504079</v>
      </c>
      <c r="AO187" s="2">
        <v>34.1266239303297</v>
      </c>
      <c r="AP187" s="2">
        <v>34.3907342310581</v>
      </c>
      <c r="AQ187" s="2">
        <v>34.658033442608</v>
      </c>
      <c r="AR187" s="2">
        <v>34.8879793606847</v>
      </c>
      <c r="AS187" s="2">
        <v>35.1160448506832</v>
      </c>
      <c r="AT187" s="2">
        <v>35.3598678684039</v>
      </c>
      <c r="AU187" s="2">
        <v>35.6035670209937</v>
      </c>
      <c r="AV187" s="2">
        <v>35.868218622181</v>
      </c>
      <c r="AW187" s="2">
        <v>36.1478256745242</v>
      </c>
      <c r="AX187" s="2">
        <v>36.4569424667487</v>
      </c>
      <c r="AY187" s="2">
        <v>36.7627309286898</v>
      </c>
      <c r="AZ187" s="2">
        <v>37.0133602010833</v>
      </c>
      <c r="BA187" s="2">
        <v>37.2122094632295</v>
      </c>
      <c r="BB187" s="2">
        <v>37.4001775537814</v>
      </c>
      <c r="BC187" s="2">
        <v>37.5825207998049</v>
      </c>
      <c r="BD187" s="2">
        <v>37.7632566682875</v>
      </c>
      <c r="BE187" s="2">
        <v>37.9418362727714</v>
      </c>
      <c r="BF187" s="2">
        <v>38.1171567107677</v>
      </c>
      <c r="BG187" s="2">
        <v>38.279362098949</v>
      </c>
      <c r="BH187" s="2">
        <v>38.4317318565748</v>
      </c>
      <c r="BI187" s="2">
        <v>38.6080266824362</v>
      </c>
      <c r="BJ187" s="2">
        <v>38.818511637736</v>
      </c>
      <c r="BK187" s="2">
        <v>39.038081094103</v>
      </c>
      <c r="BL187" s="2">
        <v>39.2714686784769</v>
      </c>
      <c r="BM187" s="2">
        <v>39.5195613366532</v>
      </c>
      <c r="BN187" s="2">
        <v>39.7689648917691</v>
      </c>
      <c r="BO187" s="2">
        <v>2072.36623366933</v>
      </c>
    </row>
    <row r="188" ht="14.25" customHeight="1">
      <c r="A188" s="2" t="s">
        <v>95</v>
      </c>
      <c r="B188" s="2">
        <v>22.104</v>
      </c>
      <c r="C188" s="2">
        <v>22.501</v>
      </c>
      <c r="D188" s="2">
        <v>22.751</v>
      </c>
      <c r="E188" s="2">
        <v>23.002</v>
      </c>
      <c r="F188" s="2">
        <v>23.256</v>
      </c>
      <c r="G188" s="2">
        <v>23.511</v>
      </c>
      <c r="H188" s="2">
        <v>23.769</v>
      </c>
      <c r="I188" s="2">
        <v>24.028</v>
      </c>
      <c r="J188" s="2">
        <v>24.289</v>
      </c>
      <c r="K188" s="2">
        <v>24.552</v>
      </c>
      <c r="L188" s="2">
        <v>24.817</v>
      </c>
      <c r="M188" s="2">
        <v>25.084</v>
      </c>
      <c r="N188" s="2">
        <v>25.353</v>
      </c>
      <c r="O188" s="2">
        <v>25.671</v>
      </c>
      <c r="P188" s="2">
        <v>26.005</v>
      </c>
      <c r="Q188" s="2">
        <v>26.341</v>
      </c>
      <c r="R188" s="2">
        <v>26.681</v>
      </c>
      <c r="S188" s="2">
        <v>27.023</v>
      </c>
      <c r="T188" s="2">
        <v>27.368</v>
      </c>
      <c r="U188" s="2">
        <v>27.715</v>
      </c>
      <c r="V188" s="2">
        <v>28.066</v>
      </c>
      <c r="W188" s="2">
        <v>28.38</v>
      </c>
      <c r="X188" s="2">
        <v>28.619</v>
      </c>
      <c r="Y188" s="2">
        <v>28.859</v>
      </c>
      <c r="Z188" s="2">
        <v>29.101</v>
      </c>
      <c r="AA188" s="2">
        <v>29.344</v>
      </c>
      <c r="AB188" s="2">
        <v>29.588</v>
      </c>
      <c r="AC188" s="2">
        <v>29.833</v>
      </c>
      <c r="AD188" s="2">
        <v>30.08</v>
      </c>
      <c r="AE188" s="2">
        <v>30.327</v>
      </c>
      <c r="AF188" s="2">
        <v>30.576</v>
      </c>
      <c r="AG188" s="2">
        <v>30.826</v>
      </c>
      <c r="AH188" s="2">
        <v>31.077</v>
      </c>
      <c r="AI188" s="2">
        <v>31.329</v>
      </c>
      <c r="AJ188" s="2">
        <v>31.582</v>
      </c>
      <c r="AK188" s="2">
        <v>31.836</v>
      </c>
      <c r="AL188" s="2">
        <v>32.092</v>
      </c>
      <c r="AM188" s="2">
        <v>32.348</v>
      </c>
      <c r="AN188" s="2">
        <v>32.585</v>
      </c>
      <c r="AO188" s="2">
        <v>32.783</v>
      </c>
      <c r="AP188" s="2">
        <v>32.982</v>
      </c>
      <c r="AQ188" s="2">
        <v>33.18</v>
      </c>
      <c r="AR188" s="2">
        <v>33.38</v>
      </c>
      <c r="AS188" s="2">
        <v>33.58</v>
      </c>
      <c r="AT188" s="2">
        <v>33.781</v>
      </c>
      <c r="AU188" s="2">
        <v>33.982</v>
      </c>
      <c r="AV188" s="2">
        <v>34.184</v>
      </c>
      <c r="AW188" s="2">
        <v>34.387</v>
      </c>
      <c r="AX188" s="2">
        <v>34.59</v>
      </c>
      <c r="AY188" s="2">
        <v>34.793</v>
      </c>
      <c r="AZ188" s="2">
        <v>34.997</v>
      </c>
      <c r="BA188" s="2">
        <v>35.202</v>
      </c>
      <c r="BB188" s="2">
        <v>35.408</v>
      </c>
      <c r="BC188" s="2">
        <v>35.613</v>
      </c>
      <c r="BD188" s="2">
        <v>35.819</v>
      </c>
      <c r="BE188" s="2">
        <v>36.026</v>
      </c>
      <c r="BF188" s="2">
        <v>36.234</v>
      </c>
      <c r="BG188" s="2">
        <v>36.442</v>
      </c>
      <c r="BH188" s="2">
        <v>36.666</v>
      </c>
      <c r="BI188" s="2">
        <v>36.907</v>
      </c>
      <c r="BJ188" s="2">
        <v>37.165</v>
      </c>
      <c r="BK188" s="2">
        <v>37.44</v>
      </c>
      <c r="BL188" s="2">
        <v>37.731</v>
      </c>
      <c r="BM188" s="2">
        <v>38.04</v>
      </c>
      <c r="BN188" s="2">
        <v>38.365</v>
      </c>
      <c r="BO188" s="2">
        <v>1991.9459999999995</v>
      </c>
    </row>
    <row r="189" ht="14.25" customHeight="1">
      <c r="A189" s="2" t="s">
        <v>562</v>
      </c>
      <c r="B189" s="2">
        <v>56.823</v>
      </c>
      <c r="C189" s="2">
        <v>57.114</v>
      </c>
      <c r="D189" s="2">
        <v>57.405</v>
      </c>
      <c r="E189" s="2">
        <v>57.696</v>
      </c>
      <c r="F189" s="2">
        <v>57.987</v>
      </c>
      <c r="G189" s="2">
        <v>58.276</v>
      </c>
      <c r="H189" s="2">
        <v>58.565</v>
      </c>
      <c r="I189" s="2">
        <v>58.853</v>
      </c>
      <c r="J189" s="2">
        <v>59.142</v>
      </c>
      <c r="K189" s="2">
        <v>59.429</v>
      </c>
      <c r="L189" s="2">
        <v>59.715</v>
      </c>
      <c r="M189" s="2">
        <v>60.001</v>
      </c>
      <c r="N189" s="2">
        <v>60.287</v>
      </c>
      <c r="O189" s="2">
        <v>60.571</v>
      </c>
      <c r="P189" s="2">
        <v>60.855</v>
      </c>
      <c r="Q189" s="2">
        <v>61.138</v>
      </c>
      <c r="R189" s="2">
        <v>61.421</v>
      </c>
      <c r="S189" s="2">
        <v>61.702</v>
      </c>
      <c r="T189" s="2">
        <v>61.983</v>
      </c>
      <c r="U189" s="2">
        <v>62.263</v>
      </c>
      <c r="V189" s="2">
        <v>62.542</v>
      </c>
      <c r="W189" s="2">
        <v>63.409</v>
      </c>
      <c r="X189" s="2">
        <v>64.422</v>
      </c>
      <c r="Y189" s="2">
        <v>65.421</v>
      </c>
      <c r="Z189" s="2">
        <v>66.409</v>
      </c>
      <c r="AA189" s="2">
        <v>67.38</v>
      </c>
      <c r="AB189" s="2">
        <v>68.188</v>
      </c>
      <c r="AC189" s="2">
        <v>68.541</v>
      </c>
      <c r="AD189" s="2">
        <v>68.892</v>
      </c>
      <c r="AE189" s="2">
        <v>69.24</v>
      </c>
      <c r="AF189" s="2">
        <v>69.593</v>
      </c>
      <c r="AG189" s="2">
        <v>69.966</v>
      </c>
      <c r="AH189" s="2">
        <v>70.337</v>
      </c>
      <c r="AI189" s="2">
        <v>70.704</v>
      </c>
      <c r="AJ189" s="2">
        <v>71.069</v>
      </c>
      <c r="AK189" s="2">
        <v>71.431</v>
      </c>
      <c r="AL189" s="2">
        <v>71.306</v>
      </c>
      <c r="AM189" s="2">
        <v>71.066</v>
      </c>
      <c r="AN189" s="2">
        <v>70.825</v>
      </c>
      <c r="AO189" s="2">
        <v>70.582</v>
      </c>
      <c r="AP189" s="2">
        <v>70.338</v>
      </c>
      <c r="AQ189" s="2">
        <v>70.093</v>
      </c>
      <c r="AR189" s="2">
        <v>69.847</v>
      </c>
      <c r="AS189" s="2">
        <v>69.6</v>
      </c>
      <c r="AT189" s="2">
        <v>70.383</v>
      </c>
      <c r="AU189" s="2">
        <v>71.152</v>
      </c>
      <c r="AV189" s="2">
        <v>71.91</v>
      </c>
      <c r="AW189" s="2">
        <v>72.655</v>
      </c>
      <c r="AX189" s="2">
        <v>73.389</v>
      </c>
      <c r="AY189" s="2">
        <v>74.109</v>
      </c>
      <c r="AZ189" s="2">
        <v>74.817</v>
      </c>
      <c r="BA189" s="2">
        <v>75.511</v>
      </c>
      <c r="BB189" s="2">
        <v>76.194</v>
      </c>
      <c r="BC189" s="2">
        <v>76.862</v>
      </c>
      <c r="BD189" s="2">
        <v>77.517</v>
      </c>
      <c r="BE189" s="2">
        <v>78.159</v>
      </c>
      <c r="BF189" s="2">
        <v>78.775</v>
      </c>
      <c r="BG189" s="2">
        <v>79.365</v>
      </c>
      <c r="BH189" s="2">
        <v>79.93</v>
      </c>
      <c r="BI189" s="2">
        <v>80.47</v>
      </c>
      <c r="BJ189" s="2">
        <v>80.988</v>
      </c>
      <c r="BK189" s="2">
        <v>81.483</v>
      </c>
      <c r="BL189" s="2">
        <v>81.956</v>
      </c>
      <c r="BM189" s="2">
        <v>82.408</v>
      </c>
      <c r="BN189" s="2">
        <v>82.839</v>
      </c>
      <c r="BO189" s="2">
        <v>4463.299</v>
      </c>
    </row>
    <row r="190" ht="14.25" customHeight="1">
      <c r="A190" s="2" t="s">
        <v>96</v>
      </c>
      <c r="B190" s="2">
        <v>41.249</v>
      </c>
      <c r="C190" s="2">
        <v>41.853</v>
      </c>
      <c r="D190" s="2">
        <v>42.494</v>
      </c>
      <c r="E190" s="2">
        <v>43.137</v>
      </c>
      <c r="F190" s="2">
        <v>43.784</v>
      </c>
      <c r="G190" s="2">
        <v>44.431</v>
      </c>
      <c r="H190" s="2">
        <v>45.08</v>
      </c>
      <c r="I190" s="2">
        <v>45.732</v>
      </c>
      <c r="J190" s="2">
        <v>46.385</v>
      </c>
      <c r="K190" s="2">
        <v>47.038</v>
      </c>
      <c r="L190" s="2">
        <v>47.64</v>
      </c>
      <c r="M190" s="2">
        <v>47.919</v>
      </c>
      <c r="N190" s="2">
        <v>48.199</v>
      </c>
      <c r="O190" s="2">
        <v>48.479</v>
      </c>
      <c r="P190" s="2">
        <v>48.759</v>
      </c>
      <c r="Q190" s="2">
        <v>49.038</v>
      </c>
      <c r="R190" s="2">
        <v>49.319</v>
      </c>
      <c r="S190" s="2">
        <v>49.598</v>
      </c>
      <c r="T190" s="2">
        <v>49.879</v>
      </c>
      <c r="U190" s="2">
        <v>50.159</v>
      </c>
      <c r="V190" s="2">
        <v>50.447</v>
      </c>
      <c r="W190" s="2">
        <v>50.786</v>
      </c>
      <c r="X190" s="2">
        <v>51.126</v>
      </c>
      <c r="Y190" s="2">
        <v>51.465</v>
      </c>
      <c r="Z190" s="2">
        <v>51.805</v>
      </c>
      <c r="AA190" s="2">
        <v>52.143</v>
      </c>
      <c r="AB190" s="2">
        <v>52.482</v>
      </c>
      <c r="AC190" s="2">
        <v>52.82</v>
      </c>
      <c r="AD190" s="2">
        <v>53.159</v>
      </c>
      <c r="AE190" s="2">
        <v>53.497</v>
      </c>
      <c r="AF190" s="2">
        <v>53.903</v>
      </c>
      <c r="AG190" s="2">
        <v>54.757</v>
      </c>
      <c r="AH190" s="2">
        <v>55.609</v>
      </c>
      <c r="AI190" s="2">
        <v>56.456</v>
      </c>
      <c r="AJ190" s="2">
        <v>57.301</v>
      </c>
      <c r="AK190" s="2">
        <v>58.141</v>
      </c>
      <c r="AL190" s="2">
        <v>58.978</v>
      </c>
      <c r="AM190" s="2">
        <v>59.807</v>
      </c>
      <c r="AN190" s="2">
        <v>60.632</v>
      </c>
      <c r="AO190" s="2">
        <v>61.451</v>
      </c>
      <c r="AP190" s="2">
        <v>62.198</v>
      </c>
      <c r="AQ190" s="2">
        <v>62.497</v>
      </c>
      <c r="AR190" s="2">
        <v>62.794</v>
      </c>
      <c r="AS190" s="2">
        <v>63.091</v>
      </c>
      <c r="AT190" s="2">
        <v>63.387</v>
      </c>
      <c r="AU190" s="2">
        <v>63.682</v>
      </c>
      <c r="AV190" s="2">
        <v>63.976</v>
      </c>
      <c r="AW190" s="2">
        <v>64.268</v>
      </c>
      <c r="AX190" s="2">
        <v>64.56</v>
      </c>
      <c r="AY190" s="2">
        <v>64.851</v>
      </c>
      <c r="AZ190" s="2">
        <v>65.14</v>
      </c>
      <c r="BA190" s="2">
        <v>65.437</v>
      </c>
      <c r="BB190" s="2">
        <v>65.741</v>
      </c>
      <c r="BC190" s="2">
        <v>66.052</v>
      </c>
      <c r="BD190" s="2">
        <v>66.371</v>
      </c>
      <c r="BE190" s="2">
        <v>66.696</v>
      </c>
      <c r="BF190" s="2">
        <v>67.027</v>
      </c>
      <c r="BG190" s="2">
        <v>67.365</v>
      </c>
      <c r="BH190" s="2">
        <v>67.709</v>
      </c>
      <c r="BI190" s="2">
        <v>68.059</v>
      </c>
      <c r="BJ190" s="2">
        <v>68.414</v>
      </c>
      <c r="BK190" s="2">
        <v>68.775</v>
      </c>
      <c r="BL190" s="2">
        <v>69.141</v>
      </c>
      <c r="BM190" s="2">
        <v>69.512</v>
      </c>
      <c r="BN190" s="2">
        <v>69.888</v>
      </c>
      <c r="BO190" s="2">
        <v>3673.568</v>
      </c>
    </row>
    <row r="191" ht="14.25" customHeight="1">
      <c r="A191" s="2" t="s">
        <v>478</v>
      </c>
      <c r="B191" s="2">
        <v>3.725</v>
      </c>
      <c r="C191" s="2">
        <v>4.024</v>
      </c>
      <c r="D191" s="2">
        <v>4.347</v>
      </c>
      <c r="E191" s="2">
        <v>4.694</v>
      </c>
      <c r="F191" s="2">
        <v>5.069</v>
      </c>
      <c r="G191" s="2">
        <v>5.47</v>
      </c>
      <c r="H191" s="2">
        <v>5.902</v>
      </c>
      <c r="I191" s="2">
        <v>6.712</v>
      </c>
      <c r="J191" s="2">
        <v>7.625</v>
      </c>
      <c r="K191" s="2">
        <v>8.649</v>
      </c>
      <c r="L191" s="2">
        <v>9.796</v>
      </c>
      <c r="M191" s="2">
        <v>11.078</v>
      </c>
      <c r="N191" s="2">
        <v>11.3</v>
      </c>
      <c r="O191" s="2">
        <v>11.507</v>
      </c>
      <c r="P191" s="2">
        <v>11.717</v>
      </c>
      <c r="Q191" s="2">
        <v>11.93</v>
      </c>
      <c r="R191" s="2">
        <v>12.147</v>
      </c>
      <c r="S191" s="2">
        <v>12.366</v>
      </c>
      <c r="T191" s="2">
        <v>12.59</v>
      </c>
      <c r="U191" s="2">
        <v>12.817</v>
      </c>
      <c r="V191" s="2">
        <v>13.047</v>
      </c>
      <c r="W191" s="2">
        <v>13.242</v>
      </c>
      <c r="X191" s="2">
        <v>13.428</v>
      </c>
      <c r="Y191" s="2">
        <v>13.616</v>
      </c>
      <c r="Z191" s="2">
        <v>13.806</v>
      </c>
      <c r="AA191" s="2">
        <v>13.998</v>
      </c>
      <c r="AB191" s="2">
        <v>14.193</v>
      </c>
      <c r="AC191" s="2">
        <v>14.39</v>
      </c>
      <c r="AD191" s="2">
        <v>14.589</v>
      </c>
      <c r="AE191" s="2">
        <v>14.791</v>
      </c>
      <c r="AF191" s="2">
        <v>14.994</v>
      </c>
      <c r="AG191" s="2">
        <v>14.816</v>
      </c>
      <c r="AH191" s="2">
        <v>14.629</v>
      </c>
      <c r="AI191" s="2">
        <v>14.445</v>
      </c>
      <c r="AJ191" s="2">
        <v>14.262</v>
      </c>
      <c r="AK191" s="2">
        <v>14.081</v>
      </c>
      <c r="AL191" s="2">
        <v>13.901</v>
      </c>
      <c r="AM191" s="2">
        <v>13.724</v>
      </c>
      <c r="AN191" s="2">
        <v>13.549</v>
      </c>
      <c r="AO191" s="2">
        <v>13.375</v>
      </c>
      <c r="AP191" s="2">
        <v>13.204</v>
      </c>
      <c r="AQ191" s="2">
        <v>13.182</v>
      </c>
      <c r="AR191" s="2">
        <v>13.164</v>
      </c>
      <c r="AS191" s="2">
        <v>13.146</v>
      </c>
      <c r="AT191" s="2">
        <v>13.127</v>
      </c>
      <c r="AU191" s="2">
        <v>13.109</v>
      </c>
      <c r="AV191" s="2">
        <v>13.091</v>
      </c>
      <c r="AW191" s="2">
        <v>13.073</v>
      </c>
      <c r="AX191" s="2">
        <v>13.055</v>
      </c>
      <c r="AY191" s="2">
        <v>13.037</v>
      </c>
      <c r="AZ191" s="2">
        <v>13.019</v>
      </c>
      <c r="BA191" s="2">
        <v>13.0</v>
      </c>
      <c r="BB191" s="2">
        <v>12.982</v>
      </c>
      <c r="BC191" s="2">
        <v>12.978</v>
      </c>
      <c r="BD191" s="2">
        <v>12.988</v>
      </c>
      <c r="BE191" s="2">
        <v>13.012</v>
      </c>
      <c r="BF191" s="2">
        <v>13.05</v>
      </c>
      <c r="BG191" s="2">
        <v>13.102</v>
      </c>
      <c r="BH191" s="2">
        <v>13.169</v>
      </c>
      <c r="BI191" s="2">
        <v>13.25</v>
      </c>
      <c r="BJ191" s="2">
        <v>13.345</v>
      </c>
      <c r="BK191" s="2">
        <v>13.456</v>
      </c>
      <c r="BL191" s="2">
        <v>13.582</v>
      </c>
      <c r="BM191" s="2">
        <v>13.723</v>
      </c>
      <c r="BN191" s="2">
        <v>13.88</v>
      </c>
      <c r="BO191" s="2">
        <v>784.0649999999997</v>
      </c>
    </row>
    <row r="192" ht="14.25" customHeight="1">
      <c r="A192" s="2" t="s">
        <v>97</v>
      </c>
      <c r="B192" s="2">
        <v>35.569</v>
      </c>
      <c r="C192" s="2">
        <v>35.67</v>
      </c>
      <c r="D192" s="2">
        <v>35.771</v>
      </c>
      <c r="E192" s="2">
        <v>35.916</v>
      </c>
      <c r="F192" s="2">
        <v>36.079</v>
      </c>
      <c r="G192" s="2">
        <v>36.243</v>
      </c>
      <c r="H192" s="2">
        <v>36.407</v>
      </c>
      <c r="I192" s="2">
        <v>36.571</v>
      </c>
      <c r="J192" s="2">
        <v>36.735</v>
      </c>
      <c r="K192" s="2">
        <v>36.9</v>
      </c>
      <c r="L192" s="2">
        <v>37.065</v>
      </c>
      <c r="M192" s="2">
        <v>37.23</v>
      </c>
      <c r="N192" s="2">
        <v>37.396</v>
      </c>
      <c r="O192" s="2">
        <v>37.916</v>
      </c>
      <c r="P192" s="2">
        <v>38.447</v>
      </c>
      <c r="Q192" s="2">
        <v>38.981</v>
      </c>
      <c r="R192" s="2">
        <v>39.518</v>
      </c>
      <c r="S192" s="2">
        <v>40.056</v>
      </c>
      <c r="T192" s="2">
        <v>40.598</v>
      </c>
      <c r="U192" s="2">
        <v>41.141</v>
      </c>
      <c r="V192" s="2">
        <v>41.688</v>
      </c>
      <c r="W192" s="2">
        <v>42.235</v>
      </c>
      <c r="X192" s="2">
        <v>42.785</v>
      </c>
      <c r="Y192" s="2">
        <v>43.512</v>
      </c>
      <c r="Z192" s="2">
        <v>44.247</v>
      </c>
      <c r="AA192" s="2">
        <v>44.983</v>
      </c>
      <c r="AB192" s="2">
        <v>45.722</v>
      </c>
      <c r="AC192" s="2">
        <v>46.463</v>
      </c>
      <c r="AD192" s="2">
        <v>47.207</v>
      </c>
      <c r="AE192" s="2">
        <v>47.949</v>
      </c>
      <c r="AF192" s="2">
        <v>48.694</v>
      </c>
      <c r="AG192" s="2">
        <v>49.439</v>
      </c>
      <c r="AH192" s="2">
        <v>50.186</v>
      </c>
      <c r="AI192" s="2">
        <v>50.844</v>
      </c>
      <c r="AJ192" s="2">
        <v>51.488</v>
      </c>
      <c r="AK192" s="2">
        <v>52.131</v>
      </c>
      <c r="AL192" s="2">
        <v>52.774</v>
      </c>
      <c r="AM192" s="2">
        <v>53.414</v>
      </c>
      <c r="AN192" s="2">
        <v>54.054</v>
      </c>
      <c r="AO192" s="2">
        <v>54.693</v>
      </c>
      <c r="AP192" s="2">
        <v>55.331</v>
      </c>
      <c r="AQ192" s="2">
        <v>55.966</v>
      </c>
      <c r="AR192" s="2">
        <v>56.6</v>
      </c>
      <c r="AS192" s="2">
        <v>56.977</v>
      </c>
      <c r="AT192" s="2">
        <v>57.305</v>
      </c>
      <c r="AU192" s="2">
        <v>57.633</v>
      </c>
      <c r="AV192" s="2">
        <v>57.96</v>
      </c>
      <c r="AW192" s="2">
        <v>58.286</v>
      </c>
      <c r="AX192" s="2">
        <v>58.612</v>
      </c>
      <c r="AY192" s="2">
        <v>58.937</v>
      </c>
      <c r="AZ192" s="2">
        <v>59.261</v>
      </c>
      <c r="BA192" s="2">
        <v>59.584</v>
      </c>
      <c r="BB192" s="2">
        <v>59.907</v>
      </c>
      <c r="BC192" s="2">
        <v>60.197</v>
      </c>
      <c r="BD192" s="2">
        <v>60.474</v>
      </c>
      <c r="BE192" s="2">
        <v>60.75</v>
      </c>
      <c r="BF192" s="2">
        <v>61.026</v>
      </c>
      <c r="BG192" s="2">
        <v>61.3</v>
      </c>
      <c r="BH192" s="2">
        <v>61.585</v>
      </c>
      <c r="BI192" s="2">
        <v>61.879</v>
      </c>
      <c r="BJ192" s="2">
        <v>62.183</v>
      </c>
      <c r="BK192" s="2">
        <v>62.496</v>
      </c>
      <c r="BL192" s="2">
        <v>62.818</v>
      </c>
      <c r="BM192" s="2">
        <v>63.149</v>
      </c>
      <c r="BN192" s="2">
        <v>63.489</v>
      </c>
      <c r="BO192" s="2">
        <v>3208.4220000000005</v>
      </c>
    </row>
    <row r="193" ht="14.25" customHeight="1">
      <c r="A193" s="2" t="s">
        <v>98</v>
      </c>
      <c r="B193" s="2">
        <v>46.811</v>
      </c>
      <c r="C193" s="2">
        <v>47.398</v>
      </c>
      <c r="D193" s="2">
        <v>48.514</v>
      </c>
      <c r="E193" s="2">
        <v>49.632</v>
      </c>
      <c r="F193" s="2">
        <v>50.752</v>
      </c>
      <c r="G193" s="2">
        <v>51.868</v>
      </c>
      <c r="H193" s="2">
        <v>52.983</v>
      </c>
      <c r="I193" s="2">
        <v>54.096</v>
      </c>
      <c r="J193" s="2">
        <v>55.207</v>
      </c>
      <c r="K193" s="2">
        <v>56.309</v>
      </c>
      <c r="L193" s="2">
        <v>57.406</v>
      </c>
      <c r="M193" s="2">
        <v>58.496</v>
      </c>
      <c r="N193" s="2">
        <v>59.547</v>
      </c>
      <c r="O193" s="2">
        <v>60.188</v>
      </c>
      <c r="P193" s="2">
        <v>60.827</v>
      </c>
      <c r="Q193" s="2">
        <v>61.461</v>
      </c>
      <c r="R193" s="2">
        <v>62.093</v>
      </c>
      <c r="S193" s="2">
        <v>62.719</v>
      </c>
      <c r="T193" s="2">
        <v>63.341</v>
      </c>
      <c r="U193" s="2">
        <v>63.96</v>
      </c>
      <c r="V193" s="2">
        <v>64.574</v>
      </c>
      <c r="W193" s="2">
        <v>65.182</v>
      </c>
      <c r="X193" s="2">
        <v>65.61</v>
      </c>
      <c r="Y193" s="2">
        <v>66.031</v>
      </c>
      <c r="Z193" s="2">
        <v>66.449</v>
      </c>
      <c r="AA193" s="2">
        <v>66.864</v>
      </c>
      <c r="AB193" s="2">
        <v>67.277</v>
      </c>
      <c r="AC193" s="2">
        <v>67.687</v>
      </c>
      <c r="AD193" s="2">
        <v>68.095</v>
      </c>
      <c r="AE193" s="2">
        <v>68.499</v>
      </c>
      <c r="AF193" s="2">
        <v>68.901</v>
      </c>
      <c r="AG193" s="2">
        <v>69.3</v>
      </c>
      <c r="AH193" s="2">
        <v>69.697</v>
      </c>
      <c r="AI193" s="2">
        <v>70.089</v>
      </c>
      <c r="AJ193" s="2">
        <v>70.521</v>
      </c>
      <c r="AK193" s="2">
        <v>70.951</v>
      </c>
      <c r="AL193" s="2">
        <v>71.377</v>
      </c>
      <c r="AM193" s="2">
        <v>71.798</v>
      </c>
      <c r="AN193" s="2">
        <v>72.216</v>
      </c>
      <c r="AO193" s="2">
        <v>72.631</v>
      </c>
      <c r="AP193" s="2">
        <v>73.042</v>
      </c>
      <c r="AQ193" s="2">
        <v>73.448</v>
      </c>
      <c r="AR193" s="2">
        <v>73.85</v>
      </c>
      <c r="AS193" s="2">
        <v>74.249</v>
      </c>
      <c r="AT193" s="2">
        <v>74.644</v>
      </c>
      <c r="AU193" s="2">
        <v>75.034</v>
      </c>
      <c r="AV193" s="2">
        <v>75.421</v>
      </c>
      <c r="AW193" s="2">
        <v>75.803</v>
      </c>
      <c r="AX193" s="2">
        <v>76.052</v>
      </c>
      <c r="AY193" s="2">
        <v>76.241</v>
      </c>
      <c r="AZ193" s="2">
        <v>76.43</v>
      </c>
      <c r="BA193" s="2">
        <v>76.617</v>
      </c>
      <c r="BB193" s="2">
        <v>76.804</v>
      </c>
      <c r="BC193" s="2">
        <v>76.989</v>
      </c>
      <c r="BD193" s="2">
        <v>77.173</v>
      </c>
      <c r="BE193" s="2">
        <v>77.357</v>
      </c>
      <c r="BF193" s="2">
        <v>77.539</v>
      </c>
      <c r="BG193" s="2">
        <v>77.72</v>
      </c>
      <c r="BH193" s="2">
        <v>77.907</v>
      </c>
      <c r="BI193" s="2">
        <v>78.099</v>
      </c>
      <c r="BJ193" s="2">
        <v>78.297</v>
      </c>
      <c r="BK193" s="2">
        <v>78.5</v>
      </c>
      <c r="BL193" s="2">
        <v>78.708</v>
      </c>
      <c r="BM193" s="2">
        <v>78.922</v>
      </c>
      <c r="BN193" s="2">
        <v>79.139</v>
      </c>
      <c r="BO193" s="2">
        <v>4411.341999999999</v>
      </c>
    </row>
    <row r="194" ht="14.25" customHeight="1">
      <c r="A194" s="2" t="s">
        <v>99</v>
      </c>
      <c r="B194" s="2">
        <v>30.297</v>
      </c>
      <c r="C194" s="2">
        <v>30.555</v>
      </c>
      <c r="D194" s="2">
        <v>30.816</v>
      </c>
      <c r="E194" s="2">
        <v>31.077</v>
      </c>
      <c r="F194" s="2">
        <v>31.34</v>
      </c>
      <c r="G194" s="2">
        <v>31.604</v>
      </c>
      <c r="H194" s="2">
        <v>31.869</v>
      </c>
      <c r="I194" s="2">
        <v>32.135</v>
      </c>
      <c r="J194" s="2">
        <v>32.403</v>
      </c>
      <c r="K194" s="2">
        <v>32.672</v>
      </c>
      <c r="L194" s="2">
        <v>32.979</v>
      </c>
      <c r="M194" s="2">
        <v>33.493</v>
      </c>
      <c r="N194" s="2">
        <v>34.012</v>
      </c>
      <c r="O194" s="2">
        <v>34.533</v>
      </c>
      <c r="P194" s="2">
        <v>35.059</v>
      </c>
      <c r="Q194" s="2">
        <v>35.56</v>
      </c>
      <c r="R194" s="2">
        <v>35.917</v>
      </c>
      <c r="S194" s="2">
        <v>36.275</v>
      </c>
      <c r="T194" s="2">
        <v>36.635</v>
      </c>
      <c r="U194" s="2">
        <v>36.997</v>
      </c>
      <c r="V194" s="2">
        <v>37.456</v>
      </c>
      <c r="W194" s="2">
        <v>38.394</v>
      </c>
      <c r="X194" s="2">
        <v>39.343</v>
      </c>
      <c r="Y194" s="2">
        <v>40.3</v>
      </c>
      <c r="Z194" s="2">
        <v>41.266</v>
      </c>
      <c r="AA194" s="2">
        <v>42.235</v>
      </c>
      <c r="AB194" s="2">
        <v>43.212</v>
      </c>
      <c r="AC194" s="2">
        <v>44.195</v>
      </c>
      <c r="AD194" s="2">
        <v>45.183</v>
      </c>
      <c r="AE194" s="2">
        <v>46.172</v>
      </c>
      <c r="AF194" s="2">
        <v>46.986</v>
      </c>
      <c r="AG194" s="2">
        <v>46.901</v>
      </c>
      <c r="AH194" s="2">
        <v>46.815</v>
      </c>
      <c r="AI194" s="2">
        <v>46.73</v>
      </c>
      <c r="AJ194" s="2">
        <v>46.645</v>
      </c>
      <c r="AK194" s="2">
        <v>46.56</v>
      </c>
      <c r="AL194" s="2">
        <v>46.475</v>
      </c>
      <c r="AM194" s="2">
        <v>46.39</v>
      </c>
      <c r="AN194" s="2">
        <v>46.305</v>
      </c>
      <c r="AO194" s="2">
        <v>46.22</v>
      </c>
      <c r="AP194" s="2">
        <v>46.135</v>
      </c>
      <c r="AQ194" s="2">
        <v>46.05</v>
      </c>
      <c r="AR194" s="2">
        <v>45.965</v>
      </c>
      <c r="AS194" s="2">
        <v>45.88</v>
      </c>
      <c r="AT194" s="2">
        <v>45.795</v>
      </c>
      <c r="AU194" s="2">
        <v>45.71</v>
      </c>
      <c r="AV194" s="2">
        <v>45.625</v>
      </c>
      <c r="AW194" s="2">
        <v>45.54</v>
      </c>
      <c r="AX194" s="2">
        <v>45.455</v>
      </c>
      <c r="AY194" s="2">
        <v>45.371</v>
      </c>
      <c r="AZ194" s="2">
        <v>45.332</v>
      </c>
      <c r="BA194" s="2">
        <v>45.522</v>
      </c>
      <c r="BB194" s="2">
        <v>45.712</v>
      </c>
      <c r="BC194" s="2">
        <v>45.903</v>
      </c>
      <c r="BD194" s="2">
        <v>46.093</v>
      </c>
      <c r="BE194" s="2">
        <v>46.284</v>
      </c>
      <c r="BF194" s="2">
        <v>46.475</v>
      </c>
      <c r="BG194" s="2">
        <v>46.682</v>
      </c>
      <c r="BH194" s="2">
        <v>46.907</v>
      </c>
      <c r="BI194" s="2">
        <v>47.149</v>
      </c>
      <c r="BJ194" s="2">
        <v>47.408</v>
      </c>
      <c r="BK194" s="2">
        <v>47.684</v>
      </c>
      <c r="BL194" s="2">
        <v>47.977</v>
      </c>
      <c r="BM194" s="2">
        <v>48.287</v>
      </c>
      <c r="BN194" s="2">
        <v>48.614</v>
      </c>
      <c r="BO194" s="2">
        <v>2709.5659999999993</v>
      </c>
    </row>
    <row r="195" ht="14.25" customHeight="1">
      <c r="A195" s="2" t="s">
        <v>100</v>
      </c>
      <c r="B195" s="2">
        <v>47.892</v>
      </c>
      <c r="C195" s="2">
        <v>48.527</v>
      </c>
      <c r="D195" s="2">
        <v>48.926</v>
      </c>
      <c r="E195" s="2">
        <v>49.326</v>
      </c>
      <c r="F195" s="2">
        <v>49.727</v>
      </c>
      <c r="G195" s="2">
        <v>50.126</v>
      </c>
      <c r="H195" s="2">
        <v>50.526</v>
      </c>
      <c r="I195" s="2">
        <v>50.926</v>
      </c>
      <c r="J195" s="2">
        <v>51.326</v>
      </c>
      <c r="K195" s="2">
        <v>51.726</v>
      </c>
      <c r="L195" s="2">
        <v>52.125</v>
      </c>
      <c r="M195" s="2">
        <v>52.668</v>
      </c>
      <c r="N195" s="2">
        <v>53.324</v>
      </c>
      <c r="O195" s="2">
        <v>53.977</v>
      </c>
      <c r="P195" s="2">
        <v>54.629</v>
      </c>
      <c r="Q195" s="2">
        <v>55.28</v>
      </c>
      <c r="R195" s="2">
        <v>55.929</v>
      </c>
      <c r="S195" s="2">
        <v>56.575</v>
      </c>
      <c r="T195" s="2">
        <v>57.22</v>
      </c>
      <c r="U195" s="2">
        <v>57.712</v>
      </c>
      <c r="V195" s="2">
        <v>58.086</v>
      </c>
      <c r="W195" s="2">
        <v>58.459</v>
      </c>
      <c r="X195" s="2">
        <v>58.831</v>
      </c>
      <c r="Y195" s="2">
        <v>59.202</v>
      </c>
      <c r="Z195" s="2">
        <v>59.573</v>
      </c>
      <c r="AA195" s="2">
        <v>59.942</v>
      </c>
      <c r="AB195" s="2">
        <v>60.31</v>
      </c>
      <c r="AC195" s="2">
        <v>60.676</v>
      </c>
      <c r="AD195" s="2">
        <v>61.043</v>
      </c>
      <c r="AE195" s="2">
        <v>61.225</v>
      </c>
      <c r="AF195" s="2">
        <v>61.27</v>
      </c>
      <c r="AG195" s="2">
        <v>61.315</v>
      </c>
      <c r="AH195" s="2">
        <v>61.359</v>
      </c>
      <c r="AI195" s="2">
        <v>61.404</v>
      </c>
      <c r="AJ195" s="2">
        <v>61.449</v>
      </c>
      <c r="AK195" s="2">
        <v>61.493</v>
      </c>
      <c r="AL195" s="2">
        <v>61.538</v>
      </c>
      <c r="AM195" s="2">
        <v>61.583</v>
      </c>
      <c r="AN195" s="2">
        <v>61.627</v>
      </c>
      <c r="AO195" s="2">
        <v>61.672</v>
      </c>
      <c r="AP195" s="2">
        <v>61.716</v>
      </c>
      <c r="AQ195" s="2">
        <v>61.761</v>
      </c>
      <c r="AR195" s="2">
        <v>61.787</v>
      </c>
      <c r="AS195" s="2">
        <v>61.676</v>
      </c>
      <c r="AT195" s="2">
        <v>61.564</v>
      </c>
      <c r="AU195" s="2">
        <v>61.452</v>
      </c>
      <c r="AV195" s="2">
        <v>61.341</v>
      </c>
      <c r="AW195" s="2">
        <v>61.229</v>
      </c>
      <c r="AX195" s="2">
        <v>61.116</v>
      </c>
      <c r="AY195" s="2">
        <v>61.004</v>
      </c>
      <c r="AZ195" s="2">
        <v>60.892</v>
      </c>
      <c r="BA195" s="2">
        <v>60.78</v>
      </c>
      <c r="BB195" s="2">
        <v>60.654</v>
      </c>
      <c r="BC195" s="2">
        <v>60.529</v>
      </c>
      <c r="BD195" s="2">
        <v>60.403</v>
      </c>
      <c r="BE195" s="2">
        <v>60.278</v>
      </c>
      <c r="BF195" s="2">
        <v>60.178</v>
      </c>
      <c r="BG195" s="2">
        <v>60.105</v>
      </c>
      <c r="BH195" s="2">
        <v>60.058</v>
      </c>
      <c r="BI195" s="2">
        <v>60.037</v>
      </c>
      <c r="BJ195" s="2">
        <v>60.043</v>
      </c>
      <c r="BK195" s="2">
        <v>60.075</v>
      </c>
      <c r="BL195" s="2">
        <v>60.134</v>
      </c>
      <c r="BM195" s="2">
        <v>60.218</v>
      </c>
      <c r="BN195" s="2">
        <v>60.33</v>
      </c>
      <c r="BO195" s="2">
        <v>3779.883999999998</v>
      </c>
    </row>
    <row r="196" ht="14.25" customHeight="1">
      <c r="A196" s="2" t="s">
        <v>101</v>
      </c>
      <c r="B196" s="2">
        <v>34.955</v>
      </c>
      <c r="C196" s="2">
        <v>35.344</v>
      </c>
      <c r="D196" s="2">
        <v>35.722</v>
      </c>
      <c r="E196" s="2">
        <v>36.101</v>
      </c>
      <c r="F196" s="2">
        <v>36.483</v>
      </c>
      <c r="G196" s="2">
        <v>36.866</v>
      </c>
      <c r="H196" s="2">
        <v>37.25</v>
      </c>
      <c r="I196" s="2">
        <v>37.636</v>
      </c>
      <c r="J196" s="2">
        <v>38.025</v>
      </c>
      <c r="K196" s="2">
        <v>38.414</v>
      </c>
      <c r="L196" s="2">
        <v>38.804</v>
      </c>
      <c r="M196" s="2">
        <v>39.197</v>
      </c>
      <c r="N196" s="2">
        <v>39.591</v>
      </c>
      <c r="O196" s="2">
        <v>39.985</v>
      </c>
      <c r="P196" s="2">
        <v>40.382</v>
      </c>
      <c r="Q196" s="2">
        <v>40.779</v>
      </c>
      <c r="R196" s="2">
        <v>41.179</v>
      </c>
      <c r="S196" s="2">
        <v>41.578</v>
      </c>
      <c r="T196" s="2">
        <v>41.979</v>
      </c>
      <c r="U196" s="2">
        <v>42.381</v>
      </c>
      <c r="V196" s="2">
        <v>42.785</v>
      </c>
      <c r="W196" s="2">
        <v>43.221</v>
      </c>
      <c r="X196" s="2">
        <v>43.738</v>
      </c>
      <c r="Y196" s="2">
        <v>44.257</v>
      </c>
      <c r="Z196" s="2">
        <v>44.777</v>
      </c>
      <c r="AA196" s="2">
        <v>45.298</v>
      </c>
      <c r="AB196" s="2">
        <v>45.82</v>
      </c>
      <c r="AC196" s="2">
        <v>46.342</v>
      </c>
      <c r="AD196" s="2">
        <v>46.867</v>
      </c>
      <c r="AE196" s="2">
        <v>47.391</v>
      </c>
      <c r="AF196" s="2">
        <v>47.915</v>
      </c>
      <c r="AG196" s="2">
        <v>48.469</v>
      </c>
      <c r="AH196" s="2">
        <v>49.13</v>
      </c>
      <c r="AI196" s="2">
        <v>49.789</v>
      </c>
      <c r="AJ196" s="2">
        <v>50.449</v>
      </c>
      <c r="AK196" s="2">
        <v>51.109</v>
      </c>
      <c r="AL196" s="2">
        <v>51.77</v>
      </c>
      <c r="AM196" s="2">
        <v>52.428</v>
      </c>
      <c r="AN196" s="2">
        <v>53.086</v>
      </c>
      <c r="AO196" s="2">
        <v>53.743</v>
      </c>
      <c r="AP196" s="2">
        <v>54.399</v>
      </c>
      <c r="AQ196" s="2">
        <v>55.044</v>
      </c>
      <c r="AR196" s="2">
        <v>55.666</v>
      </c>
      <c r="AS196" s="2">
        <v>56.287</v>
      </c>
      <c r="AT196" s="2">
        <v>56.907</v>
      </c>
      <c r="AU196" s="2">
        <v>57.522</v>
      </c>
      <c r="AV196" s="2">
        <v>58.137</v>
      </c>
      <c r="AW196" s="2">
        <v>58.749</v>
      </c>
      <c r="AX196" s="2">
        <v>59.359</v>
      </c>
      <c r="AY196" s="2">
        <v>59.964</v>
      </c>
      <c r="AZ196" s="2">
        <v>60.567</v>
      </c>
      <c r="BA196" s="2">
        <v>61.167</v>
      </c>
      <c r="BB196" s="2">
        <v>61.763</v>
      </c>
      <c r="BC196" s="2">
        <v>62.352</v>
      </c>
      <c r="BD196" s="2">
        <v>62.936</v>
      </c>
      <c r="BE196" s="2">
        <v>63.514</v>
      </c>
      <c r="BF196" s="2">
        <v>64.086</v>
      </c>
      <c r="BG196" s="2">
        <v>64.652</v>
      </c>
      <c r="BH196" s="2">
        <v>65.211</v>
      </c>
      <c r="BI196" s="2">
        <v>65.764</v>
      </c>
      <c r="BJ196" s="2">
        <v>66.31</v>
      </c>
      <c r="BK196" s="2">
        <v>66.849</v>
      </c>
      <c r="BL196" s="2">
        <v>67.381</v>
      </c>
      <c r="BM196" s="2">
        <v>67.906</v>
      </c>
      <c r="BN196" s="2">
        <v>68.423</v>
      </c>
      <c r="BO196" s="2">
        <v>3271.95</v>
      </c>
    </row>
    <row r="197" ht="14.25" customHeight="1">
      <c r="A197" s="2" t="s">
        <v>563</v>
      </c>
      <c r="B197" s="2">
        <v>63.2577634768362</v>
      </c>
      <c r="C197" s="2">
        <v>63.7745321687595</v>
      </c>
      <c r="D197" s="2">
        <v>64.3028535824977</v>
      </c>
      <c r="E197" s="2">
        <v>64.8495168469605</v>
      </c>
      <c r="F197" s="2">
        <v>65.3958922455028</v>
      </c>
      <c r="G197" s="2">
        <v>65.9435574779396</v>
      </c>
      <c r="H197" s="2">
        <v>66.4748403976796</v>
      </c>
      <c r="I197" s="2">
        <v>67.010833390715</v>
      </c>
      <c r="J197" s="2">
        <v>67.5373998835675</v>
      </c>
      <c r="K197" s="2">
        <v>68.0384049230607</v>
      </c>
      <c r="L197" s="2">
        <v>68.5200354872385</v>
      </c>
      <c r="M197" s="2">
        <v>68.9348035713269</v>
      </c>
      <c r="N197" s="2">
        <v>69.3155704225591</v>
      </c>
      <c r="O197" s="2">
        <v>69.687063530312</v>
      </c>
      <c r="P197" s="2">
        <v>70.0556803979081</v>
      </c>
      <c r="Q197" s="2">
        <v>70.3999827743475</v>
      </c>
      <c r="R197" s="2">
        <v>70.6742053779908</v>
      </c>
      <c r="S197" s="2">
        <v>70.939025945662</v>
      </c>
      <c r="T197" s="2">
        <v>71.2051152833537</v>
      </c>
      <c r="U197" s="2">
        <v>71.4723305660001</v>
      </c>
      <c r="V197" s="2">
        <v>71.7396346109894</v>
      </c>
      <c r="W197" s="2">
        <v>72.0215349283672</v>
      </c>
      <c r="X197" s="2">
        <v>72.2580923678166</v>
      </c>
      <c r="Y197" s="2">
        <v>72.477087112194</v>
      </c>
      <c r="Z197" s="2">
        <v>72.6828300999232</v>
      </c>
      <c r="AA197" s="2">
        <v>72.8816935847328</v>
      </c>
      <c r="AB197" s="2">
        <v>73.1097867864734</v>
      </c>
      <c r="AC197" s="2">
        <v>73.3735229624133</v>
      </c>
      <c r="AD197" s="2">
        <v>73.6250351391694</v>
      </c>
      <c r="AE197" s="2">
        <v>73.8392807256437</v>
      </c>
      <c r="AF197" s="2">
        <v>74.0592585969535</v>
      </c>
      <c r="AG197" s="2">
        <v>74.3129529315663</v>
      </c>
      <c r="AH197" s="2">
        <v>74.5658273746552</v>
      </c>
      <c r="AI197" s="2">
        <v>74.8215697366301</v>
      </c>
      <c r="AJ197" s="2">
        <v>75.0798849441819</v>
      </c>
      <c r="AK197" s="2">
        <v>75.333104617216</v>
      </c>
      <c r="AL197" s="2">
        <v>75.567854515001</v>
      </c>
      <c r="AM197" s="2">
        <v>75.7895144183213</v>
      </c>
      <c r="AN197" s="2">
        <v>76.0130119558807</v>
      </c>
      <c r="AO197" s="2">
        <v>76.2364061727908</v>
      </c>
      <c r="AP197" s="2">
        <v>76.4517476501278</v>
      </c>
      <c r="AQ197" s="2">
        <v>76.7965719822135</v>
      </c>
      <c r="AR197" s="2">
        <v>77.2021957272774</v>
      </c>
      <c r="AS197" s="2">
        <v>77.5903695589907</v>
      </c>
      <c r="AT197" s="2">
        <v>77.9660826540669</v>
      </c>
      <c r="AU197" s="2">
        <v>78.3284706000985</v>
      </c>
      <c r="AV197" s="2">
        <v>78.6592092023719</v>
      </c>
      <c r="AW197" s="2">
        <v>78.9718690716477</v>
      </c>
      <c r="AX197" s="2">
        <v>79.2742259442169</v>
      </c>
      <c r="AY197" s="2">
        <v>79.5629524974189</v>
      </c>
      <c r="AZ197" s="2">
        <v>79.8400812955742</v>
      </c>
      <c r="BA197" s="2">
        <v>80.0486092771527</v>
      </c>
      <c r="BB197" s="2">
        <v>80.2228350105744</v>
      </c>
      <c r="BC197" s="2">
        <v>80.3979335311433</v>
      </c>
      <c r="BD197" s="2">
        <v>80.5719372728435</v>
      </c>
      <c r="BE197" s="2">
        <v>80.7467633738852</v>
      </c>
      <c r="BF197" s="2">
        <v>80.923372809452</v>
      </c>
      <c r="BG197" s="2">
        <v>81.1033317671138</v>
      </c>
      <c r="BH197" s="2">
        <v>81.2842182278933</v>
      </c>
      <c r="BI197" s="2">
        <v>81.4749496268461</v>
      </c>
      <c r="BJ197" s="2">
        <v>81.6627037423206</v>
      </c>
      <c r="BK197" s="2">
        <v>81.8493602833199</v>
      </c>
      <c r="BL197" s="2">
        <v>82.0738786885385</v>
      </c>
      <c r="BM197" s="2">
        <v>82.30884149124</v>
      </c>
      <c r="BN197" s="2">
        <v>82.5080268954733</v>
      </c>
      <c r="BO197" s="2">
        <v>4835.397829512939</v>
      </c>
    </row>
    <row r="198" ht="14.25" customHeight="1">
      <c r="A198" s="2" t="s">
        <v>564</v>
      </c>
      <c r="B198" s="2">
        <v>13.4332575172657</v>
      </c>
      <c r="C198" s="2">
        <v>13.7897960304089</v>
      </c>
      <c r="D198" s="2">
        <v>14.1632626234743</v>
      </c>
      <c r="E198" s="2">
        <v>14.5589903320568</v>
      </c>
      <c r="F198" s="2">
        <v>14.9720033399216</v>
      </c>
      <c r="G198" s="2">
        <v>15.3986449801708</v>
      </c>
      <c r="H198" s="2">
        <v>15.8094817072715</v>
      </c>
      <c r="I198" s="2">
        <v>16.2277053920132</v>
      </c>
      <c r="J198" s="2">
        <v>16.6707461722825</v>
      </c>
      <c r="K198" s="2">
        <v>17.1281786125418</v>
      </c>
      <c r="L198" s="2">
        <v>17.5818175625464</v>
      </c>
      <c r="M198" s="2">
        <v>18.0887601056774</v>
      </c>
      <c r="N198" s="2">
        <v>18.620544659097</v>
      </c>
      <c r="O198" s="2">
        <v>19.1577506990056</v>
      </c>
      <c r="P198" s="2">
        <v>19.6799317736341</v>
      </c>
      <c r="Q198" s="2">
        <v>20.2100352953548</v>
      </c>
      <c r="R198" s="2">
        <v>20.7499065105261</v>
      </c>
      <c r="S198" s="2">
        <v>21.2760466268131</v>
      </c>
      <c r="T198" s="2">
        <v>21.802010671034</v>
      </c>
      <c r="U198" s="2">
        <v>22.270790460956</v>
      </c>
      <c r="V198" s="2">
        <v>22.7313872070304</v>
      </c>
      <c r="W198" s="2">
        <v>23.2594777300177</v>
      </c>
      <c r="X198" s="2">
        <v>23.7851818870637</v>
      </c>
      <c r="Y198" s="2">
        <v>24.3216068893857</v>
      </c>
      <c r="Z198" s="2">
        <v>24.9022561000077</v>
      </c>
      <c r="AA198" s="2">
        <v>25.5017203621939</v>
      </c>
      <c r="AB198" s="2">
        <v>26.1082387996579</v>
      </c>
      <c r="AC198" s="2">
        <v>26.719542593523</v>
      </c>
      <c r="AD198" s="2">
        <v>27.3014308009874</v>
      </c>
      <c r="AE198" s="2">
        <v>27.8486462085714</v>
      </c>
      <c r="AF198" s="2">
        <v>28.3645972885076</v>
      </c>
      <c r="AG198" s="2">
        <v>28.7673027228608</v>
      </c>
      <c r="AH198" s="2">
        <v>29.183408062782</v>
      </c>
      <c r="AI198" s="2">
        <v>29.6195818445718</v>
      </c>
      <c r="AJ198" s="2">
        <v>29.9863218174736</v>
      </c>
      <c r="AK198" s="2">
        <v>30.317564488615</v>
      </c>
      <c r="AL198" s="2">
        <v>30.6700650158109</v>
      </c>
      <c r="AM198" s="2">
        <v>31.0438526705286</v>
      </c>
      <c r="AN198" s="2">
        <v>31.4176127894869</v>
      </c>
      <c r="AO198" s="2">
        <v>31.7902057387528</v>
      </c>
      <c r="AP198" s="2">
        <v>32.1721984970076</v>
      </c>
      <c r="AQ198" s="2">
        <v>32.632873084944</v>
      </c>
      <c r="AR198" s="2">
        <v>33.0841834674422</v>
      </c>
      <c r="AS198" s="2">
        <v>33.5519816160276</v>
      </c>
      <c r="AT198" s="2">
        <v>34.037358363129</v>
      </c>
      <c r="AU198" s="2">
        <v>34.5437387013633</v>
      </c>
      <c r="AV198" s="2">
        <v>35.0097786842913</v>
      </c>
      <c r="AW198" s="2">
        <v>35.40982285152</v>
      </c>
      <c r="AX198" s="2">
        <v>35.9284763639458</v>
      </c>
      <c r="AY198" s="2">
        <v>36.4650153550427</v>
      </c>
      <c r="AZ198" s="2">
        <v>37.0095598767731</v>
      </c>
      <c r="BA198" s="2">
        <v>37.5622562816969</v>
      </c>
      <c r="BB198" s="2">
        <v>38.1124733284927</v>
      </c>
      <c r="BC198" s="2">
        <v>38.6701372020105</v>
      </c>
      <c r="BD198" s="2">
        <v>39.2226003545782</v>
      </c>
      <c r="BE198" s="2">
        <v>39.777108902523</v>
      </c>
      <c r="BF198" s="2">
        <v>40.3354760263504</v>
      </c>
      <c r="BG198" s="2">
        <v>40.8948351996284</v>
      </c>
      <c r="BH198" s="2">
        <v>41.4439041161344</v>
      </c>
      <c r="BI198" s="2">
        <v>41.9842362316092</v>
      </c>
      <c r="BJ198" s="2">
        <v>42.5266498156657</v>
      </c>
      <c r="BK198" s="2">
        <v>43.0789350226665</v>
      </c>
      <c r="BL198" s="2">
        <v>43.6418701367517</v>
      </c>
      <c r="BM198" s="2">
        <v>44.1972682106447</v>
      </c>
      <c r="BN198" s="2">
        <v>44.7495240987105</v>
      </c>
      <c r="BO198" s="2">
        <v>1861.2719238788297</v>
      </c>
    </row>
    <row r="199" ht="14.25" customHeight="1">
      <c r="A199" s="2" t="s">
        <v>565</v>
      </c>
      <c r="B199" s="2">
        <v>44.547</v>
      </c>
      <c r="C199" s="2">
        <v>45.933</v>
      </c>
      <c r="D199" s="2">
        <v>47.327</v>
      </c>
      <c r="E199" s="2">
        <v>48.724</v>
      </c>
      <c r="F199" s="2">
        <v>50.126</v>
      </c>
      <c r="G199" s="2">
        <v>51.524</v>
      </c>
      <c r="H199" s="2">
        <v>52.921</v>
      </c>
      <c r="I199" s="2">
        <v>54.314</v>
      </c>
      <c r="J199" s="2">
        <v>55.702</v>
      </c>
      <c r="K199" s="2">
        <v>57.077</v>
      </c>
      <c r="L199" s="2">
        <v>58.328</v>
      </c>
      <c r="M199" s="2">
        <v>59.23</v>
      </c>
      <c r="N199" s="2">
        <v>60.127</v>
      </c>
      <c r="O199" s="2">
        <v>61.014</v>
      </c>
      <c r="P199" s="2">
        <v>61.896</v>
      </c>
      <c r="Q199" s="2">
        <v>62.77</v>
      </c>
      <c r="R199" s="2">
        <v>63.637</v>
      </c>
      <c r="S199" s="2">
        <v>64.492</v>
      </c>
      <c r="T199" s="2">
        <v>65.34</v>
      </c>
      <c r="U199" s="2">
        <v>66.178</v>
      </c>
      <c r="V199" s="2">
        <v>67.835</v>
      </c>
      <c r="W199" s="2">
        <v>71.772</v>
      </c>
      <c r="X199" s="2">
        <v>75.406</v>
      </c>
      <c r="Y199" s="2">
        <v>78.711</v>
      </c>
      <c r="Z199" s="2">
        <v>81.684</v>
      </c>
      <c r="AA199" s="2">
        <v>84.317</v>
      </c>
      <c r="AB199" s="2">
        <v>86.637</v>
      </c>
      <c r="AC199" s="2">
        <v>88.66</v>
      </c>
      <c r="AD199" s="2">
        <v>90.413</v>
      </c>
      <c r="AE199" s="2">
        <v>91.915</v>
      </c>
      <c r="AF199" s="2">
        <v>92.942</v>
      </c>
      <c r="AG199" s="2">
        <v>93.106</v>
      </c>
      <c r="AH199" s="2">
        <v>93.267</v>
      </c>
      <c r="AI199" s="2">
        <v>93.424</v>
      </c>
      <c r="AJ199" s="2">
        <v>93.578</v>
      </c>
      <c r="AK199" s="2">
        <v>93.729</v>
      </c>
      <c r="AL199" s="2">
        <v>93.876</v>
      </c>
      <c r="AM199" s="2">
        <v>94.02</v>
      </c>
      <c r="AN199" s="2">
        <v>94.161</v>
      </c>
      <c r="AO199" s="2">
        <v>94.298</v>
      </c>
      <c r="AP199" s="2">
        <v>94.387</v>
      </c>
      <c r="AQ199" s="2">
        <v>94.333</v>
      </c>
      <c r="AR199" s="2">
        <v>94.278</v>
      </c>
      <c r="AS199" s="2">
        <v>94.224</v>
      </c>
      <c r="AT199" s="2">
        <v>94.168</v>
      </c>
      <c r="AU199" s="2">
        <v>94.112</v>
      </c>
      <c r="AV199" s="2">
        <v>94.056</v>
      </c>
      <c r="AW199" s="2">
        <v>93.999</v>
      </c>
      <c r="AX199" s="2">
        <v>93.942</v>
      </c>
      <c r="AY199" s="2">
        <v>93.884</v>
      </c>
      <c r="AZ199" s="2">
        <v>93.825</v>
      </c>
      <c r="BA199" s="2">
        <v>93.773</v>
      </c>
      <c r="BB199" s="2">
        <v>93.726</v>
      </c>
      <c r="BC199" s="2">
        <v>93.686</v>
      </c>
      <c r="BD199" s="2">
        <v>93.651</v>
      </c>
      <c r="BE199" s="2">
        <v>93.624</v>
      </c>
      <c r="BF199" s="2">
        <v>93.602</v>
      </c>
      <c r="BG199" s="2">
        <v>93.587</v>
      </c>
      <c r="BH199" s="2">
        <v>93.578</v>
      </c>
      <c r="BI199" s="2">
        <v>93.576</v>
      </c>
      <c r="BJ199" s="2">
        <v>93.581</v>
      </c>
      <c r="BK199" s="2">
        <v>93.592</v>
      </c>
      <c r="BL199" s="2">
        <v>93.61</v>
      </c>
      <c r="BM199" s="2">
        <v>93.634</v>
      </c>
      <c r="BN199" s="2">
        <v>93.664</v>
      </c>
      <c r="BO199" s="2">
        <v>5231.049999999999</v>
      </c>
    </row>
    <row r="200" ht="14.25" customHeight="1">
      <c r="A200" s="2" t="s">
        <v>479</v>
      </c>
      <c r="B200" s="2">
        <v>85.275</v>
      </c>
      <c r="C200" s="2">
        <v>85.693</v>
      </c>
      <c r="D200" s="2">
        <v>86.101</v>
      </c>
      <c r="E200" s="2">
        <v>86.5</v>
      </c>
      <c r="F200" s="2">
        <v>86.78</v>
      </c>
      <c r="G200" s="2">
        <v>87.054</v>
      </c>
      <c r="H200" s="2">
        <v>87.323</v>
      </c>
      <c r="I200" s="2">
        <v>87.588</v>
      </c>
      <c r="J200" s="2">
        <v>87.848</v>
      </c>
      <c r="K200" s="2">
        <v>88.103</v>
      </c>
      <c r="L200" s="2">
        <v>88.354</v>
      </c>
      <c r="M200" s="2">
        <v>88.6</v>
      </c>
      <c r="N200" s="2">
        <v>88.678</v>
      </c>
      <c r="O200" s="2">
        <v>88.755</v>
      </c>
      <c r="P200" s="2">
        <v>88.832</v>
      </c>
      <c r="Q200" s="2">
        <v>88.909</v>
      </c>
      <c r="R200" s="2">
        <v>88.985</v>
      </c>
      <c r="S200" s="2">
        <v>89.06</v>
      </c>
      <c r="T200" s="2">
        <v>89.135</v>
      </c>
      <c r="U200" s="2">
        <v>89.21</v>
      </c>
      <c r="V200" s="2">
        <v>89.363</v>
      </c>
      <c r="W200" s="2">
        <v>89.514</v>
      </c>
      <c r="X200" s="2">
        <v>89.663</v>
      </c>
      <c r="Y200" s="2">
        <v>89.811</v>
      </c>
      <c r="Z200" s="2">
        <v>89.956</v>
      </c>
      <c r="AA200" s="2">
        <v>90.1</v>
      </c>
      <c r="AB200" s="2">
        <v>90.4</v>
      </c>
      <c r="AC200" s="2">
        <v>91.056</v>
      </c>
      <c r="AD200" s="2">
        <v>91.671</v>
      </c>
      <c r="AE200" s="2">
        <v>92.247</v>
      </c>
      <c r="AF200" s="2">
        <v>92.786</v>
      </c>
      <c r="AG200" s="2">
        <v>93.291</v>
      </c>
      <c r="AH200" s="2">
        <v>93.763</v>
      </c>
      <c r="AI200" s="2">
        <v>94.203</v>
      </c>
      <c r="AJ200" s="2">
        <v>94.614</v>
      </c>
      <c r="AK200" s="2">
        <v>94.998</v>
      </c>
      <c r="AL200" s="2">
        <v>95.356</v>
      </c>
      <c r="AM200" s="2">
        <v>95.659</v>
      </c>
      <c r="AN200" s="2">
        <v>95.888</v>
      </c>
      <c r="AO200" s="2">
        <v>96.105</v>
      </c>
      <c r="AP200" s="2">
        <v>96.311</v>
      </c>
      <c r="AQ200" s="2">
        <v>96.506</v>
      </c>
      <c r="AR200" s="2">
        <v>96.692</v>
      </c>
      <c r="AS200" s="2">
        <v>96.868</v>
      </c>
      <c r="AT200" s="2">
        <v>97.09</v>
      </c>
      <c r="AU200" s="2">
        <v>97.396</v>
      </c>
      <c r="AV200" s="2">
        <v>97.671</v>
      </c>
      <c r="AW200" s="2">
        <v>97.917</v>
      </c>
      <c r="AX200" s="2">
        <v>98.139</v>
      </c>
      <c r="AY200" s="2">
        <v>98.336</v>
      </c>
      <c r="AZ200" s="2">
        <v>98.501</v>
      </c>
      <c r="BA200" s="2">
        <v>98.602</v>
      </c>
      <c r="BB200" s="2">
        <v>98.697</v>
      </c>
      <c r="BC200" s="2">
        <v>98.785</v>
      </c>
      <c r="BD200" s="2">
        <v>98.868</v>
      </c>
      <c r="BE200" s="2">
        <v>98.945</v>
      </c>
      <c r="BF200" s="2">
        <v>99.015</v>
      </c>
      <c r="BG200" s="2">
        <v>99.078</v>
      </c>
      <c r="BH200" s="2">
        <v>99.135</v>
      </c>
      <c r="BI200" s="2">
        <v>99.188</v>
      </c>
      <c r="BJ200" s="2">
        <v>99.235</v>
      </c>
      <c r="BK200" s="2">
        <v>99.278</v>
      </c>
      <c r="BL200" s="2">
        <v>99.318</v>
      </c>
      <c r="BM200" s="2">
        <v>99.354</v>
      </c>
      <c r="BN200" s="2">
        <v>99.387</v>
      </c>
      <c r="BO200" s="2">
        <v>6065.5390000000025</v>
      </c>
    </row>
    <row r="201" ht="14.25" customHeight="1">
      <c r="A201" s="2" t="s">
        <v>102</v>
      </c>
      <c r="B201" s="2">
        <v>34.209</v>
      </c>
      <c r="C201" s="2">
        <v>34.894</v>
      </c>
      <c r="D201" s="2">
        <v>35.586</v>
      </c>
      <c r="E201" s="2">
        <v>36.284</v>
      </c>
      <c r="F201" s="2">
        <v>36.989</v>
      </c>
      <c r="G201" s="2">
        <v>37.697</v>
      </c>
      <c r="H201" s="2">
        <v>38.345</v>
      </c>
      <c r="I201" s="2">
        <v>38.835</v>
      </c>
      <c r="J201" s="2">
        <v>39.328</v>
      </c>
      <c r="K201" s="2">
        <v>39.822</v>
      </c>
      <c r="L201" s="2">
        <v>40.319</v>
      </c>
      <c r="M201" s="2">
        <v>40.818</v>
      </c>
      <c r="N201" s="2">
        <v>41.319</v>
      </c>
      <c r="O201" s="2">
        <v>41.821</v>
      </c>
      <c r="P201" s="2">
        <v>42.325</v>
      </c>
      <c r="Q201" s="2">
        <v>42.831</v>
      </c>
      <c r="R201" s="2">
        <v>43.339</v>
      </c>
      <c r="S201" s="2">
        <v>43.942</v>
      </c>
      <c r="T201" s="2">
        <v>44.649</v>
      </c>
      <c r="U201" s="2">
        <v>45.358</v>
      </c>
      <c r="V201" s="2">
        <v>46.07</v>
      </c>
      <c r="W201" s="2">
        <v>46.781</v>
      </c>
      <c r="X201" s="2">
        <v>47.495</v>
      </c>
      <c r="Y201" s="2">
        <v>48.21</v>
      </c>
      <c r="Z201" s="2">
        <v>48.926</v>
      </c>
      <c r="AA201" s="2">
        <v>49.641</v>
      </c>
      <c r="AB201" s="2">
        <v>50.357</v>
      </c>
      <c r="AC201" s="2">
        <v>51.073</v>
      </c>
      <c r="AD201" s="2">
        <v>51.79</v>
      </c>
      <c r="AE201" s="2">
        <v>52.504</v>
      </c>
      <c r="AF201" s="2">
        <v>53.217</v>
      </c>
      <c r="AG201" s="2">
        <v>53.93</v>
      </c>
      <c r="AH201" s="2">
        <v>54.227</v>
      </c>
      <c r="AI201" s="2">
        <v>54.074</v>
      </c>
      <c r="AJ201" s="2">
        <v>53.922</v>
      </c>
      <c r="AK201" s="2">
        <v>53.769</v>
      </c>
      <c r="AL201" s="2">
        <v>53.616</v>
      </c>
      <c r="AM201" s="2">
        <v>53.463</v>
      </c>
      <c r="AN201" s="2">
        <v>53.311</v>
      </c>
      <c r="AO201" s="2">
        <v>53.158</v>
      </c>
      <c r="AP201" s="2">
        <v>53.004</v>
      </c>
      <c r="AQ201" s="2">
        <v>52.852</v>
      </c>
      <c r="AR201" s="2">
        <v>52.78</v>
      </c>
      <c r="AS201" s="2">
        <v>52.912</v>
      </c>
      <c r="AT201" s="2">
        <v>53.043</v>
      </c>
      <c r="AU201" s="2">
        <v>53.174</v>
      </c>
      <c r="AV201" s="2">
        <v>53.305</v>
      </c>
      <c r="AW201" s="2">
        <v>53.436</v>
      </c>
      <c r="AX201" s="2">
        <v>53.567</v>
      </c>
      <c r="AY201" s="2">
        <v>53.698</v>
      </c>
      <c r="AZ201" s="2">
        <v>53.829</v>
      </c>
      <c r="BA201" s="2">
        <v>53.96</v>
      </c>
      <c r="BB201" s="2">
        <v>53.974</v>
      </c>
      <c r="BC201" s="2">
        <v>53.937</v>
      </c>
      <c r="BD201" s="2">
        <v>53.9</v>
      </c>
      <c r="BE201" s="2">
        <v>53.887</v>
      </c>
      <c r="BF201" s="2">
        <v>53.9</v>
      </c>
      <c r="BG201" s="2">
        <v>53.936</v>
      </c>
      <c r="BH201" s="2">
        <v>53.998</v>
      </c>
      <c r="BI201" s="2">
        <v>54.084</v>
      </c>
      <c r="BJ201" s="2">
        <v>54.194</v>
      </c>
      <c r="BK201" s="2">
        <v>54.329</v>
      </c>
      <c r="BL201" s="2">
        <v>54.489</v>
      </c>
      <c r="BM201" s="2">
        <v>54.672</v>
      </c>
      <c r="BN201" s="2">
        <v>54.88</v>
      </c>
      <c r="BO201" s="2">
        <v>3171.9840000000013</v>
      </c>
    </row>
    <row r="202" ht="14.25" customHeight="1">
      <c r="A202" s="2" t="s">
        <v>103</v>
      </c>
      <c r="B202" s="2">
        <v>53.731</v>
      </c>
      <c r="C202" s="2">
        <v>54.626</v>
      </c>
      <c r="D202" s="2">
        <v>55.518</v>
      </c>
      <c r="E202" s="2">
        <v>56.408</v>
      </c>
      <c r="F202" s="2">
        <v>57.294</v>
      </c>
      <c r="G202" s="2">
        <v>58.173</v>
      </c>
      <c r="H202" s="2">
        <v>59.048</v>
      </c>
      <c r="I202" s="2">
        <v>59.918</v>
      </c>
      <c r="J202" s="2">
        <v>60.783</v>
      </c>
      <c r="K202" s="2">
        <v>61.638</v>
      </c>
      <c r="L202" s="2">
        <v>62.471</v>
      </c>
      <c r="M202" s="2">
        <v>63.278</v>
      </c>
      <c r="N202" s="2">
        <v>64.078</v>
      </c>
      <c r="O202" s="2">
        <v>64.869</v>
      </c>
      <c r="P202" s="2">
        <v>65.652</v>
      </c>
      <c r="Q202" s="2">
        <v>66.427</v>
      </c>
      <c r="R202" s="2">
        <v>67.194</v>
      </c>
      <c r="S202" s="2">
        <v>67.95</v>
      </c>
      <c r="T202" s="2">
        <v>68.698</v>
      </c>
      <c r="U202" s="2">
        <v>69.305</v>
      </c>
      <c r="V202" s="2">
        <v>69.751</v>
      </c>
      <c r="W202" s="2">
        <v>70.193</v>
      </c>
      <c r="X202" s="2">
        <v>70.631</v>
      </c>
      <c r="Y202" s="2">
        <v>71.066</v>
      </c>
      <c r="Z202" s="2">
        <v>71.497</v>
      </c>
      <c r="AA202" s="2">
        <v>71.923</v>
      </c>
      <c r="AB202" s="2">
        <v>72.346</v>
      </c>
      <c r="AC202" s="2">
        <v>72.765</v>
      </c>
      <c r="AD202" s="2">
        <v>73.181</v>
      </c>
      <c r="AE202" s="2">
        <v>73.398</v>
      </c>
      <c r="AF202" s="2">
        <v>73.394</v>
      </c>
      <c r="AG202" s="2">
        <v>73.389</v>
      </c>
      <c r="AH202" s="2">
        <v>73.385</v>
      </c>
      <c r="AI202" s="2">
        <v>73.381</v>
      </c>
      <c r="AJ202" s="2">
        <v>73.376</v>
      </c>
      <c r="AK202" s="2">
        <v>73.372</v>
      </c>
      <c r="AL202" s="2">
        <v>73.367</v>
      </c>
      <c r="AM202" s="2">
        <v>73.363</v>
      </c>
      <c r="AN202" s="2">
        <v>73.359</v>
      </c>
      <c r="AO202" s="2">
        <v>73.354</v>
      </c>
      <c r="AP202" s="2">
        <v>73.35</v>
      </c>
      <c r="AQ202" s="2">
        <v>73.346</v>
      </c>
      <c r="AR202" s="2">
        <v>73.341</v>
      </c>
      <c r="AS202" s="2">
        <v>73.373</v>
      </c>
      <c r="AT202" s="2">
        <v>73.418</v>
      </c>
      <c r="AU202" s="2">
        <v>73.463</v>
      </c>
      <c r="AV202" s="2">
        <v>73.508</v>
      </c>
      <c r="AW202" s="2">
        <v>73.553</v>
      </c>
      <c r="AX202" s="2">
        <v>73.598</v>
      </c>
      <c r="AY202" s="2">
        <v>73.642</v>
      </c>
      <c r="AZ202" s="2">
        <v>73.687</v>
      </c>
      <c r="BA202" s="2">
        <v>73.732</v>
      </c>
      <c r="BB202" s="2">
        <v>73.791</v>
      </c>
      <c r="BC202" s="2">
        <v>73.863</v>
      </c>
      <c r="BD202" s="2">
        <v>73.95</v>
      </c>
      <c r="BE202" s="2">
        <v>74.05</v>
      </c>
      <c r="BF202" s="2">
        <v>74.164</v>
      </c>
      <c r="BG202" s="2">
        <v>74.292</v>
      </c>
      <c r="BH202" s="2">
        <v>74.433</v>
      </c>
      <c r="BI202" s="2">
        <v>74.587</v>
      </c>
      <c r="BJ202" s="2">
        <v>74.754</v>
      </c>
      <c r="BK202" s="2">
        <v>74.934</v>
      </c>
      <c r="BL202" s="2">
        <v>75.126</v>
      </c>
      <c r="BM202" s="2">
        <v>75.331</v>
      </c>
      <c r="BN202" s="2">
        <v>75.548</v>
      </c>
      <c r="BO202" s="2">
        <v>4538.384000000001</v>
      </c>
    </row>
    <row r="203" ht="14.25" customHeight="1">
      <c r="A203" s="2" t="s">
        <v>480</v>
      </c>
      <c r="B203" s="2">
        <v>2.6</v>
      </c>
      <c r="C203" s="2">
        <v>2.654</v>
      </c>
      <c r="D203" s="2">
        <v>2.71</v>
      </c>
      <c r="E203" s="2">
        <v>2.766</v>
      </c>
      <c r="F203" s="2">
        <v>2.824</v>
      </c>
      <c r="G203" s="2">
        <v>2.882</v>
      </c>
      <c r="H203" s="2">
        <v>2.942</v>
      </c>
      <c r="I203" s="2">
        <v>3.003</v>
      </c>
      <c r="J203" s="2">
        <v>3.066</v>
      </c>
      <c r="K203" s="2">
        <v>3.129</v>
      </c>
      <c r="L203" s="2">
        <v>3.194</v>
      </c>
      <c r="M203" s="2">
        <v>3.336</v>
      </c>
      <c r="N203" s="2">
        <v>3.491</v>
      </c>
      <c r="O203" s="2">
        <v>3.652</v>
      </c>
      <c r="P203" s="2">
        <v>3.821</v>
      </c>
      <c r="Q203" s="2">
        <v>3.998</v>
      </c>
      <c r="R203" s="2">
        <v>4.182</v>
      </c>
      <c r="S203" s="2">
        <v>4.374</v>
      </c>
      <c r="T203" s="2">
        <v>4.575</v>
      </c>
      <c r="U203" s="2">
        <v>4.656</v>
      </c>
      <c r="V203" s="2">
        <v>4.721</v>
      </c>
      <c r="W203" s="2">
        <v>4.786</v>
      </c>
      <c r="X203" s="2">
        <v>4.853</v>
      </c>
      <c r="Y203" s="2">
        <v>4.92</v>
      </c>
      <c r="Z203" s="2">
        <v>4.988</v>
      </c>
      <c r="AA203" s="2">
        <v>5.057</v>
      </c>
      <c r="AB203" s="2">
        <v>5.127</v>
      </c>
      <c r="AC203" s="2">
        <v>5.198</v>
      </c>
      <c r="AD203" s="2">
        <v>5.27</v>
      </c>
      <c r="AE203" s="2">
        <v>5.342</v>
      </c>
      <c r="AF203" s="2">
        <v>5.416</v>
      </c>
      <c r="AG203" s="2">
        <v>5.491</v>
      </c>
      <c r="AH203" s="2">
        <v>6.288</v>
      </c>
      <c r="AI203" s="2">
        <v>7.313</v>
      </c>
      <c r="AJ203" s="2">
        <v>8.49</v>
      </c>
      <c r="AK203" s="2">
        <v>9.837</v>
      </c>
      <c r="AL203" s="2">
        <v>11.374</v>
      </c>
      <c r="AM203" s="2">
        <v>12.466</v>
      </c>
      <c r="AN203" s="2">
        <v>13.244</v>
      </c>
      <c r="AO203" s="2">
        <v>14.064</v>
      </c>
      <c r="AP203" s="2">
        <v>14.926</v>
      </c>
      <c r="AQ203" s="2">
        <v>15.829</v>
      </c>
      <c r="AR203" s="2">
        <v>16.777</v>
      </c>
      <c r="AS203" s="2">
        <v>16.904</v>
      </c>
      <c r="AT203" s="2">
        <v>16.908</v>
      </c>
      <c r="AU203" s="2">
        <v>16.912</v>
      </c>
      <c r="AV203" s="2">
        <v>16.917</v>
      </c>
      <c r="AW203" s="2">
        <v>16.921</v>
      </c>
      <c r="AX203" s="2">
        <v>16.925</v>
      </c>
      <c r="AY203" s="2">
        <v>16.93</v>
      </c>
      <c r="AZ203" s="2">
        <v>16.934</v>
      </c>
      <c r="BA203" s="2">
        <v>16.938</v>
      </c>
      <c r="BB203" s="2">
        <v>16.943</v>
      </c>
      <c r="BC203" s="2">
        <v>16.947</v>
      </c>
      <c r="BD203" s="2">
        <v>16.967</v>
      </c>
      <c r="BE203" s="2">
        <v>17.004</v>
      </c>
      <c r="BF203" s="2">
        <v>17.056</v>
      </c>
      <c r="BG203" s="2">
        <v>17.125</v>
      </c>
      <c r="BH203" s="2">
        <v>17.211</v>
      </c>
      <c r="BI203" s="2">
        <v>17.313</v>
      </c>
      <c r="BJ203" s="2">
        <v>17.432</v>
      </c>
      <c r="BK203" s="2">
        <v>17.568</v>
      </c>
      <c r="BL203" s="2">
        <v>17.721</v>
      </c>
      <c r="BM203" s="2">
        <v>17.892</v>
      </c>
      <c r="BN203" s="2">
        <v>18.081</v>
      </c>
      <c r="BO203" s="2">
        <v>637.181</v>
      </c>
    </row>
    <row r="204" ht="14.25" customHeight="1">
      <c r="A204" s="2" t="s">
        <v>566</v>
      </c>
      <c r="B204" s="2">
        <v>18.926</v>
      </c>
      <c r="C204" s="2">
        <v>18.986</v>
      </c>
      <c r="D204" s="2">
        <v>19.061</v>
      </c>
      <c r="E204" s="2">
        <v>19.141</v>
      </c>
      <c r="F204" s="2">
        <v>19.221</v>
      </c>
      <c r="G204" s="2">
        <v>19.301</v>
      </c>
      <c r="H204" s="2">
        <v>19.382</v>
      </c>
      <c r="I204" s="2">
        <v>19.593</v>
      </c>
      <c r="J204" s="2">
        <v>19.844</v>
      </c>
      <c r="K204" s="2">
        <v>20.097</v>
      </c>
      <c r="L204" s="2">
        <v>20.353</v>
      </c>
      <c r="M204" s="2">
        <v>20.611</v>
      </c>
      <c r="N204" s="2">
        <v>20.752</v>
      </c>
      <c r="O204" s="2">
        <v>20.832</v>
      </c>
      <c r="P204" s="2">
        <v>20.912</v>
      </c>
      <c r="Q204" s="2">
        <v>20.992</v>
      </c>
      <c r="R204" s="2">
        <v>21.073</v>
      </c>
      <c r="S204" s="2">
        <v>21.113</v>
      </c>
      <c r="T204" s="2">
        <v>21.133</v>
      </c>
      <c r="U204" s="2">
        <v>21.153</v>
      </c>
      <c r="V204" s="2">
        <v>21.173</v>
      </c>
      <c r="W204" s="2">
        <v>21.193</v>
      </c>
      <c r="X204" s="2">
        <v>21.2</v>
      </c>
      <c r="Y204" s="2">
        <v>21.2</v>
      </c>
      <c r="Z204" s="2">
        <v>21.2</v>
      </c>
      <c r="AA204" s="2">
        <v>21.2</v>
      </c>
      <c r="AB204" s="2">
        <v>21.2</v>
      </c>
      <c r="AC204" s="2">
        <v>21.2</v>
      </c>
      <c r="AD204" s="2">
        <v>21.2</v>
      </c>
      <c r="AE204" s="2">
        <v>21.2</v>
      </c>
      <c r="AF204" s="2">
        <v>21.2</v>
      </c>
      <c r="AG204" s="2">
        <v>21.2</v>
      </c>
      <c r="AH204" s="2">
        <v>21.258</v>
      </c>
      <c r="AI204" s="2">
        <v>21.347</v>
      </c>
      <c r="AJ204" s="2">
        <v>21.436</v>
      </c>
      <c r="AK204" s="2">
        <v>21.526</v>
      </c>
      <c r="AL204" s="2">
        <v>21.616</v>
      </c>
      <c r="AM204" s="2">
        <v>21.705</v>
      </c>
      <c r="AN204" s="2">
        <v>21.796</v>
      </c>
      <c r="AO204" s="2">
        <v>21.886</v>
      </c>
      <c r="AP204" s="2">
        <v>21.977</v>
      </c>
      <c r="AQ204" s="2">
        <v>22.068</v>
      </c>
      <c r="AR204" s="2">
        <v>21.941</v>
      </c>
      <c r="AS204" s="2">
        <v>21.698</v>
      </c>
      <c r="AT204" s="2">
        <v>21.457</v>
      </c>
      <c r="AU204" s="2">
        <v>21.218</v>
      </c>
      <c r="AV204" s="2">
        <v>20.981</v>
      </c>
      <c r="AW204" s="2">
        <v>20.75</v>
      </c>
      <c r="AX204" s="2">
        <v>20.524</v>
      </c>
      <c r="AY204" s="2">
        <v>20.3</v>
      </c>
      <c r="AZ204" s="2">
        <v>20.078</v>
      </c>
      <c r="BA204" s="2">
        <v>19.857</v>
      </c>
      <c r="BB204" s="2">
        <v>19.624</v>
      </c>
      <c r="BC204" s="2">
        <v>19.385</v>
      </c>
      <c r="BD204" s="2">
        <v>19.149</v>
      </c>
      <c r="BE204" s="2">
        <v>18.914</v>
      </c>
      <c r="BF204" s="2">
        <v>18.681</v>
      </c>
      <c r="BG204" s="2">
        <v>18.452</v>
      </c>
      <c r="BH204" s="2">
        <v>18.243</v>
      </c>
      <c r="BI204" s="2">
        <v>18.056</v>
      </c>
      <c r="BJ204" s="2">
        <v>17.889</v>
      </c>
      <c r="BK204" s="2">
        <v>17.742</v>
      </c>
      <c r="BL204" s="2">
        <v>17.616</v>
      </c>
      <c r="BM204" s="2">
        <v>17.508</v>
      </c>
      <c r="BN204" s="2">
        <v>17.42</v>
      </c>
      <c r="BO204" s="2">
        <v>1320.9400000000003</v>
      </c>
    </row>
    <row r="205" ht="14.25" customHeight="1">
      <c r="A205" s="2" t="s">
        <v>567</v>
      </c>
      <c r="B205" s="2">
        <v>48.9</v>
      </c>
      <c r="C205" s="2">
        <v>50.001</v>
      </c>
      <c r="D205" s="2">
        <v>51.104</v>
      </c>
      <c r="E205" s="2">
        <v>52.206</v>
      </c>
      <c r="F205" s="2">
        <v>53.307</v>
      </c>
      <c r="G205" s="2">
        <v>54.402</v>
      </c>
      <c r="H205" s="2">
        <v>55.494</v>
      </c>
      <c r="I205" s="2">
        <v>56.581</v>
      </c>
      <c r="J205" s="2">
        <v>57.663</v>
      </c>
      <c r="K205" s="2">
        <v>58.735</v>
      </c>
      <c r="L205" s="2">
        <v>59.8</v>
      </c>
      <c r="M205" s="2">
        <v>62.281</v>
      </c>
      <c r="N205" s="2">
        <v>64.703</v>
      </c>
      <c r="O205" s="2">
        <v>67.046</v>
      </c>
      <c r="P205" s="2">
        <v>69.309</v>
      </c>
      <c r="Q205" s="2">
        <v>71.484</v>
      </c>
      <c r="R205" s="2">
        <v>73.566</v>
      </c>
      <c r="S205" s="2">
        <v>75.615</v>
      </c>
      <c r="T205" s="2">
        <v>77.604</v>
      </c>
      <c r="U205" s="2">
        <v>79.475</v>
      </c>
      <c r="V205" s="2">
        <v>81.231</v>
      </c>
      <c r="W205" s="2">
        <v>82.864</v>
      </c>
      <c r="X205" s="2">
        <v>84.384</v>
      </c>
      <c r="Y205" s="2">
        <v>85.792</v>
      </c>
      <c r="Z205" s="2">
        <v>87.095</v>
      </c>
      <c r="AA205" s="2">
        <v>88.291</v>
      </c>
      <c r="AB205" s="2">
        <v>89.392</v>
      </c>
      <c r="AC205" s="2">
        <v>90.4</v>
      </c>
      <c r="AD205" s="2">
        <v>90.4</v>
      </c>
      <c r="AE205" s="2">
        <v>90.4</v>
      </c>
      <c r="AF205" s="2">
        <v>90.4</v>
      </c>
      <c r="AG205" s="2">
        <v>90.4</v>
      </c>
      <c r="AH205" s="2">
        <v>90.4</v>
      </c>
      <c r="AI205" s="2">
        <v>90.839</v>
      </c>
      <c r="AJ205" s="2">
        <v>91.261</v>
      </c>
      <c r="AK205" s="2">
        <v>91.664</v>
      </c>
      <c r="AL205" s="2">
        <v>92.052</v>
      </c>
      <c r="AM205" s="2">
        <v>92.422</v>
      </c>
      <c r="AN205" s="2">
        <v>92.776</v>
      </c>
      <c r="AO205" s="2">
        <v>93.115</v>
      </c>
      <c r="AP205" s="2">
        <v>93.44</v>
      </c>
      <c r="AQ205" s="2">
        <v>93.75</v>
      </c>
      <c r="AR205" s="2">
        <v>93.925</v>
      </c>
      <c r="AS205" s="2">
        <v>93.975</v>
      </c>
      <c r="AT205" s="2">
        <v>94.155</v>
      </c>
      <c r="AU205" s="2">
        <v>94.453</v>
      </c>
      <c r="AV205" s="2">
        <v>94.736</v>
      </c>
      <c r="AW205" s="2">
        <v>95.007</v>
      </c>
      <c r="AX205" s="2">
        <v>95.264</v>
      </c>
      <c r="AY205" s="2">
        <v>95.508</v>
      </c>
      <c r="AZ205" s="2">
        <v>95.74</v>
      </c>
      <c r="BA205" s="2">
        <v>95.961</v>
      </c>
      <c r="BB205" s="2">
        <v>96.171</v>
      </c>
      <c r="BC205" s="2">
        <v>96.37</v>
      </c>
      <c r="BD205" s="2">
        <v>96.559</v>
      </c>
      <c r="BE205" s="2">
        <v>96.739</v>
      </c>
      <c r="BF205" s="2">
        <v>96.91</v>
      </c>
      <c r="BG205" s="2">
        <v>97.072</v>
      </c>
      <c r="BH205" s="2">
        <v>97.226</v>
      </c>
      <c r="BI205" s="2">
        <v>97.368</v>
      </c>
      <c r="BJ205" s="2">
        <v>97.499</v>
      </c>
      <c r="BK205" s="2">
        <v>97.62</v>
      </c>
      <c r="BL205" s="2">
        <v>97.732</v>
      </c>
      <c r="BM205" s="2">
        <v>97.836</v>
      </c>
      <c r="BN205" s="2">
        <v>97.932</v>
      </c>
      <c r="BO205" s="2">
        <v>5423.802</v>
      </c>
    </row>
    <row r="206" ht="14.25" customHeight="1">
      <c r="A206" s="2" t="s">
        <v>481</v>
      </c>
      <c r="B206" s="2">
        <v>16.073</v>
      </c>
      <c r="C206" s="2">
        <v>16.805</v>
      </c>
      <c r="D206" s="2">
        <v>17.969</v>
      </c>
      <c r="E206" s="2">
        <v>19.194</v>
      </c>
      <c r="F206" s="2">
        <v>20.484</v>
      </c>
      <c r="G206" s="2">
        <v>21.833</v>
      </c>
      <c r="H206" s="2">
        <v>23.247</v>
      </c>
      <c r="I206" s="2">
        <v>24.724</v>
      </c>
      <c r="J206" s="2">
        <v>26.264</v>
      </c>
      <c r="K206" s="2">
        <v>27.861</v>
      </c>
      <c r="L206" s="2">
        <v>29.518</v>
      </c>
      <c r="M206" s="2">
        <v>30.205</v>
      </c>
      <c r="N206" s="2">
        <v>30.561</v>
      </c>
      <c r="O206" s="2">
        <v>30.917</v>
      </c>
      <c r="P206" s="2">
        <v>31.277</v>
      </c>
      <c r="Q206" s="2">
        <v>31.639</v>
      </c>
      <c r="R206" s="2">
        <v>32.004</v>
      </c>
      <c r="S206" s="2">
        <v>32.37</v>
      </c>
      <c r="T206" s="2">
        <v>32.738</v>
      </c>
      <c r="U206" s="2">
        <v>33.109</v>
      </c>
      <c r="V206" s="2">
        <v>33.482</v>
      </c>
      <c r="W206" s="2">
        <v>33.857</v>
      </c>
      <c r="X206" s="2">
        <v>34.826</v>
      </c>
      <c r="Y206" s="2">
        <v>35.887</v>
      </c>
      <c r="Z206" s="2">
        <v>36.963</v>
      </c>
      <c r="AA206" s="2">
        <v>38.049</v>
      </c>
      <c r="AB206" s="2">
        <v>39.149</v>
      </c>
      <c r="AC206" s="2">
        <v>40.26</v>
      </c>
      <c r="AD206" s="2">
        <v>41.382</v>
      </c>
      <c r="AE206" s="2">
        <v>42.511</v>
      </c>
      <c r="AF206" s="2">
        <v>43.648</v>
      </c>
      <c r="AG206" s="2">
        <v>44.793</v>
      </c>
      <c r="AH206" s="2">
        <v>45.764</v>
      </c>
      <c r="AI206" s="2">
        <v>46.717</v>
      </c>
      <c r="AJ206" s="2">
        <v>47.673</v>
      </c>
      <c r="AK206" s="2">
        <v>48.631</v>
      </c>
      <c r="AL206" s="2">
        <v>49.592</v>
      </c>
      <c r="AM206" s="2">
        <v>50.55</v>
      </c>
      <c r="AN206" s="2">
        <v>51.509</v>
      </c>
      <c r="AO206" s="2">
        <v>52.467</v>
      </c>
      <c r="AP206" s="2">
        <v>53.424</v>
      </c>
      <c r="AQ206" s="2">
        <v>54.377</v>
      </c>
      <c r="AR206" s="2">
        <v>55.555</v>
      </c>
      <c r="AS206" s="2">
        <v>56.766</v>
      </c>
      <c r="AT206" s="2">
        <v>57.972</v>
      </c>
      <c r="AU206" s="2">
        <v>59.165</v>
      </c>
      <c r="AV206" s="2">
        <v>60.348</v>
      </c>
      <c r="AW206" s="2">
        <v>61.52</v>
      </c>
      <c r="AX206" s="2">
        <v>62.68</v>
      </c>
      <c r="AY206" s="2">
        <v>63.823</v>
      </c>
      <c r="AZ206" s="2">
        <v>64.952</v>
      </c>
      <c r="BA206" s="2">
        <v>66.064</v>
      </c>
      <c r="BB206" s="2">
        <v>67.16</v>
      </c>
      <c r="BC206" s="2">
        <v>68.208</v>
      </c>
      <c r="BD206" s="2">
        <v>69.213</v>
      </c>
      <c r="BE206" s="2">
        <v>70.174</v>
      </c>
      <c r="BF206" s="2">
        <v>71.092</v>
      </c>
      <c r="BG206" s="2">
        <v>71.968</v>
      </c>
      <c r="BH206" s="2">
        <v>72.803</v>
      </c>
      <c r="BI206" s="2">
        <v>73.598</v>
      </c>
      <c r="BJ206" s="2">
        <v>74.354</v>
      </c>
      <c r="BK206" s="2">
        <v>75.073</v>
      </c>
      <c r="BL206" s="2">
        <v>75.755</v>
      </c>
      <c r="BM206" s="2">
        <v>76.401</v>
      </c>
      <c r="BN206" s="2">
        <v>77.014</v>
      </c>
      <c r="BO206" s="2">
        <v>3045.961</v>
      </c>
    </row>
    <row r="207" ht="14.25" customHeight="1">
      <c r="A207" s="2" t="s">
        <v>482</v>
      </c>
      <c r="B207" s="2">
        <v>31.25</v>
      </c>
      <c r="C207" s="2">
        <v>32.373</v>
      </c>
      <c r="D207" s="2">
        <v>33.518</v>
      </c>
      <c r="E207" s="2">
        <v>35.011</v>
      </c>
      <c r="F207" s="2">
        <v>36.872</v>
      </c>
      <c r="G207" s="2">
        <v>38.769</v>
      </c>
      <c r="H207" s="2">
        <v>40.702</v>
      </c>
      <c r="I207" s="2">
        <v>42.665</v>
      </c>
      <c r="J207" s="2">
        <v>44.654</v>
      </c>
      <c r="K207" s="2">
        <v>46.655</v>
      </c>
      <c r="L207" s="2">
        <v>48.669</v>
      </c>
      <c r="M207" s="2">
        <v>50.688</v>
      </c>
      <c r="N207" s="2">
        <v>52.707</v>
      </c>
      <c r="O207" s="2">
        <v>54.712</v>
      </c>
      <c r="P207" s="2">
        <v>56.704</v>
      </c>
      <c r="Q207" s="2">
        <v>58.349</v>
      </c>
      <c r="R207" s="2">
        <v>59.897</v>
      </c>
      <c r="S207" s="2">
        <v>61.421</v>
      </c>
      <c r="T207" s="2">
        <v>62.925</v>
      </c>
      <c r="U207" s="2">
        <v>64.405</v>
      </c>
      <c r="V207" s="2">
        <v>65.86</v>
      </c>
      <c r="W207" s="2">
        <v>67.281</v>
      </c>
      <c r="X207" s="2">
        <v>68.673</v>
      </c>
      <c r="Y207" s="2">
        <v>70.033</v>
      </c>
      <c r="Z207" s="2">
        <v>71.36</v>
      </c>
      <c r="AA207" s="2">
        <v>72.647</v>
      </c>
      <c r="AB207" s="2">
        <v>73.9</v>
      </c>
      <c r="AC207" s="2">
        <v>74.589</v>
      </c>
      <c r="AD207" s="2">
        <v>75.267</v>
      </c>
      <c r="AE207" s="2">
        <v>75.93</v>
      </c>
      <c r="AF207" s="2">
        <v>76.583</v>
      </c>
      <c r="AG207" s="2">
        <v>77.223</v>
      </c>
      <c r="AH207" s="2">
        <v>77.851</v>
      </c>
      <c r="AI207" s="2">
        <v>78.186</v>
      </c>
      <c r="AJ207" s="2">
        <v>78.429</v>
      </c>
      <c r="AK207" s="2">
        <v>78.67</v>
      </c>
      <c r="AL207" s="2">
        <v>78.91</v>
      </c>
      <c r="AM207" s="2">
        <v>79.147</v>
      </c>
      <c r="AN207" s="2">
        <v>79.383</v>
      </c>
      <c r="AO207" s="2">
        <v>79.616</v>
      </c>
      <c r="AP207" s="2">
        <v>79.848</v>
      </c>
      <c r="AQ207" s="2">
        <v>80.077</v>
      </c>
      <c r="AR207" s="2">
        <v>80.304</v>
      </c>
      <c r="AS207" s="2">
        <v>80.53</v>
      </c>
      <c r="AT207" s="2">
        <v>80.754</v>
      </c>
      <c r="AU207" s="2">
        <v>80.979</v>
      </c>
      <c r="AV207" s="2">
        <v>81.204</v>
      </c>
      <c r="AW207" s="2">
        <v>81.427</v>
      </c>
      <c r="AX207" s="2">
        <v>81.649</v>
      </c>
      <c r="AY207" s="2">
        <v>81.867</v>
      </c>
      <c r="AZ207" s="2">
        <v>82.084</v>
      </c>
      <c r="BA207" s="2">
        <v>82.302</v>
      </c>
      <c r="BB207" s="2">
        <v>82.52</v>
      </c>
      <c r="BC207" s="2">
        <v>82.74</v>
      </c>
      <c r="BD207" s="2">
        <v>82.96</v>
      </c>
      <c r="BE207" s="2">
        <v>83.18</v>
      </c>
      <c r="BF207" s="2">
        <v>83.401</v>
      </c>
      <c r="BG207" s="2">
        <v>83.622</v>
      </c>
      <c r="BH207" s="2">
        <v>83.844</v>
      </c>
      <c r="BI207" s="2">
        <v>84.065</v>
      </c>
      <c r="BJ207" s="2">
        <v>84.287</v>
      </c>
      <c r="BK207" s="2">
        <v>84.508</v>
      </c>
      <c r="BL207" s="2">
        <v>84.729</v>
      </c>
      <c r="BM207" s="2">
        <v>84.95</v>
      </c>
      <c r="BN207" s="2">
        <v>85.171</v>
      </c>
      <c r="BO207" s="2">
        <v>4515.486</v>
      </c>
    </row>
    <row r="208" ht="14.25" customHeight="1">
      <c r="A208" s="2" t="s">
        <v>104</v>
      </c>
      <c r="B208" s="2">
        <v>23.0</v>
      </c>
      <c r="C208" s="2">
        <v>23.645</v>
      </c>
      <c r="D208" s="2">
        <v>24.303</v>
      </c>
      <c r="E208" s="2">
        <v>24.973</v>
      </c>
      <c r="F208" s="2">
        <v>25.657</v>
      </c>
      <c r="G208" s="2">
        <v>26.351</v>
      </c>
      <c r="H208" s="2">
        <v>27.057</v>
      </c>
      <c r="I208" s="2">
        <v>27.776</v>
      </c>
      <c r="J208" s="2">
        <v>28.507</v>
      </c>
      <c r="K208" s="2">
        <v>29.247</v>
      </c>
      <c r="L208" s="2">
        <v>30.0</v>
      </c>
      <c r="M208" s="2">
        <v>30.72</v>
      </c>
      <c r="N208" s="2">
        <v>31.451</v>
      </c>
      <c r="O208" s="2">
        <v>32.189</v>
      </c>
      <c r="P208" s="2">
        <v>32.937</v>
      </c>
      <c r="Q208" s="2">
        <v>33.693</v>
      </c>
      <c r="R208" s="2">
        <v>34.372</v>
      </c>
      <c r="S208" s="2">
        <v>34.718</v>
      </c>
      <c r="T208" s="2">
        <v>35.067</v>
      </c>
      <c r="U208" s="2">
        <v>35.417</v>
      </c>
      <c r="V208" s="2">
        <v>35.769</v>
      </c>
      <c r="W208" s="2">
        <v>36.122</v>
      </c>
      <c r="X208" s="2">
        <v>36.476</v>
      </c>
      <c r="Y208" s="2">
        <v>36.832</v>
      </c>
      <c r="Z208" s="2">
        <v>37.191</v>
      </c>
      <c r="AA208" s="2">
        <v>37.549</v>
      </c>
      <c r="AB208" s="2">
        <v>37.909</v>
      </c>
      <c r="AC208" s="2">
        <v>38.271</v>
      </c>
      <c r="AD208" s="2">
        <v>38.613</v>
      </c>
      <c r="AE208" s="2">
        <v>38.755</v>
      </c>
      <c r="AF208" s="2">
        <v>38.896</v>
      </c>
      <c r="AG208" s="2">
        <v>39.038</v>
      </c>
      <c r="AH208" s="2">
        <v>39.18</v>
      </c>
      <c r="AI208" s="2">
        <v>39.321</v>
      </c>
      <c r="AJ208" s="2">
        <v>39.464</v>
      </c>
      <c r="AK208" s="2">
        <v>39.606</v>
      </c>
      <c r="AL208" s="2">
        <v>39.749</v>
      </c>
      <c r="AM208" s="2">
        <v>39.891</v>
      </c>
      <c r="AN208" s="2">
        <v>40.034</v>
      </c>
      <c r="AO208" s="2">
        <v>40.177</v>
      </c>
      <c r="AP208" s="2">
        <v>40.32</v>
      </c>
      <c r="AQ208" s="2">
        <v>40.464</v>
      </c>
      <c r="AR208" s="2">
        <v>40.607</v>
      </c>
      <c r="AS208" s="2">
        <v>40.898</v>
      </c>
      <c r="AT208" s="2">
        <v>41.306</v>
      </c>
      <c r="AU208" s="2">
        <v>41.714</v>
      </c>
      <c r="AV208" s="2">
        <v>42.124</v>
      </c>
      <c r="AW208" s="2">
        <v>42.535</v>
      </c>
      <c r="AX208" s="2">
        <v>42.947</v>
      </c>
      <c r="AY208" s="2">
        <v>43.359</v>
      </c>
      <c r="AZ208" s="2">
        <v>43.773</v>
      </c>
      <c r="BA208" s="2">
        <v>44.188</v>
      </c>
      <c r="BB208" s="2">
        <v>44.603</v>
      </c>
      <c r="BC208" s="2">
        <v>45.019</v>
      </c>
      <c r="BD208" s="2">
        <v>45.436</v>
      </c>
      <c r="BE208" s="2">
        <v>45.862</v>
      </c>
      <c r="BF208" s="2">
        <v>46.296</v>
      </c>
      <c r="BG208" s="2">
        <v>46.74</v>
      </c>
      <c r="BH208" s="2">
        <v>47.192</v>
      </c>
      <c r="BI208" s="2">
        <v>47.653</v>
      </c>
      <c r="BJ208" s="2">
        <v>48.122</v>
      </c>
      <c r="BK208" s="2">
        <v>48.6</v>
      </c>
      <c r="BL208" s="2">
        <v>49.086</v>
      </c>
      <c r="BM208" s="2">
        <v>49.579</v>
      </c>
      <c r="BN208" s="2">
        <v>50.08</v>
      </c>
      <c r="BO208" s="2">
        <v>2478.425999999999</v>
      </c>
    </row>
    <row r="209" ht="14.25" customHeight="1">
      <c r="A209" s="2" t="s">
        <v>105</v>
      </c>
      <c r="B209" s="2">
        <v>29.064</v>
      </c>
      <c r="C209" s="2">
        <v>30.052</v>
      </c>
      <c r="D209" s="2">
        <v>31.062</v>
      </c>
      <c r="E209" s="2">
        <v>32.091</v>
      </c>
      <c r="F209" s="2">
        <v>33.14</v>
      </c>
      <c r="G209" s="2">
        <v>34.202</v>
      </c>
      <c r="H209" s="2">
        <v>35.282</v>
      </c>
      <c r="I209" s="2">
        <v>36.377</v>
      </c>
      <c r="J209" s="2">
        <v>37.488</v>
      </c>
      <c r="K209" s="2">
        <v>38.609</v>
      </c>
      <c r="L209" s="2">
        <v>39.744</v>
      </c>
      <c r="M209" s="2">
        <v>40.749</v>
      </c>
      <c r="N209" s="2">
        <v>41.341</v>
      </c>
      <c r="O209" s="2">
        <v>41.933</v>
      </c>
      <c r="P209" s="2">
        <v>42.53</v>
      </c>
      <c r="Q209" s="2">
        <v>43.128</v>
      </c>
      <c r="R209" s="2">
        <v>43.729</v>
      </c>
      <c r="S209" s="2">
        <v>44.33</v>
      </c>
      <c r="T209" s="2">
        <v>44.934</v>
      </c>
      <c r="U209" s="2">
        <v>45.539</v>
      </c>
      <c r="V209" s="2">
        <v>46.146</v>
      </c>
      <c r="W209" s="2">
        <v>46.703</v>
      </c>
      <c r="X209" s="2">
        <v>47.112</v>
      </c>
      <c r="Y209" s="2">
        <v>47.521</v>
      </c>
      <c r="Z209" s="2">
        <v>47.932</v>
      </c>
      <c r="AA209" s="2">
        <v>48.341</v>
      </c>
      <c r="AB209" s="2">
        <v>48.751</v>
      </c>
      <c r="AC209" s="2">
        <v>49.161</v>
      </c>
      <c r="AD209" s="2">
        <v>49.573</v>
      </c>
      <c r="AE209" s="2">
        <v>49.982</v>
      </c>
      <c r="AF209" s="2">
        <v>50.393</v>
      </c>
      <c r="AG209" s="2">
        <v>50.756</v>
      </c>
      <c r="AH209" s="2">
        <v>50.981</v>
      </c>
      <c r="AI209" s="2">
        <v>51.204</v>
      </c>
      <c r="AJ209" s="2">
        <v>51.428</v>
      </c>
      <c r="AK209" s="2">
        <v>51.651</v>
      </c>
      <c r="AL209" s="2">
        <v>51.875</v>
      </c>
      <c r="AM209" s="2">
        <v>52.098</v>
      </c>
      <c r="AN209" s="2">
        <v>52.322</v>
      </c>
      <c r="AO209" s="2">
        <v>52.545</v>
      </c>
      <c r="AP209" s="2">
        <v>52.769</v>
      </c>
      <c r="AQ209" s="2">
        <v>52.992</v>
      </c>
      <c r="AR209" s="2">
        <v>53.215</v>
      </c>
      <c r="AS209" s="2">
        <v>53.437</v>
      </c>
      <c r="AT209" s="2">
        <v>53.661</v>
      </c>
      <c r="AU209" s="2">
        <v>53.883</v>
      </c>
      <c r="AV209" s="2">
        <v>54.105</v>
      </c>
      <c r="AW209" s="2">
        <v>54.328</v>
      </c>
      <c r="AX209" s="2">
        <v>54.55</v>
      </c>
      <c r="AY209" s="2">
        <v>54.772</v>
      </c>
      <c r="AZ209" s="2">
        <v>54.993</v>
      </c>
      <c r="BA209" s="2">
        <v>55.215</v>
      </c>
      <c r="BB209" s="2">
        <v>55.356</v>
      </c>
      <c r="BC209" s="2">
        <v>55.469</v>
      </c>
      <c r="BD209" s="2">
        <v>55.583</v>
      </c>
      <c r="BE209" s="2">
        <v>55.696</v>
      </c>
      <c r="BF209" s="2">
        <v>55.81</v>
      </c>
      <c r="BG209" s="2">
        <v>55.942</v>
      </c>
      <c r="BH209" s="2">
        <v>56.092</v>
      </c>
      <c r="BI209" s="2">
        <v>56.26</v>
      </c>
      <c r="BJ209" s="2">
        <v>56.446</v>
      </c>
      <c r="BK209" s="2">
        <v>56.651</v>
      </c>
      <c r="BL209" s="2">
        <v>56.873</v>
      </c>
      <c r="BM209" s="2">
        <v>57.113</v>
      </c>
      <c r="BN209" s="2">
        <v>57.371</v>
      </c>
      <c r="BO209" s="2">
        <v>3140.3810000000003</v>
      </c>
    </row>
    <row r="210" ht="14.25" customHeight="1">
      <c r="A210" s="2" t="s">
        <v>483</v>
      </c>
      <c r="B210" s="2">
        <v>27.673</v>
      </c>
      <c r="C210" s="2">
        <v>28.717</v>
      </c>
      <c r="D210" s="2">
        <v>29.786</v>
      </c>
      <c r="E210" s="2">
        <v>30.877</v>
      </c>
      <c r="F210" s="2">
        <v>31.991</v>
      </c>
      <c r="G210" s="2">
        <v>33.123</v>
      </c>
      <c r="H210" s="2">
        <v>34.277</v>
      </c>
      <c r="I210" s="2">
        <v>35.449</v>
      </c>
      <c r="J210" s="2">
        <v>36.641</v>
      </c>
      <c r="K210" s="2">
        <v>37.846</v>
      </c>
      <c r="L210" s="2">
        <v>39.068</v>
      </c>
      <c r="M210" s="2">
        <v>40.337</v>
      </c>
      <c r="N210" s="2">
        <v>41.802</v>
      </c>
      <c r="O210" s="2">
        <v>43.277</v>
      </c>
      <c r="P210" s="2">
        <v>44.767</v>
      </c>
      <c r="Q210" s="2">
        <v>46.266</v>
      </c>
      <c r="R210" s="2">
        <v>47.774</v>
      </c>
      <c r="S210" s="2">
        <v>49.282</v>
      </c>
      <c r="T210" s="2">
        <v>49.396</v>
      </c>
      <c r="U210" s="2">
        <v>49.381</v>
      </c>
      <c r="V210" s="2">
        <v>49.366</v>
      </c>
      <c r="W210" s="2">
        <v>49.352</v>
      </c>
      <c r="X210" s="2">
        <v>49.337</v>
      </c>
      <c r="Y210" s="2">
        <v>49.322</v>
      </c>
      <c r="Z210" s="2">
        <v>49.307</v>
      </c>
      <c r="AA210" s="2">
        <v>49.292</v>
      </c>
      <c r="AB210" s="2">
        <v>49.277</v>
      </c>
      <c r="AC210" s="2">
        <v>49.262</v>
      </c>
      <c r="AD210" s="2">
        <v>49.247</v>
      </c>
      <c r="AE210" s="2">
        <v>49.25</v>
      </c>
      <c r="AF210" s="2">
        <v>49.27</v>
      </c>
      <c r="AG210" s="2">
        <v>49.307</v>
      </c>
      <c r="AH210" s="2">
        <v>49.362</v>
      </c>
      <c r="AI210" s="2">
        <v>49.435</v>
      </c>
      <c r="AJ210" s="2">
        <v>49.525</v>
      </c>
      <c r="AK210" s="2">
        <v>49.633</v>
      </c>
      <c r="AL210" s="2">
        <v>49.758</v>
      </c>
      <c r="AM210" s="2">
        <v>49.901</v>
      </c>
      <c r="AN210" s="2">
        <v>50.061</v>
      </c>
      <c r="AO210" s="2">
        <v>50.238</v>
      </c>
      <c r="AP210" s="2">
        <v>50.433</v>
      </c>
      <c r="AQ210" s="2">
        <v>50.646</v>
      </c>
      <c r="AR210" s="2">
        <v>50.876</v>
      </c>
      <c r="AS210" s="2">
        <v>51.123</v>
      </c>
      <c r="AT210" s="2">
        <v>51.388</v>
      </c>
      <c r="AU210" s="2">
        <v>51.67</v>
      </c>
      <c r="AV210" s="2">
        <v>51.969</v>
      </c>
      <c r="AW210" s="2">
        <v>52.285</v>
      </c>
      <c r="AX210" s="2">
        <v>52.619</v>
      </c>
      <c r="AY210" s="2">
        <v>52.969</v>
      </c>
      <c r="AZ210" s="2">
        <v>53.336</v>
      </c>
      <c r="BA210" s="2">
        <v>53.72</v>
      </c>
      <c r="BB210" s="2">
        <v>54.12</v>
      </c>
      <c r="BC210" s="2">
        <v>54.537</v>
      </c>
      <c r="BD210" s="2">
        <v>54.969</v>
      </c>
      <c r="BE210" s="2">
        <v>55.4</v>
      </c>
      <c r="BF210" s="2">
        <v>55.831</v>
      </c>
      <c r="BG210" s="2">
        <v>56.261</v>
      </c>
      <c r="BH210" s="2">
        <v>56.691</v>
      </c>
      <c r="BI210" s="2">
        <v>57.119</v>
      </c>
      <c r="BJ210" s="2">
        <v>57.546</v>
      </c>
      <c r="BK210" s="2">
        <v>57.972</v>
      </c>
      <c r="BL210" s="2">
        <v>58.396</v>
      </c>
      <c r="BM210" s="2">
        <v>58.82</v>
      </c>
      <c r="BN210" s="2">
        <v>59.242</v>
      </c>
      <c r="BO210" s="2">
        <v>3127.17</v>
      </c>
    </row>
    <row r="211" ht="14.25" customHeight="1">
      <c r="A211" s="2" t="s">
        <v>106</v>
      </c>
      <c r="B211" s="2">
        <v>17.352</v>
      </c>
      <c r="C211" s="2">
        <v>17.903</v>
      </c>
      <c r="D211" s="2">
        <v>18.467</v>
      </c>
      <c r="E211" s="2">
        <v>19.06</v>
      </c>
      <c r="F211" s="2">
        <v>19.712</v>
      </c>
      <c r="G211" s="2">
        <v>20.379</v>
      </c>
      <c r="H211" s="2">
        <v>21.064</v>
      </c>
      <c r="I211" s="2">
        <v>21.765</v>
      </c>
      <c r="J211" s="2">
        <v>22.484</v>
      </c>
      <c r="K211" s="2">
        <v>23.218</v>
      </c>
      <c r="L211" s="2">
        <v>23.969</v>
      </c>
      <c r="M211" s="2">
        <v>24.737</v>
      </c>
      <c r="N211" s="2">
        <v>25.522</v>
      </c>
      <c r="O211" s="2">
        <v>26.321</v>
      </c>
      <c r="P211" s="2">
        <v>27.137</v>
      </c>
      <c r="Q211" s="2">
        <v>27.729</v>
      </c>
      <c r="R211" s="2">
        <v>28.14</v>
      </c>
      <c r="S211" s="2">
        <v>28.554</v>
      </c>
      <c r="T211" s="2">
        <v>28.972</v>
      </c>
      <c r="U211" s="2">
        <v>29.394</v>
      </c>
      <c r="V211" s="2">
        <v>29.819</v>
      </c>
      <c r="W211" s="2">
        <v>30.248</v>
      </c>
      <c r="X211" s="2">
        <v>30.68</v>
      </c>
      <c r="Y211" s="2">
        <v>31.115</v>
      </c>
      <c r="Z211" s="2">
        <v>31.555</v>
      </c>
      <c r="AA211" s="2">
        <v>31.997</v>
      </c>
      <c r="AB211" s="2">
        <v>32.325</v>
      </c>
      <c r="AC211" s="2">
        <v>32.555</v>
      </c>
      <c r="AD211" s="2">
        <v>32.787</v>
      </c>
      <c r="AE211" s="2">
        <v>33.019</v>
      </c>
      <c r="AF211" s="2">
        <v>33.252</v>
      </c>
      <c r="AG211" s="2">
        <v>33.485</v>
      </c>
      <c r="AH211" s="2">
        <v>33.72</v>
      </c>
      <c r="AI211" s="2">
        <v>33.955</v>
      </c>
      <c r="AJ211" s="2">
        <v>34.192</v>
      </c>
      <c r="AK211" s="2">
        <v>34.429</v>
      </c>
      <c r="AL211" s="2">
        <v>34.667</v>
      </c>
      <c r="AM211" s="2">
        <v>34.905</v>
      </c>
      <c r="AN211" s="2">
        <v>35.144</v>
      </c>
      <c r="AO211" s="2">
        <v>35.384</v>
      </c>
      <c r="AP211" s="2">
        <v>35.626</v>
      </c>
      <c r="AQ211" s="2">
        <v>35.867</v>
      </c>
      <c r="AR211" s="2">
        <v>36.109</v>
      </c>
      <c r="AS211" s="2">
        <v>36.352</v>
      </c>
      <c r="AT211" s="2">
        <v>36.596</v>
      </c>
      <c r="AU211" s="2">
        <v>36.919</v>
      </c>
      <c r="AV211" s="2">
        <v>37.303</v>
      </c>
      <c r="AW211" s="2">
        <v>37.689</v>
      </c>
      <c r="AX211" s="2">
        <v>38.077</v>
      </c>
      <c r="AY211" s="2">
        <v>38.466</v>
      </c>
      <c r="AZ211" s="2">
        <v>38.856</v>
      </c>
      <c r="BA211" s="2">
        <v>39.248</v>
      </c>
      <c r="BB211" s="2">
        <v>39.642</v>
      </c>
      <c r="BC211" s="2">
        <v>40.036</v>
      </c>
      <c r="BD211" s="2">
        <v>40.432</v>
      </c>
      <c r="BE211" s="2">
        <v>40.829</v>
      </c>
      <c r="BF211" s="2">
        <v>41.228</v>
      </c>
      <c r="BG211" s="2">
        <v>41.636</v>
      </c>
      <c r="BH211" s="2">
        <v>42.055</v>
      </c>
      <c r="BI211" s="2">
        <v>42.484</v>
      </c>
      <c r="BJ211" s="2">
        <v>42.923</v>
      </c>
      <c r="BK211" s="2">
        <v>43.372</v>
      </c>
      <c r="BL211" s="2">
        <v>43.831</v>
      </c>
      <c r="BM211" s="2">
        <v>44.3</v>
      </c>
      <c r="BN211" s="2">
        <v>44.779</v>
      </c>
      <c r="BO211" s="2">
        <v>2125.7670000000003</v>
      </c>
    </row>
    <row r="212" ht="14.25" customHeight="1">
      <c r="A212" s="2" t="s">
        <v>484</v>
      </c>
      <c r="B212" s="2">
        <v>100.0</v>
      </c>
      <c r="C212" s="2">
        <v>100.0</v>
      </c>
      <c r="D212" s="2">
        <v>100.0</v>
      </c>
      <c r="E212" s="2">
        <v>100.0</v>
      </c>
      <c r="F212" s="2">
        <v>100.0</v>
      </c>
      <c r="G212" s="2">
        <v>100.0</v>
      </c>
      <c r="H212" s="2">
        <v>100.0</v>
      </c>
      <c r="I212" s="2">
        <v>100.0</v>
      </c>
      <c r="J212" s="2">
        <v>100.0</v>
      </c>
      <c r="K212" s="2">
        <v>100.0</v>
      </c>
      <c r="L212" s="2">
        <v>100.0</v>
      </c>
      <c r="M212" s="2">
        <v>100.0</v>
      </c>
      <c r="N212" s="2">
        <v>100.0</v>
      </c>
      <c r="O212" s="2">
        <v>100.0</v>
      </c>
      <c r="P212" s="2">
        <v>100.0</v>
      </c>
      <c r="Q212" s="2">
        <v>100.0</v>
      </c>
      <c r="R212" s="2">
        <v>100.0</v>
      </c>
      <c r="S212" s="2">
        <v>100.0</v>
      </c>
      <c r="T212" s="2">
        <v>100.0</v>
      </c>
      <c r="U212" s="2">
        <v>100.0</v>
      </c>
      <c r="V212" s="2">
        <v>100.0</v>
      </c>
      <c r="W212" s="2">
        <v>100.0</v>
      </c>
      <c r="X212" s="2">
        <v>100.0</v>
      </c>
      <c r="Y212" s="2">
        <v>100.0</v>
      </c>
      <c r="Z212" s="2">
        <v>100.0</v>
      </c>
      <c r="AA212" s="2">
        <v>100.0</v>
      </c>
      <c r="AB212" s="2">
        <v>100.0</v>
      </c>
      <c r="AC212" s="2">
        <v>100.0</v>
      </c>
      <c r="AD212" s="2">
        <v>100.0</v>
      </c>
      <c r="AE212" s="2">
        <v>100.0</v>
      </c>
      <c r="AF212" s="2">
        <v>100.0</v>
      </c>
      <c r="AG212" s="2">
        <v>100.0</v>
      </c>
      <c r="AH212" s="2">
        <v>100.0</v>
      </c>
      <c r="AI212" s="2">
        <v>100.0</v>
      </c>
      <c r="AJ212" s="2">
        <v>100.0</v>
      </c>
      <c r="AK212" s="2">
        <v>100.0</v>
      </c>
      <c r="AL212" s="2">
        <v>100.0</v>
      </c>
      <c r="AM212" s="2">
        <v>100.0</v>
      </c>
      <c r="AN212" s="2">
        <v>100.0</v>
      </c>
      <c r="AO212" s="2">
        <v>100.0</v>
      </c>
      <c r="AP212" s="2">
        <v>100.0</v>
      </c>
      <c r="AQ212" s="2">
        <v>100.0</v>
      </c>
      <c r="AR212" s="2">
        <v>100.0</v>
      </c>
      <c r="AS212" s="2">
        <v>100.0</v>
      </c>
      <c r="AT212" s="2">
        <v>100.0</v>
      </c>
      <c r="AU212" s="2">
        <v>100.0</v>
      </c>
      <c r="AV212" s="2">
        <v>100.0</v>
      </c>
      <c r="AW212" s="2">
        <v>100.0</v>
      </c>
      <c r="AX212" s="2">
        <v>100.0</v>
      </c>
      <c r="AY212" s="2">
        <v>100.0</v>
      </c>
      <c r="AZ212" s="2">
        <v>100.0</v>
      </c>
      <c r="BA212" s="2">
        <v>100.0</v>
      </c>
      <c r="BB212" s="2">
        <v>100.0</v>
      </c>
      <c r="BC212" s="2">
        <v>100.0</v>
      </c>
      <c r="BD212" s="2">
        <v>100.0</v>
      </c>
      <c r="BE212" s="2">
        <v>100.0</v>
      </c>
      <c r="BF212" s="2">
        <v>100.0</v>
      </c>
      <c r="BG212" s="2">
        <v>100.0</v>
      </c>
      <c r="BH212" s="2">
        <v>100.0</v>
      </c>
      <c r="BI212" s="2">
        <v>100.0</v>
      </c>
      <c r="BJ212" s="2">
        <v>100.0</v>
      </c>
      <c r="BK212" s="2">
        <v>100.0</v>
      </c>
      <c r="BL212" s="2">
        <v>100.0</v>
      </c>
      <c r="BM212" s="2">
        <v>100.0</v>
      </c>
      <c r="BN212" s="2">
        <v>100.0</v>
      </c>
      <c r="BO212" s="2">
        <v>6500.0</v>
      </c>
    </row>
    <row r="213" ht="14.25" customHeight="1">
      <c r="A213" s="2" t="s">
        <v>568</v>
      </c>
      <c r="B213" s="2">
        <v>100.0</v>
      </c>
      <c r="C213" s="2">
        <v>100.0</v>
      </c>
      <c r="D213" s="2">
        <v>100.0</v>
      </c>
      <c r="E213" s="2">
        <v>100.0</v>
      </c>
      <c r="F213" s="2">
        <v>100.0</v>
      </c>
      <c r="G213" s="2">
        <v>100.0</v>
      </c>
      <c r="H213" s="2">
        <v>100.0</v>
      </c>
      <c r="I213" s="2">
        <v>100.0</v>
      </c>
      <c r="J213" s="2">
        <v>100.0</v>
      </c>
      <c r="K213" s="2">
        <v>100.0</v>
      </c>
      <c r="L213" s="2">
        <v>100.0</v>
      </c>
      <c r="M213" s="2">
        <v>100.0</v>
      </c>
      <c r="N213" s="2">
        <v>100.0</v>
      </c>
      <c r="O213" s="2">
        <v>100.0</v>
      </c>
      <c r="P213" s="2">
        <v>100.0</v>
      </c>
      <c r="Q213" s="2">
        <v>100.0</v>
      </c>
      <c r="R213" s="2">
        <v>100.0</v>
      </c>
      <c r="S213" s="2">
        <v>100.0</v>
      </c>
      <c r="T213" s="2">
        <v>100.0</v>
      </c>
      <c r="U213" s="2">
        <v>100.0</v>
      </c>
      <c r="V213" s="2">
        <v>100.0</v>
      </c>
      <c r="W213" s="2">
        <v>100.0</v>
      </c>
      <c r="X213" s="2">
        <v>100.0</v>
      </c>
      <c r="Y213" s="2">
        <v>100.0</v>
      </c>
      <c r="Z213" s="2">
        <v>100.0</v>
      </c>
      <c r="AA213" s="2">
        <v>100.0</v>
      </c>
      <c r="AB213" s="2">
        <v>100.0</v>
      </c>
      <c r="AC213" s="2">
        <v>100.0</v>
      </c>
      <c r="AD213" s="2">
        <v>100.0</v>
      </c>
      <c r="AE213" s="2">
        <v>100.0</v>
      </c>
      <c r="AF213" s="2">
        <v>100.0</v>
      </c>
      <c r="AG213" s="2">
        <v>100.0</v>
      </c>
      <c r="AH213" s="2">
        <v>100.0</v>
      </c>
      <c r="AI213" s="2">
        <v>100.0</v>
      </c>
      <c r="AJ213" s="2">
        <v>100.0</v>
      </c>
      <c r="AK213" s="2">
        <v>100.0</v>
      </c>
      <c r="AL213" s="2">
        <v>100.0</v>
      </c>
      <c r="AM213" s="2">
        <v>100.0</v>
      </c>
      <c r="AN213" s="2">
        <v>100.0</v>
      </c>
      <c r="AO213" s="2">
        <v>100.0</v>
      </c>
      <c r="AP213" s="2">
        <v>100.0</v>
      </c>
      <c r="AQ213" s="2">
        <v>100.0</v>
      </c>
      <c r="AR213" s="2">
        <v>100.0</v>
      </c>
      <c r="AS213" s="2">
        <v>100.0</v>
      </c>
      <c r="AT213" s="2">
        <v>100.0</v>
      </c>
      <c r="AU213" s="2">
        <v>100.0</v>
      </c>
      <c r="AV213" s="2">
        <v>100.0</v>
      </c>
      <c r="AW213" s="2">
        <v>100.0</v>
      </c>
      <c r="AX213" s="2">
        <v>100.0</v>
      </c>
      <c r="AY213" s="2">
        <v>100.0</v>
      </c>
      <c r="AZ213" s="2">
        <v>100.0</v>
      </c>
      <c r="BA213" s="2">
        <v>100.0</v>
      </c>
      <c r="BB213" s="2">
        <v>100.0</v>
      </c>
      <c r="BC213" s="2">
        <v>100.0</v>
      </c>
      <c r="BD213" s="2">
        <v>100.0</v>
      </c>
      <c r="BE213" s="2">
        <v>100.0</v>
      </c>
      <c r="BF213" s="2">
        <v>100.0</v>
      </c>
      <c r="BG213" s="2">
        <v>100.0</v>
      </c>
      <c r="BH213" s="2">
        <v>100.0</v>
      </c>
      <c r="BI213" s="2">
        <v>100.0</v>
      </c>
      <c r="BJ213" s="2">
        <v>100.0</v>
      </c>
      <c r="BK213" s="2">
        <v>100.0</v>
      </c>
      <c r="BL213" s="2">
        <v>100.0</v>
      </c>
      <c r="BM213" s="2">
        <v>100.0</v>
      </c>
      <c r="BN213" s="2">
        <v>100.0</v>
      </c>
      <c r="BO213" s="2">
        <v>6500.0</v>
      </c>
    </row>
    <row r="214" ht="14.25" customHeight="1">
      <c r="A214" s="2" t="s">
        <v>485</v>
      </c>
      <c r="B214" s="2">
        <v>33.464</v>
      </c>
      <c r="C214" s="2">
        <v>33.953</v>
      </c>
      <c r="D214" s="2">
        <v>34.714</v>
      </c>
      <c r="E214" s="2">
        <v>35.483</v>
      </c>
      <c r="F214" s="2">
        <v>36.26</v>
      </c>
      <c r="G214" s="2">
        <v>37.043</v>
      </c>
      <c r="H214" s="2">
        <v>37.833</v>
      </c>
      <c r="I214" s="2">
        <v>38.63</v>
      </c>
      <c r="J214" s="2">
        <v>39.435</v>
      </c>
      <c r="K214" s="2">
        <v>40.243</v>
      </c>
      <c r="L214" s="2">
        <v>41.057</v>
      </c>
      <c r="M214" s="2">
        <v>42.009</v>
      </c>
      <c r="N214" s="2">
        <v>43.064</v>
      </c>
      <c r="O214" s="2">
        <v>44.122</v>
      </c>
      <c r="P214" s="2">
        <v>45.187</v>
      </c>
      <c r="Q214" s="2">
        <v>46.257</v>
      </c>
      <c r="R214" s="2">
        <v>47.331</v>
      </c>
      <c r="S214" s="2">
        <v>48.405</v>
      </c>
      <c r="T214" s="2">
        <v>49.482</v>
      </c>
      <c r="U214" s="2">
        <v>50.56</v>
      </c>
      <c r="V214" s="2">
        <v>51.638</v>
      </c>
      <c r="W214" s="2">
        <v>52.31</v>
      </c>
      <c r="X214" s="2">
        <v>52.777</v>
      </c>
      <c r="Y214" s="2">
        <v>53.244</v>
      </c>
      <c r="Z214" s="2">
        <v>53.711</v>
      </c>
      <c r="AA214" s="2">
        <v>54.176</v>
      </c>
      <c r="AB214" s="2">
        <v>54.641</v>
      </c>
      <c r="AC214" s="2">
        <v>55.105</v>
      </c>
      <c r="AD214" s="2">
        <v>55.568</v>
      </c>
      <c r="AE214" s="2">
        <v>56.03</v>
      </c>
      <c r="AF214" s="2">
        <v>56.491</v>
      </c>
      <c r="AG214" s="2">
        <v>56.78</v>
      </c>
      <c r="AH214" s="2">
        <v>56.719</v>
      </c>
      <c r="AI214" s="2">
        <v>56.659</v>
      </c>
      <c r="AJ214" s="2">
        <v>56.598</v>
      </c>
      <c r="AK214" s="2">
        <v>56.537</v>
      </c>
      <c r="AL214" s="2">
        <v>56.476</v>
      </c>
      <c r="AM214" s="2">
        <v>56.416</v>
      </c>
      <c r="AN214" s="2">
        <v>56.355</v>
      </c>
      <c r="AO214" s="2">
        <v>56.294</v>
      </c>
      <c r="AP214" s="2">
        <v>56.233</v>
      </c>
      <c r="AQ214" s="2">
        <v>56.163</v>
      </c>
      <c r="AR214" s="2">
        <v>56.013</v>
      </c>
      <c r="AS214" s="2">
        <v>55.863</v>
      </c>
      <c r="AT214" s="2">
        <v>55.713</v>
      </c>
      <c r="AU214" s="2">
        <v>55.563</v>
      </c>
      <c r="AV214" s="2">
        <v>55.412</v>
      </c>
      <c r="AW214" s="2">
        <v>55.261</v>
      </c>
      <c r="AX214" s="2">
        <v>55.111</v>
      </c>
      <c r="AY214" s="2">
        <v>54.96</v>
      </c>
      <c r="AZ214" s="2">
        <v>54.685</v>
      </c>
      <c r="BA214" s="2">
        <v>54.42</v>
      </c>
      <c r="BB214" s="2">
        <v>54.28</v>
      </c>
      <c r="BC214" s="2">
        <v>54.14</v>
      </c>
      <c r="BD214" s="2">
        <v>54.0</v>
      </c>
      <c r="BE214" s="2">
        <v>53.889</v>
      </c>
      <c r="BF214" s="2">
        <v>53.806</v>
      </c>
      <c r="BG214" s="2">
        <v>53.751</v>
      </c>
      <c r="BH214" s="2">
        <v>53.726</v>
      </c>
      <c r="BI214" s="2">
        <v>53.729</v>
      </c>
      <c r="BJ214" s="2">
        <v>53.76</v>
      </c>
      <c r="BK214" s="2">
        <v>53.82</v>
      </c>
      <c r="BL214" s="2">
        <v>53.909</v>
      </c>
      <c r="BM214" s="2">
        <v>54.027</v>
      </c>
      <c r="BN214" s="2">
        <v>54.172</v>
      </c>
      <c r="BO214" s="2">
        <v>3295.463000000001</v>
      </c>
    </row>
    <row r="215" ht="14.25" customHeight="1">
      <c r="A215" s="2" t="s">
        <v>486</v>
      </c>
      <c r="B215" s="2">
        <v>28.204</v>
      </c>
      <c r="C215" s="2">
        <v>29.107</v>
      </c>
      <c r="D215" s="2">
        <v>29.934</v>
      </c>
      <c r="E215" s="2">
        <v>30.776</v>
      </c>
      <c r="F215" s="2">
        <v>31.631</v>
      </c>
      <c r="G215" s="2">
        <v>32.497</v>
      </c>
      <c r="H215" s="2">
        <v>33.376</v>
      </c>
      <c r="I215" s="2">
        <v>34.266</v>
      </c>
      <c r="J215" s="2">
        <v>35.169</v>
      </c>
      <c r="K215" s="2">
        <v>36.081</v>
      </c>
      <c r="L215" s="2">
        <v>37.004</v>
      </c>
      <c r="M215" s="2">
        <v>37.972</v>
      </c>
      <c r="N215" s="2">
        <v>39.058</v>
      </c>
      <c r="O215" s="2">
        <v>40.153</v>
      </c>
      <c r="P215" s="2">
        <v>41.259</v>
      </c>
      <c r="Q215" s="2">
        <v>42.374</v>
      </c>
      <c r="R215" s="2">
        <v>43.499</v>
      </c>
      <c r="S215" s="2">
        <v>44.627</v>
      </c>
      <c r="T215" s="2">
        <v>45.762</v>
      </c>
      <c r="U215" s="2">
        <v>46.901</v>
      </c>
      <c r="V215" s="2">
        <v>48.045</v>
      </c>
      <c r="W215" s="2">
        <v>48.941</v>
      </c>
      <c r="X215" s="2">
        <v>49.102</v>
      </c>
      <c r="Y215" s="2">
        <v>49.263</v>
      </c>
      <c r="Z215" s="2">
        <v>49.424</v>
      </c>
      <c r="AA215" s="2">
        <v>49.584</v>
      </c>
      <c r="AB215" s="2">
        <v>49.746</v>
      </c>
      <c r="AC215" s="2">
        <v>49.907</v>
      </c>
      <c r="AD215" s="2">
        <v>50.068</v>
      </c>
      <c r="AE215" s="2">
        <v>50.229</v>
      </c>
      <c r="AF215" s="2">
        <v>50.39</v>
      </c>
      <c r="AG215" s="2">
        <v>50.517</v>
      </c>
      <c r="AH215" s="2">
        <v>50.543</v>
      </c>
      <c r="AI215" s="2">
        <v>50.569</v>
      </c>
      <c r="AJ215" s="2">
        <v>50.596</v>
      </c>
      <c r="AK215" s="2">
        <v>50.622</v>
      </c>
      <c r="AL215" s="2">
        <v>50.649</v>
      </c>
      <c r="AM215" s="2">
        <v>50.675</v>
      </c>
      <c r="AN215" s="2">
        <v>50.701</v>
      </c>
      <c r="AO215" s="2">
        <v>50.728</v>
      </c>
      <c r="AP215" s="2">
        <v>50.754</v>
      </c>
      <c r="AQ215" s="2">
        <v>50.78</v>
      </c>
      <c r="AR215" s="2">
        <v>50.857</v>
      </c>
      <c r="AS215" s="2">
        <v>51.082</v>
      </c>
      <c r="AT215" s="2">
        <v>51.308</v>
      </c>
      <c r="AU215" s="2">
        <v>51.533</v>
      </c>
      <c r="AV215" s="2">
        <v>51.758</v>
      </c>
      <c r="AW215" s="2">
        <v>51.983</v>
      </c>
      <c r="AX215" s="2">
        <v>52.209</v>
      </c>
      <c r="AY215" s="2">
        <v>52.433</v>
      </c>
      <c r="AZ215" s="2">
        <v>52.658</v>
      </c>
      <c r="BA215" s="2">
        <v>52.883</v>
      </c>
      <c r="BB215" s="2">
        <v>53.108</v>
      </c>
      <c r="BC215" s="2">
        <v>53.332</v>
      </c>
      <c r="BD215" s="2">
        <v>53.557</v>
      </c>
      <c r="BE215" s="2">
        <v>53.781</v>
      </c>
      <c r="BF215" s="2">
        <v>54.02</v>
      </c>
      <c r="BG215" s="2">
        <v>54.273</v>
      </c>
      <c r="BH215" s="2">
        <v>54.541</v>
      </c>
      <c r="BI215" s="2">
        <v>54.822</v>
      </c>
      <c r="BJ215" s="2">
        <v>55.118</v>
      </c>
      <c r="BK215" s="2">
        <v>55.427</v>
      </c>
      <c r="BL215" s="2">
        <v>55.751</v>
      </c>
      <c r="BM215" s="2">
        <v>56.088</v>
      </c>
      <c r="BN215" s="2">
        <v>56.438</v>
      </c>
      <c r="BO215" s="2">
        <v>3070.4430000000007</v>
      </c>
    </row>
    <row r="216" ht="14.25" customHeight="1">
      <c r="A216" s="2" t="s">
        <v>569</v>
      </c>
      <c r="B216" s="2">
        <v>34.6104630089197</v>
      </c>
      <c r="C216" s="2">
        <v>35.0294436593765</v>
      </c>
      <c r="D216" s="2">
        <v>35.4704090512448</v>
      </c>
      <c r="E216" s="2">
        <v>35.9242504105674</v>
      </c>
      <c r="F216" s="2">
        <v>36.3897077690754</v>
      </c>
      <c r="G216" s="2">
        <v>36.8461534169563</v>
      </c>
      <c r="H216" s="2">
        <v>37.2956818653606</v>
      </c>
      <c r="I216" s="2">
        <v>37.7166116946583</v>
      </c>
      <c r="J216" s="2">
        <v>38.1528594118965</v>
      </c>
      <c r="K216" s="2">
        <v>38.5922075545523</v>
      </c>
      <c r="L216" s="2">
        <v>39.0266001399682</v>
      </c>
      <c r="M216" s="2">
        <v>39.4768320374954</v>
      </c>
      <c r="N216" s="2">
        <v>39.9610491674148</v>
      </c>
      <c r="O216" s="2">
        <v>40.4315366758237</v>
      </c>
      <c r="P216" s="2">
        <v>40.9712953261286</v>
      </c>
      <c r="Q216" s="2">
        <v>41.5201070869575</v>
      </c>
      <c r="R216" s="2">
        <v>42.0680898453922</v>
      </c>
      <c r="S216" s="2">
        <v>42.5835966018463</v>
      </c>
      <c r="T216" s="2">
        <v>43.0885832998817</v>
      </c>
      <c r="U216" s="2">
        <v>43.5600711213645</v>
      </c>
      <c r="V216" s="2">
        <v>43.9936820176315</v>
      </c>
      <c r="W216" s="2">
        <v>44.3093819709317</v>
      </c>
      <c r="X216" s="2">
        <v>44.6571485778371</v>
      </c>
      <c r="Y216" s="2">
        <v>44.9260649368735</v>
      </c>
      <c r="Z216" s="2">
        <v>45.1968602196856</v>
      </c>
      <c r="AA216" s="2">
        <v>45.4917189689915</v>
      </c>
      <c r="AB216" s="2">
        <v>45.8097927110949</v>
      </c>
      <c r="AC216" s="2">
        <v>46.1559226253527</v>
      </c>
      <c r="AD216" s="2">
        <v>46.4998477916299</v>
      </c>
      <c r="AE216" s="2">
        <v>46.8327835165635</v>
      </c>
      <c r="AF216" s="2">
        <v>47.1683911011802</v>
      </c>
      <c r="AG216" s="2">
        <v>47.4064530084529</v>
      </c>
      <c r="AH216" s="2">
        <v>47.5152165357755</v>
      </c>
      <c r="AI216" s="2">
        <v>47.6004089120001</v>
      </c>
      <c r="AJ216" s="2">
        <v>47.7510953182237</v>
      </c>
      <c r="AK216" s="2">
        <v>47.9141174431986</v>
      </c>
      <c r="AL216" s="2">
        <v>48.0681969443604</v>
      </c>
      <c r="AM216" s="2">
        <v>48.2169809136141</v>
      </c>
      <c r="AN216" s="2">
        <v>48.3507165354592</v>
      </c>
      <c r="AO216" s="2">
        <v>48.7138355108453</v>
      </c>
      <c r="AP216" s="2">
        <v>49.0559834774637</v>
      </c>
      <c r="AQ216" s="2">
        <v>49.129910359016</v>
      </c>
      <c r="AR216" s="2">
        <v>49.186576213294</v>
      </c>
      <c r="AS216" s="2">
        <v>49.2749280136856</v>
      </c>
      <c r="AT216" s="2">
        <v>49.3859445927799</v>
      </c>
      <c r="AU216" s="2">
        <v>49.4604298495371</v>
      </c>
      <c r="AV216" s="2">
        <v>49.5377659620455</v>
      </c>
      <c r="AW216" s="2">
        <v>49.6191202224966</v>
      </c>
      <c r="AX216" s="2">
        <v>49.7266374936188</v>
      </c>
      <c r="AY216" s="2">
        <v>49.8322692769701</v>
      </c>
      <c r="AZ216" s="2">
        <v>49.9238962017502</v>
      </c>
      <c r="BA216" s="2">
        <v>50.005682863859</v>
      </c>
      <c r="BB216" s="2">
        <v>50.11169442468</v>
      </c>
      <c r="BC216" s="2">
        <v>50.2301369809648</v>
      </c>
      <c r="BD216" s="2">
        <v>50.364643643939</v>
      </c>
      <c r="BE216" s="2">
        <v>50.5130046848983</v>
      </c>
      <c r="BF216" s="2">
        <v>50.6676584147271</v>
      </c>
      <c r="BG216" s="2">
        <v>50.8398892098627</v>
      </c>
      <c r="BH216" s="2">
        <v>51.0083743010062</v>
      </c>
      <c r="BI216" s="2">
        <v>51.2028404507959</v>
      </c>
      <c r="BJ216" s="2">
        <v>51.4005017222283</v>
      </c>
      <c r="BK216" s="2">
        <v>51.5703651137917</v>
      </c>
      <c r="BL216" s="2">
        <v>51.8158557665978</v>
      </c>
      <c r="BM216" s="2">
        <v>52.0999076695215</v>
      </c>
      <c r="BN216" s="2">
        <v>52.372312805115</v>
      </c>
      <c r="BO216" s="2">
        <v>2969.6304944192293</v>
      </c>
    </row>
    <row r="217" ht="14.25" customHeight="1">
      <c r="A217" s="2" t="s">
        <v>487</v>
      </c>
      <c r="B217" s="2">
        <v>5.768</v>
      </c>
      <c r="C217" s="2">
        <v>6.038</v>
      </c>
      <c r="D217" s="2">
        <v>6.321</v>
      </c>
      <c r="E217" s="2">
        <v>6.616</v>
      </c>
      <c r="F217" s="2">
        <v>6.924</v>
      </c>
      <c r="G217" s="2">
        <v>7.245</v>
      </c>
      <c r="H217" s="2">
        <v>7.579</v>
      </c>
      <c r="I217" s="2">
        <v>7.928</v>
      </c>
      <c r="J217" s="2">
        <v>8.292</v>
      </c>
      <c r="K217" s="2">
        <v>8.67</v>
      </c>
      <c r="L217" s="2">
        <v>8.917</v>
      </c>
      <c r="M217" s="2">
        <v>8.958</v>
      </c>
      <c r="N217" s="2">
        <v>8.999</v>
      </c>
      <c r="O217" s="2">
        <v>9.041</v>
      </c>
      <c r="P217" s="2">
        <v>9.083</v>
      </c>
      <c r="Q217" s="2">
        <v>9.125</v>
      </c>
      <c r="R217" s="2">
        <v>9.271</v>
      </c>
      <c r="S217" s="2">
        <v>9.583</v>
      </c>
      <c r="T217" s="2">
        <v>9.904</v>
      </c>
      <c r="U217" s="2">
        <v>10.235</v>
      </c>
      <c r="V217" s="2">
        <v>10.576</v>
      </c>
      <c r="W217" s="2">
        <v>10.927</v>
      </c>
      <c r="X217" s="2">
        <v>11.288</v>
      </c>
      <c r="Y217" s="2">
        <v>11.659</v>
      </c>
      <c r="Z217" s="2">
        <v>12.041</v>
      </c>
      <c r="AA217" s="2">
        <v>12.433</v>
      </c>
      <c r="AB217" s="2">
        <v>12.837</v>
      </c>
      <c r="AC217" s="2">
        <v>13.111</v>
      </c>
      <c r="AD217" s="2">
        <v>13.298</v>
      </c>
      <c r="AE217" s="2">
        <v>13.486</v>
      </c>
      <c r="AF217" s="2">
        <v>13.677</v>
      </c>
      <c r="AG217" s="2">
        <v>13.87</v>
      </c>
      <c r="AH217" s="2">
        <v>14.065</v>
      </c>
      <c r="AI217" s="2">
        <v>14.262</v>
      </c>
      <c r="AJ217" s="2">
        <v>14.462</v>
      </c>
      <c r="AK217" s="2">
        <v>14.664</v>
      </c>
      <c r="AL217" s="2">
        <v>14.869</v>
      </c>
      <c r="AM217" s="2">
        <v>15.076</v>
      </c>
      <c r="AN217" s="2">
        <v>15.285</v>
      </c>
      <c r="AO217" s="2">
        <v>15.496</v>
      </c>
      <c r="AP217" s="2">
        <v>15.813</v>
      </c>
      <c r="AQ217" s="2">
        <v>16.201</v>
      </c>
      <c r="AR217" s="2">
        <v>16.597</v>
      </c>
      <c r="AS217" s="2">
        <v>17.001</v>
      </c>
      <c r="AT217" s="2">
        <v>17.413</v>
      </c>
      <c r="AU217" s="2">
        <v>17.832</v>
      </c>
      <c r="AV217" s="2">
        <v>18.259</v>
      </c>
      <c r="AW217" s="2">
        <v>18.694</v>
      </c>
      <c r="AX217" s="2">
        <v>19.138</v>
      </c>
      <c r="AY217" s="2">
        <v>19.589</v>
      </c>
      <c r="AZ217" s="2">
        <v>20.048</v>
      </c>
      <c r="BA217" s="2">
        <v>20.508</v>
      </c>
      <c r="BB217" s="2">
        <v>20.97</v>
      </c>
      <c r="BC217" s="2">
        <v>21.433</v>
      </c>
      <c r="BD217" s="2">
        <v>21.896</v>
      </c>
      <c r="BE217" s="2">
        <v>22.36</v>
      </c>
      <c r="BF217" s="2">
        <v>22.823</v>
      </c>
      <c r="BG217" s="2">
        <v>23.286</v>
      </c>
      <c r="BH217" s="2">
        <v>23.749</v>
      </c>
      <c r="BI217" s="2">
        <v>24.21</v>
      </c>
      <c r="BJ217" s="2">
        <v>24.67</v>
      </c>
      <c r="BK217" s="2">
        <v>25.128</v>
      </c>
      <c r="BL217" s="2">
        <v>25.584</v>
      </c>
      <c r="BM217" s="2">
        <v>26.037</v>
      </c>
      <c r="BN217" s="2">
        <v>26.488</v>
      </c>
      <c r="BO217" s="2">
        <v>957.606</v>
      </c>
    </row>
    <row r="218" ht="14.25" customHeight="1">
      <c r="A218" s="2" t="s">
        <v>488</v>
      </c>
      <c r="B218" s="2">
        <v>17.312</v>
      </c>
      <c r="C218" s="2">
        <v>17.835</v>
      </c>
      <c r="D218" s="2">
        <v>18.372</v>
      </c>
      <c r="E218" s="2">
        <v>18.92</v>
      </c>
      <c r="F218" s="2">
        <v>19.453</v>
      </c>
      <c r="G218" s="2">
        <v>19.964</v>
      </c>
      <c r="H218" s="2">
        <v>20.487</v>
      </c>
      <c r="I218" s="2">
        <v>21.02</v>
      </c>
      <c r="J218" s="2">
        <v>21.563</v>
      </c>
      <c r="K218" s="2">
        <v>22.115</v>
      </c>
      <c r="L218" s="2">
        <v>22.678</v>
      </c>
      <c r="M218" s="2">
        <v>23.251</v>
      </c>
      <c r="N218" s="2">
        <v>23.835</v>
      </c>
      <c r="O218" s="2">
        <v>24.427</v>
      </c>
      <c r="P218" s="2">
        <v>25.03</v>
      </c>
      <c r="Q218" s="2">
        <v>25.498</v>
      </c>
      <c r="R218" s="2">
        <v>25.748</v>
      </c>
      <c r="S218" s="2">
        <v>25.999</v>
      </c>
      <c r="T218" s="2">
        <v>26.252</v>
      </c>
      <c r="U218" s="2">
        <v>26.507</v>
      </c>
      <c r="V218" s="2">
        <v>26.763</v>
      </c>
      <c r="W218" s="2">
        <v>27.021</v>
      </c>
      <c r="X218" s="2">
        <v>27.28</v>
      </c>
      <c r="Y218" s="2">
        <v>27.541</v>
      </c>
      <c r="Z218" s="2">
        <v>27.804</v>
      </c>
      <c r="AA218" s="2">
        <v>28.067</v>
      </c>
      <c r="AB218" s="2">
        <v>28.333</v>
      </c>
      <c r="AC218" s="2">
        <v>28.627</v>
      </c>
      <c r="AD218" s="2">
        <v>28.969</v>
      </c>
      <c r="AE218" s="2">
        <v>29.312</v>
      </c>
      <c r="AF218" s="2">
        <v>29.658</v>
      </c>
      <c r="AG218" s="2">
        <v>30.007</v>
      </c>
      <c r="AH218" s="2">
        <v>30.359</v>
      </c>
      <c r="AI218" s="2">
        <v>30.711</v>
      </c>
      <c r="AJ218" s="2">
        <v>31.067</v>
      </c>
      <c r="AK218" s="2">
        <v>31.425</v>
      </c>
      <c r="AL218" s="2">
        <v>31.785</v>
      </c>
      <c r="AM218" s="2">
        <v>32.147</v>
      </c>
      <c r="AN218" s="2">
        <v>32.511</v>
      </c>
      <c r="AO218" s="2">
        <v>32.878</v>
      </c>
      <c r="AP218" s="2">
        <v>33.247</v>
      </c>
      <c r="AQ218" s="2">
        <v>33.617</v>
      </c>
      <c r="AR218" s="2">
        <v>33.99</v>
      </c>
      <c r="AS218" s="2">
        <v>34.756</v>
      </c>
      <c r="AT218" s="2">
        <v>35.531</v>
      </c>
      <c r="AU218" s="2">
        <v>36.311</v>
      </c>
      <c r="AV218" s="2">
        <v>37.1</v>
      </c>
      <c r="AW218" s="2">
        <v>34.404</v>
      </c>
      <c r="AX218" s="2">
        <v>36.011</v>
      </c>
      <c r="AY218" s="2">
        <v>37.645</v>
      </c>
      <c r="AZ218" s="2">
        <v>39.31</v>
      </c>
      <c r="BA218" s="2">
        <v>41.0</v>
      </c>
      <c r="BB218" s="2">
        <v>41.558</v>
      </c>
      <c r="BC218" s="2">
        <v>42.117</v>
      </c>
      <c r="BD218" s="2">
        <v>42.679</v>
      </c>
      <c r="BE218" s="2">
        <v>43.245</v>
      </c>
      <c r="BF218" s="2">
        <v>43.816</v>
      </c>
      <c r="BG218" s="2">
        <v>44.391</v>
      </c>
      <c r="BH218" s="2">
        <v>44.971</v>
      </c>
      <c r="BI218" s="2">
        <v>45.554</v>
      </c>
      <c r="BJ218" s="2">
        <v>46.141</v>
      </c>
      <c r="BK218" s="2">
        <v>46.731</v>
      </c>
      <c r="BL218" s="2">
        <v>47.324</v>
      </c>
      <c r="BM218" s="2">
        <v>47.92</v>
      </c>
      <c r="BN218" s="2">
        <v>48.519</v>
      </c>
      <c r="BO218" s="2">
        <v>2056.419</v>
      </c>
    </row>
    <row r="219" ht="14.25" customHeight="1">
      <c r="A219" s="2" t="s">
        <v>107</v>
      </c>
      <c r="B219" s="2">
        <v>46.619</v>
      </c>
      <c r="C219" s="2">
        <v>46.793</v>
      </c>
      <c r="D219" s="2">
        <v>46.906</v>
      </c>
      <c r="E219" s="2">
        <v>47.02</v>
      </c>
      <c r="F219" s="2">
        <v>47.134</v>
      </c>
      <c r="G219" s="2">
        <v>47.248</v>
      </c>
      <c r="H219" s="2">
        <v>47.362</v>
      </c>
      <c r="I219" s="2">
        <v>47.476</v>
      </c>
      <c r="J219" s="2">
        <v>47.59</v>
      </c>
      <c r="K219" s="2">
        <v>47.704</v>
      </c>
      <c r="L219" s="2">
        <v>47.809</v>
      </c>
      <c r="M219" s="2">
        <v>47.869</v>
      </c>
      <c r="N219" s="2">
        <v>47.929</v>
      </c>
      <c r="O219" s="2">
        <v>47.989</v>
      </c>
      <c r="P219" s="2">
        <v>48.049</v>
      </c>
      <c r="Q219" s="2">
        <v>48.109</v>
      </c>
      <c r="R219" s="2">
        <v>48.169</v>
      </c>
      <c r="S219" s="2">
        <v>48.229</v>
      </c>
      <c r="T219" s="2">
        <v>48.289</v>
      </c>
      <c r="U219" s="2">
        <v>48.349</v>
      </c>
      <c r="V219" s="2">
        <v>48.425</v>
      </c>
      <c r="W219" s="2">
        <v>48.591</v>
      </c>
      <c r="X219" s="2">
        <v>48.756</v>
      </c>
      <c r="Y219" s="2">
        <v>48.922</v>
      </c>
      <c r="Z219" s="2">
        <v>49.088</v>
      </c>
      <c r="AA219" s="2">
        <v>49.372</v>
      </c>
      <c r="AB219" s="2">
        <v>49.905</v>
      </c>
      <c r="AC219" s="2">
        <v>50.439</v>
      </c>
      <c r="AD219" s="2">
        <v>50.972</v>
      </c>
      <c r="AE219" s="2">
        <v>51.505</v>
      </c>
      <c r="AF219" s="2">
        <v>52.037</v>
      </c>
      <c r="AG219" s="2">
        <v>52.554</v>
      </c>
      <c r="AH219" s="2">
        <v>53.038</v>
      </c>
      <c r="AI219" s="2">
        <v>53.521</v>
      </c>
      <c r="AJ219" s="2">
        <v>54.004</v>
      </c>
      <c r="AK219" s="2">
        <v>54.486</v>
      </c>
      <c r="AL219" s="2">
        <v>54.967</v>
      </c>
      <c r="AM219" s="2">
        <v>55.449</v>
      </c>
      <c r="AN219" s="2">
        <v>55.93</v>
      </c>
      <c r="AO219" s="2">
        <v>56.411</v>
      </c>
      <c r="AP219" s="2">
        <v>56.891</v>
      </c>
      <c r="AQ219" s="2">
        <v>57.368</v>
      </c>
      <c r="AR219" s="2">
        <v>57.898</v>
      </c>
      <c r="AS219" s="2">
        <v>58.446</v>
      </c>
      <c r="AT219" s="2">
        <v>58.993</v>
      </c>
      <c r="AU219" s="2">
        <v>59.536</v>
      </c>
      <c r="AV219" s="2">
        <v>60.077</v>
      </c>
      <c r="AW219" s="2">
        <v>60.616</v>
      </c>
      <c r="AX219" s="2">
        <v>61.154</v>
      </c>
      <c r="AY219" s="2">
        <v>61.687</v>
      </c>
      <c r="AZ219" s="2">
        <v>62.218</v>
      </c>
      <c r="BA219" s="2">
        <v>62.746</v>
      </c>
      <c r="BB219" s="2">
        <v>63.272</v>
      </c>
      <c r="BC219" s="2">
        <v>63.793</v>
      </c>
      <c r="BD219" s="2">
        <v>64.312</v>
      </c>
      <c r="BE219" s="2">
        <v>64.828</v>
      </c>
      <c r="BF219" s="2">
        <v>65.341</v>
      </c>
      <c r="BG219" s="2">
        <v>65.85</v>
      </c>
      <c r="BH219" s="2">
        <v>66.355</v>
      </c>
      <c r="BI219" s="2">
        <v>66.856</v>
      </c>
      <c r="BJ219" s="2">
        <v>67.354</v>
      </c>
      <c r="BK219" s="2">
        <v>67.847</v>
      </c>
      <c r="BL219" s="2">
        <v>68.335</v>
      </c>
      <c r="BM219" s="2">
        <v>68.819</v>
      </c>
      <c r="BN219" s="2">
        <v>69.298</v>
      </c>
      <c r="BO219" s="2">
        <v>3570.9040000000005</v>
      </c>
    </row>
    <row r="220" ht="14.25" customHeight="1">
      <c r="A220" s="2" t="s">
        <v>140</v>
      </c>
      <c r="B220" s="2">
        <v>16.2951712355858</v>
      </c>
      <c r="C220" s="2">
        <v>16.403864897369</v>
      </c>
      <c r="D220" s="2">
        <v>16.5849838382907</v>
      </c>
      <c r="E220" s="2">
        <v>16.7674232617615</v>
      </c>
      <c r="F220" s="2">
        <v>16.9518786467482</v>
      </c>
      <c r="G220" s="2">
        <v>17.1359422454992</v>
      </c>
      <c r="H220" s="2">
        <v>17.321200884358</v>
      </c>
      <c r="I220" s="2">
        <v>17.5089049867609</v>
      </c>
      <c r="J220" s="2">
        <v>17.6985800990213</v>
      </c>
      <c r="K220" s="2">
        <v>17.8909818412512</v>
      </c>
      <c r="L220" s="2">
        <v>18.0906210444058</v>
      </c>
      <c r="M220" s="2">
        <v>18.3293328065553</v>
      </c>
      <c r="N220" s="2">
        <v>18.6543572588689</v>
      </c>
      <c r="O220" s="2">
        <v>18.9728501665328</v>
      </c>
      <c r="P220" s="2">
        <v>19.3139023618643</v>
      </c>
      <c r="Q220" s="2">
        <v>19.6958965789761</v>
      </c>
      <c r="R220" s="2">
        <v>20.0894749657954</v>
      </c>
      <c r="S220" s="2">
        <v>20.494308953154</v>
      </c>
      <c r="T220" s="2">
        <v>20.9100383237611</v>
      </c>
      <c r="U220" s="2">
        <v>21.3380273562557</v>
      </c>
      <c r="V220" s="2">
        <v>21.7799635954026</v>
      </c>
      <c r="W220" s="2">
        <v>22.1616384605183</v>
      </c>
      <c r="X220" s="2">
        <v>22.4053149378991</v>
      </c>
      <c r="Y220" s="2">
        <v>22.6527592168766</v>
      </c>
      <c r="Z220" s="2">
        <v>22.904577183856</v>
      </c>
      <c r="AA220" s="2">
        <v>23.1588347487245</v>
      </c>
      <c r="AB220" s="2">
        <v>23.4163375396047</v>
      </c>
      <c r="AC220" s="2">
        <v>23.6766952448788</v>
      </c>
      <c r="AD220" s="2">
        <v>23.940648143174</v>
      </c>
      <c r="AE220" s="2">
        <v>24.2072202988908</v>
      </c>
      <c r="AF220" s="2">
        <v>24.475004782045</v>
      </c>
      <c r="AG220" s="2">
        <v>24.7292363353674</v>
      </c>
      <c r="AH220" s="2">
        <v>24.9518335687112</v>
      </c>
      <c r="AI220" s="2">
        <v>25.1758921326025</v>
      </c>
      <c r="AJ220" s="2">
        <v>25.4021139739972</v>
      </c>
      <c r="AK220" s="2">
        <v>25.6288648344869</v>
      </c>
      <c r="AL220" s="2">
        <v>25.85859824817</v>
      </c>
      <c r="AM220" s="2">
        <v>26.0898492534948</v>
      </c>
      <c r="AN220" s="2">
        <v>26.3229002325185</v>
      </c>
      <c r="AO220" s="2">
        <v>26.5576573063564</v>
      </c>
      <c r="AP220" s="2">
        <v>26.794599082607</v>
      </c>
      <c r="AQ220" s="2">
        <v>27.0774220149628</v>
      </c>
      <c r="AR220" s="2">
        <v>27.4368938387587</v>
      </c>
      <c r="AS220" s="2">
        <v>27.7999812501733</v>
      </c>
      <c r="AT220" s="2">
        <v>28.1674356226398</v>
      </c>
      <c r="AU220" s="2">
        <v>28.5369797212479</v>
      </c>
      <c r="AV220" s="2">
        <v>28.9094695687906</v>
      </c>
      <c r="AW220" s="2">
        <v>29.2856928427484</v>
      </c>
      <c r="AX220" s="2">
        <v>29.6655326792885</v>
      </c>
      <c r="AY220" s="2">
        <v>30.0474789492245</v>
      </c>
      <c r="AZ220" s="2">
        <v>30.4324114810731</v>
      </c>
      <c r="BA220" s="2">
        <v>30.8209968765955</v>
      </c>
      <c r="BB220" s="2">
        <v>31.2204231080541</v>
      </c>
      <c r="BC220" s="2">
        <v>31.6362001183141</v>
      </c>
      <c r="BD220" s="2">
        <v>32.0556082920778</v>
      </c>
      <c r="BE220" s="2">
        <v>32.4847420686569</v>
      </c>
      <c r="BF220" s="2">
        <v>32.9244292106513</v>
      </c>
      <c r="BG220" s="2">
        <v>33.37605219663</v>
      </c>
      <c r="BH220" s="2">
        <v>33.8381523535218</v>
      </c>
      <c r="BI220" s="2">
        <v>34.3092492591791</v>
      </c>
      <c r="BJ220" s="2">
        <v>34.7891559819958</v>
      </c>
      <c r="BK220" s="2">
        <v>35.2793706823099</v>
      </c>
      <c r="BL220" s="2">
        <v>35.7853207636492</v>
      </c>
      <c r="BM220" s="2">
        <v>36.3076855606527</v>
      </c>
      <c r="BN220" s="2">
        <v>36.8396884420977</v>
      </c>
      <c r="BO220" s="2">
        <v>1637.764653756291</v>
      </c>
    </row>
    <row r="221" ht="14.25" customHeight="1">
      <c r="A221" s="2" t="s">
        <v>570</v>
      </c>
      <c r="B221" s="2">
        <v>16.2951712355858</v>
      </c>
      <c r="C221" s="2">
        <v>16.403864897369</v>
      </c>
      <c r="D221" s="2">
        <v>16.5849838382907</v>
      </c>
      <c r="E221" s="2">
        <v>16.7674232617615</v>
      </c>
      <c r="F221" s="2">
        <v>16.9518786467482</v>
      </c>
      <c r="G221" s="2">
        <v>17.1359422454992</v>
      </c>
      <c r="H221" s="2">
        <v>17.321200884358</v>
      </c>
      <c r="I221" s="2">
        <v>17.5089049867609</v>
      </c>
      <c r="J221" s="2">
        <v>17.6985800990213</v>
      </c>
      <c r="K221" s="2">
        <v>17.8909818412512</v>
      </c>
      <c r="L221" s="2">
        <v>18.0906210444058</v>
      </c>
      <c r="M221" s="2">
        <v>18.3293328065553</v>
      </c>
      <c r="N221" s="2">
        <v>18.6543572588689</v>
      </c>
      <c r="O221" s="2">
        <v>18.9728501665328</v>
      </c>
      <c r="P221" s="2">
        <v>19.3139023618643</v>
      </c>
      <c r="Q221" s="2">
        <v>19.6958965789761</v>
      </c>
      <c r="R221" s="2">
        <v>20.0894749657953</v>
      </c>
      <c r="S221" s="2">
        <v>20.494308953154</v>
      </c>
      <c r="T221" s="2">
        <v>20.9100383237611</v>
      </c>
      <c r="U221" s="2">
        <v>21.3380273562557</v>
      </c>
      <c r="V221" s="2">
        <v>21.7799635954026</v>
      </c>
      <c r="W221" s="2">
        <v>22.1616384605183</v>
      </c>
      <c r="X221" s="2">
        <v>22.4053149378991</v>
      </c>
      <c r="Y221" s="2">
        <v>22.6527592168766</v>
      </c>
      <c r="Z221" s="2">
        <v>22.904577183856</v>
      </c>
      <c r="AA221" s="2">
        <v>23.1588347487245</v>
      </c>
      <c r="AB221" s="2">
        <v>23.4163375396047</v>
      </c>
      <c r="AC221" s="2">
        <v>23.6766952448788</v>
      </c>
      <c r="AD221" s="2">
        <v>23.940648143174</v>
      </c>
      <c r="AE221" s="2">
        <v>24.2072202988908</v>
      </c>
      <c r="AF221" s="2">
        <v>24.475004782045</v>
      </c>
      <c r="AG221" s="2">
        <v>24.7292363353674</v>
      </c>
      <c r="AH221" s="2">
        <v>24.9518335687112</v>
      </c>
      <c r="AI221" s="2">
        <v>25.1758921326025</v>
      </c>
      <c r="AJ221" s="2">
        <v>25.4021139739972</v>
      </c>
      <c r="AK221" s="2">
        <v>25.6288648344869</v>
      </c>
      <c r="AL221" s="2">
        <v>25.85859824817</v>
      </c>
      <c r="AM221" s="2">
        <v>26.0898492534948</v>
      </c>
      <c r="AN221" s="2">
        <v>26.3229002325185</v>
      </c>
      <c r="AO221" s="2">
        <v>26.5576573063564</v>
      </c>
      <c r="AP221" s="2">
        <v>26.794599082607</v>
      </c>
      <c r="AQ221" s="2">
        <v>27.0774220149628</v>
      </c>
      <c r="AR221" s="2">
        <v>27.4368938387587</v>
      </c>
      <c r="AS221" s="2">
        <v>27.7999812501733</v>
      </c>
      <c r="AT221" s="2">
        <v>28.1674356226398</v>
      </c>
      <c r="AU221" s="2">
        <v>28.5369797212479</v>
      </c>
      <c r="AV221" s="2">
        <v>28.9094695687906</v>
      </c>
      <c r="AW221" s="2">
        <v>29.2856928427484</v>
      </c>
      <c r="AX221" s="2">
        <v>29.6655326792885</v>
      </c>
      <c r="AY221" s="2">
        <v>30.0474789492245</v>
      </c>
      <c r="AZ221" s="2">
        <v>30.4324114810731</v>
      </c>
      <c r="BA221" s="2">
        <v>30.8209968765955</v>
      </c>
      <c r="BB221" s="2">
        <v>31.2204231080541</v>
      </c>
      <c r="BC221" s="2">
        <v>31.6362001183141</v>
      </c>
      <c r="BD221" s="2">
        <v>32.0556082920778</v>
      </c>
      <c r="BE221" s="2">
        <v>32.4847420686569</v>
      </c>
      <c r="BF221" s="2">
        <v>32.9244292106513</v>
      </c>
      <c r="BG221" s="2">
        <v>33.37605219663</v>
      </c>
      <c r="BH221" s="2">
        <v>33.8381523535218</v>
      </c>
      <c r="BI221" s="2">
        <v>34.3092492591791</v>
      </c>
      <c r="BJ221" s="2">
        <v>34.7891559819958</v>
      </c>
      <c r="BK221" s="2">
        <v>35.2793706823099</v>
      </c>
      <c r="BL221" s="2">
        <v>35.7853207636492</v>
      </c>
      <c r="BM221" s="2">
        <v>36.3076855606527</v>
      </c>
      <c r="BN221" s="2">
        <v>36.8396884420977</v>
      </c>
      <c r="BO221" s="2">
        <v>1637.764653756291</v>
      </c>
    </row>
    <row r="222" ht="14.25" customHeight="1">
      <c r="A222" s="2" t="s">
        <v>489</v>
      </c>
      <c r="B222" s="2">
        <v>8.748</v>
      </c>
      <c r="C222" s="2">
        <v>8.737</v>
      </c>
      <c r="D222" s="2">
        <v>8.725</v>
      </c>
      <c r="E222" s="2">
        <v>8.714</v>
      </c>
      <c r="F222" s="2">
        <v>8.702</v>
      </c>
      <c r="G222" s="2">
        <v>8.69</v>
      </c>
      <c r="H222" s="2">
        <v>8.679</v>
      </c>
      <c r="I222" s="2">
        <v>8.667</v>
      </c>
      <c r="J222" s="2">
        <v>8.656</v>
      </c>
      <c r="K222" s="2">
        <v>8.645</v>
      </c>
      <c r="L222" s="2">
        <v>8.633</v>
      </c>
      <c r="M222" s="2">
        <v>8.622</v>
      </c>
      <c r="N222" s="2">
        <v>8.61</v>
      </c>
      <c r="O222" s="2">
        <v>8.599</v>
      </c>
      <c r="P222" s="2">
        <v>8.587</v>
      </c>
      <c r="Q222" s="2">
        <v>8.576</v>
      </c>
      <c r="R222" s="2">
        <v>8.565</v>
      </c>
      <c r="S222" s="2">
        <v>8.553</v>
      </c>
      <c r="T222" s="2">
        <v>8.542</v>
      </c>
      <c r="U222" s="2">
        <v>8.531</v>
      </c>
      <c r="V222" s="2">
        <v>8.519</v>
      </c>
      <c r="W222" s="2">
        <v>8.508</v>
      </c>
      <c r="X222" s="2">
        <v>8.497</v>
      </c>
      <c r="Y222" s="2">
        <v>8.708</v>
      </c>
      <c r="Z222" s="2">
        <v>9.261</v>
      </c>
      <c r="AA222" s="2">
        <v>9.844</v>
      </c>
      <c r="AB222" s="2">
        <v>10.461</v>
      </c>
      <c r="AC222" s="2">
        <v>11.111</v>
      </c>
      <c r="AD222" s="2">
        <v>11.797</v>
      </c>
      <c r="AE222" s="2">
        <v>12.517</v>
      </c>
      <c r="AF222" s="2">
        <v>13.276</v>
      </c>
      <c r="AG222" s="2">
        <v>14.074</v>
      </c>
      <c r="AH222" s="2">
        <v>14.912</v>
      </c>
      <c r="AI222" s="2">
        <v>15.626</v>
      </c>
      <c r="AJ222" s="2">
        <v>15.749</v>
      </c>
      <c r="AK222" s="2">
        <v>15.873</v>
      </c>
      <c r="AL222" s="2">
        <v>15.997</v>
      </c>
      <c r="AM222" s="2">
        <v>16.123</v>
      </c>
      <c r="AN222" s="2">
        <v>16.249</v>
      </c>
      <c r="AO222" s="2">
        <v>16.376</v>
      </c>
      <c r="AP222" s="2">
        <v>16.504</v>
      </c>
      <c r="AQ222" s="2">
        <v>16.632</v>
      </c>
      <c r="AR222" s="2">
        <v>16.761</v>
      </c>
      <c r="AS222" s="2">
        <v>16.891</v>
      </c>
      <c r="AT222" s="2">
        <v>17.023</v>
      </c>
      <c r="AU222" s="2">
        <v>17.154</v>
      </c>
      <c r="AV222" s="2">
        <v>17.287</v>
      </c>
      <c r="AW222" s="2">
        <v>17.42</v>
      </c>
      <c r="AX222" s="2">
        <v>17.555</v>
      </c>
      <c r="AY222" s="2">
        <v>17.701</v>
      </c>
      <c r="AZ222" s="2">
        <v>17.86</v>
      </c>
      <c r="BA222" s="2">
        <v>18.032</v>
      </c>
      <c r="BB222" s="2">
        <v>18.217</v>
      </c>
      <c r="BC222" s="2">
        <v>18.415</v>
      </c>
      <c r="BD222" s="2">
        <v>18.626</v>
      </c>
      <c r="BE222" s="2">
        <v>18.852</v>
      </c>
      <c r="BF222" s="2">
        <v>19.092</v>
      </c>
      <c r="BG222" s="2">
        <v>19.346</v>
      </c>
      <c r="BH222" s="2">
        <v>19.615</v>
      </c>
      <c r="BI222" s="2">
        <v>19.899</v>
      </c>
      <c r="BJ222" s="2">
        <v>20.199</v>
      </c>
      <c r="BK222" s="2">
        <v>20.514</v>
      </c>
      <c r="BL222" s="2">
        <v>20.846</v>
      </c>
      <c r="BM222" s="2">
        <v>21.195</v>
      </c>
      <c r="BN222" s="2">
        <v>21.56</v>
      </c>
      <c r="BO222" s="2">
        <v>889.455</v>
      </c>
    </row>
    <row r="223" ht="14.25" customHeight="1">
      <c r="A223" s="2" t="s">
        <v>108</v>
      </c>
      <c r="B223" s="2">
        <v>56.567</v>
      </c>
      <c r="C223" s="2">
        <v>57.303</v>
      </c>
      <c r="D223" s="2">
        <v>58.308</v>
      </c>
      <c r="E223" s="2">
        <v>59.306</v>
      </c>
      <c r="F223" s="2">
        <v>60.298</v>
      </c>
      <c r="G223" s="2">
        <v>61.278</v>
      </c>
      <c r="H223" s="2">
        <v>62.251</v>
      </c>
      <c r="I223" s="2">
        <v>63.214</v>
      </c>
      <c r="J223" s="2">
        <v>64.168</v>
      </c>
      <c r="K223" s="2">
        <v>65.108</v>
      </c>
      <c r="L223" s="2">
        <v>66.038</v>
      </c>
      <c r="M223" s="2">
        <v>66.848</v>
      </c>
      <c r="N223" s="2">
        <v>67.541</v>
      </c>
      <c r="O223" s="2">
        <v>68.224</v>
      </c>
      <c r="P223" s="2">
        <v>68.901</v>
      </c>
      <c r="Q223" s="2">
        <v>69.57</v>
      </c>
      <c r="R223" s="2">
        <v>70.231</v>
      </c>
      <c r="S223" s="2">
        <v>70.883</v>
      </c>
      <c r="T223" s="2">
        <v>71.527</v>
      </c>
      <c r="U223" s="2">
        <v>72.162</v>
      </c>
      <c r="V223" s="2">
        <v>72.789</v>
      </c>
      <c r="W223" s="2">
        <v>73.279</v>
      </c>
      <c r="X223" s="2">
        <v>73.515</v>
      </c>
      <c r="Y223" s="2">
        <v>73.749</v>
      </c>
      <c r="Z223" s="2">
        <v>73.982</v>
      </c>
      <c r="AA223" s="2">
        <v>74.213</v>
      </c>
      <c r="AB223" s="2">
        <v>74.444</v>
      </c>
      <c r="AC223" s="2">
        <v>74.673</v>
      </c>
      <c r="AD223" s="2">
        <v>74.9</v>
      </c>
      <c r="AE223" s="2">
        <v>75.126</v>
      </c>
      <c r="AF223" s="2">
        <v>75.351</v>
      </c>
      <c r="AG223" s="2">
        <v>75.528</v>
      </c>
      <c r="AH223" s="2">
        <v>75.61</v>
      </c>
      <c r="AI223" s="2">
        <v>75.692</v>
      </c>
      <c r="AJ223" s="2">
        <v>75.774</v>
      </c>
      <c r="AK223" s="2">
        <v>75.856</v>
      </c>
      <c r="AL223" s="2">
        <v>75.938</v>
      </c>
      <c r="AM223" s="2">
        <v>76.019</v>
      </c>
      <c r="AN223" s="2">
        <v>76.1</v>
      </c>
      <c r="AO223" s="2">
        <v>76.181</v>
      </c>
      <c r="AP223" s="2">
        <v>76.262</v>
      </c>
      <c r="AQ223" s="2">
        <v>76.343</v>
      </c>
      <c r="AR223" s="2">
        <v>76.533</v>
      </c>
      <c r="AS223" s="2">
        <v>76.778</v>
      </c>
      <c r="AT223" s="2">
        <v>77.022</v>
      </c>
      <c r="AU223" s="2">
        <v>77.263</v>
      </c>
      <c r="AV223" s="2">
        <v>77.502</v>
      </c>
      <c r="AW223" s="2">
        <v>77.74</v>
      </c>
      <c r="AX223" s="2">
        <v>77.976</v>
      </c>
      <c r="AY223" s="2">
        <v>78.21</v>
      </c>
      <c r="AZ223" s="2">
        <v>78.442</v>
      </c>
      <c r="BA223" s="2">
        <v>78.673</v>
      </c>
      <c r="BB223" s="2">
        <v>78.902</v>
      </c>
      <c r="BC223" s="2">
        <v>79.133</v>
      </c>
      <c r="BD223" s="2">
        <v>79.366</v>
      </c>
      <c r="BE223" s="2">
        <v>79.602</v>
      </c>
      <c r="BF223" s="2">
        <v>79.84</v>
      </c>
      <c r="BG223" s="2">
        <v>80.08</v>
      </c>
      <c r="BH223" s="2">
        <v>80.321</v>
      </c>
      <c r="BI223" s="2">
        <v>80.565</v>
      </c>
      <c r="BJ223" s="2">
        <v>80.81</v>
      </c>
      <c r="BK223" s="2">
        <v>81.056</v>
      </c>
      <c r="BL223" s="2">
        <v>81.304</v>
      </c>
      <c r="BM223" s="2">
        <v>81.552</v>
      </c>
      <c r="BN223" s="2">
        <v>81.802</v>
      </c>
      <c r="BO223" s="2">
        <v>4771.521999999998</v>
      </c>
    </row>
    <row r="224" ht="14.25" customHeight="1">
      <c r="A224" s="2" t="s">
        <v>109</v>
      </c>
      <c r="B224" s="2">
        <v>16.431</v>
      </c>
      <c r="C224" s="2">
        <v>16.592</v>
      </c>
      <c r="D224" s="2">
        <v>16.753</v>
      </c>
      <c r="E224" s="2">
        <v>16.916</v>
      </c>
      <c r="F224" s="2">
        <v>17.014</v>
      </c>
      <c r="G224" s="2">
        <v>17.11</v>
      </c>
      <c r="H224" s="2">
        <v>17.207</v>
      </c>
      <c r="I224" s="2">
        <v>17.304</v>
      </c>
      <c r="J224" s="2">
        <v>17.402</v>
      </c>
      <c r="K224" s="2">
        <v>17.5</v>
      </c>
      <c r="L224" s="2">
        <v>17.598</v>
      </c>
      <c r="M224" s="2">
        <v>17.697</v>
      </c>
      <c r="N224" s="2">
        <v>17.796</v>
      </c>
      <c r="O224" s="2">
        <v>17.896</v>
      </c>
      <c r="P224" s="2">
        <v>17.996</v>
      </c>
      <c r="Q224" s="2">
        <v>18.097</v>
      </c>
      <c r="R224" s="2">
        <v>18.198</v>
      </c>
      <c r="S224" s="2">
        <v>18.299</v>
      </c>
      <c r="T224" s="2">
        <v>18.401</v>
      </c>
      <c r="U224" s="2">
        <v>18.504</v>
      </c>
      <c r="V224" s="2">
        <v>18.607</v>
      </c>
      <c r="W224" s="2">
        <v>18.676</v>
      </c>
      <c r="X224" s="2">
        <v>18.66</v>
      </c>
      <c r="Y224" s="2">
        <v>18.644</v>
      </c>
      <c r="Z224" s="2">
        <v>18.629</v>
      </c>
      <c r="AA224" s="2">
        <v>18.613</v>
      </c>
      <c r="AB224" s="2">
        <v>18.597</v>
      </c>
      <c r="AC224" s="2">
        <v>18.582</v>
      </c>
      <c r="AD224" s="2">
        <v>18.566</v>
      </c>
      <c r="AE224" s="2">
        <v>18.551</v>
      </c>
      <c r="AF224" s="2">
        <v>18.535</v>
      </c>
      <c r="AG224" s="2">
        <v>18.52</v>
      </c>
      <c r="AH224" s="2">
        <v>18.504</v>
      </c>
      <c r="AI224" s="2">
        <v>18.489</v>
      </c>
      <c r="AJ224" s="2">
        <v>18.473</v>
      </c>
      <c r="AK224" s="2">
        <v>18.458</v>
      </c>
      <c r="AL224" s="2">
        <v>18.442</v>
      </c>
      <c r="AM224" s="2">
        <v>18.427</v>
      </c>
      <c r="AN224" s="2">
        <v>18.411</v>
      </c>
      <c r="AO224" s="2">
        <v>18.396</v>
      </c>
      <c r="AP224" s="2">
        <v>18.38</v>
      </c>
      <c r="AQ224" s="2">
        <v>18.365</v>
      </c>
      <c r="AR224" s="2">
        <v>18.349</v>
      </c>
      <c r="AS224" s="2">
        <v>18.334</v>
      </c>
      <c r="AT224" s="2">
        <v>18.319</v>
      </c>
      <c r="AU224" s="2">
        <v>18.303</v>
      </c>
      <c r="AV224" s="2">
        <v>18.288</v>
      </c>
      <c r="AW224" s="2">
        <v>18.272</v>
      </c>
      <c r="AX224" s="2">
        <v>18.257</v>
      </c>
      <c r="AY224" s="2">
        <v>18.242</v>
      </c>
      <c r="AZ224" s="2">
        <v>18.226</v>
      </c>
      <c r="BA224" s="2">
        <v>18.211</v>
      </c>
      <c r="BB224" s="2">
        <v>18.196</v>
      </c>
      <c r="BC224" s="2">
        <v>18.198</v>
      </c>
      <c r="BD224" s="2">
        <v>18.218</v>
      </c>
      <c r="BE224" s="2">
        <v>18.256</v>
      </c>
      <c r="BF224" s="2">
        <v>18.311</v>
      </c>
      <c r="BG224" s="2">
        <v>18.384</v>
      </c>
      <c r="BH224" s="2">
        <v>18.476</v>
      </c>
      <c r="BI224" s="2">
        <v>18.585</v>
      </c>
      <c r="BJ224" s="2">
        <v>18.713</v>
      </c>
      <c r="BK224" s="2">
        <v>18.86</v>
      </c>
      <c r="BL224" s="2">
        <v>19.026</v>
      </c>
      <c r="BM224" s="2">
        <v>19.211</v>
      </c>
      <c r="BN224" s="2">
        <v>19.416</v>
      </c>
      <c r="BO224" s="2">
        <v>1182.887</v>
      </c>
    </row>
    <row r="225" ht="14.25" customHeight="1">
      <c r="A225" s="2" t="s">
        <v>571</v>
      </c>
      <c r="B225" s="2">
        <v>27.644</v>
      </c>
      <c r="C225" s="2">
        <v>28.269</v>
      </c>
      <c r="D225" s="2">
        <v>28.903</v>
      </c>
      <c r="E225" s="2">
        <v>29.545</v>
      </c>
      <c r="F225" s="2">
        <v>30.197</v>
      </c>
      <c r="G225" s="2">
        <v>30.855</v>
      </c>
      <c r="H225" s="2">
        <v>31.521</v>
      </c>
      <c r="I225" s="2">
        <v>32.196</v>
      </c>
      <c r="J225" s="2">
        <v>32.878</v>
      </c>
      <c r="K225" s="2">
        <v>33.567</v>
      </c>
      <c r="L225" s="2">
        <v>34.141</v>
      </c>
      <c r="M225" s="2">
        <v>34.317</v>
      </c>
      <c r="N225" s="2">
        <v>34.495</v>
      </c>
      <c r="O225" s="2">
        <v>34.672</v>
      </c>
      <c r="P225" s="2">
        <v>34.849</v>
      </c>
      <c r="Q225" s="2">
        <v>35.027</v>
      </c>
      <c r="R225" s="2">
        <v>35.206</v>
      </c>
      <c r="S225" s="2">
        <v>35.385</v>
      </c>
      <c r="T225" s="2">
        <v>35.564</v>
      </c>
      <c r="U225" s="2">
        <v>35.744</v>
      </c>
      <c r="V225" s="2">
        <v>35.882</v>
      </c>
      <c r="W225" s="2">
        <v>35.754</v>
      </c>
      <c r="X225" s="2">
        <v>35.626</v>
      </c>
      <c r="Y225" s="2">
        <v>35.498</v>
      </c>
      <c r="Z225" s="2">
        <v>35.37</v>
      </c>
      <c r="AA225" s="2">
        <v>35.243</v>
      </c>
      <c r="AB225" s="2">
        <v>35.116</v>
      </c>
      <c r="AC225" s="2">
        <v>34.989</v>
      </c>
      <c r="AD225" s="2">
        <v>34.862</v>
      </c>
      <c r="AE225" s="2">
        <v>34.735</v>
      </c>
      <c r="AF225" s="2">
        <v>34.609</v>
      </c>
      <c r="AG225" s="2">
        <v>34.474</v>
      </c>
      <c r="AH225" s="2">
        <v>34.283</v>
      </c>
      <c r="AI225" s="2">
        <v>34.093</v>
      </c>
      <c r="AJ225" s="2">
        <v>33.904</v>
      </c>
      <c r="AK225" s="2">
        <v>33.715</v>
      </c>
      <c r="AL225" s="2">
        <v>33.526</v>
      </c>
      <c r="AM225" s="2">
        <v>33.339</v>
      </c>
      <c r="AN225" s="2">
        <v>33.151</v>
      </c>
      <c r="AO225" s="2">
        <v>32.965</v>
      </c>
      <c r="AP225" s="2">
        <v>32.778</v>
      </c>
      <c r="AQ225" s="2">
        <v>32.598</v>
      </c>
      <c r="AR225" s="2">
        <v>32.455</v>
      </c>
      <c r="AS225" s="2">
        <v>32.312</v>
      </c>
      <c r="AT225" s="2">
        <v>32.17</v>
      </c>
      <c r="AU225" s="2">
        <v>32.028</v>
      </c>
      <c r="AV225" s="2">
        <v>31.886</v>
      </c>
      <c r="AW225" s="2">
        <v>31.744</v>
      </c>
      <c r="AX225" s="2">
        <v>31.603</v>
      </c>
      <c r="AY225" s="2">
        <v>31.463</v>
      </c>
      <c r="AZ225" s="2">
        <v>31.322</v>
      </c>
      <c r="BA225" s="2">
        <v>31.182</v>
      </c>
      <c r="BB225" s="2">
        <v>31.062</v>
      </c>
      <c r="BC225" s="2">
        <v>30.964</v>
      </c>
      <c r="BD225" s="2">
        <v>30.885</v>
      </c>
      <c r="BE225" s="2">
        <v>30.827</v>
      </c>
      <c r="BF225" s="2">
        <v>30.79</v>
      </c>
      <c r="BG225" s="2">
        <v>30.773</v>
      </c>
      <c r="BH225" s="2">
        <v>30.776</v>
      </c>
      <c r="BI225" s="2">
        <v>30.799</v>
      </c>
      <c r="BJ225" s="2">
        <v>30.843</v>
      </c>
      <c r="BK225" s="2">
        <v>30.906</v>
      </c>
      <c r="BL225" s="2">
        <v>30.991</v>
      </c>
      <c r="BM225" s="2">
        <v>31.096</v>
      </c>
      <c r="BN225" s="2">
        <v>31.221</v>
      </c>
      <c r="BO225" s="2">
        <v>2131.5829999999996</v>
      </c>
    </row>
    <row r="226" ht="14.25" customHeight="1">
      <c r="A226" s="2" t="s">
        <v>572</v>
      </c>
      <c r="B226" s="2">
        <v>21.46</v>
      </c>
      <c r="C226" s="2">
        <v>21.696</v>
      </c>
      <c r="D226" s="2">
        <v>21.934</v>
      </c>
      <c r="E226" s="2">
        <v>22.174</v>
      </c>
      <c r="F226" s="2">
        <v>22.416</v>
      </c>
      <c r="G226" s="2">
        <v>22.66</v>
      </c>
      <c r="H226" s="2">
        <v>22.905</v>
      </c>
      <c r="I226" s="2">
        <v>23.153</v>
      </c>
      <c r="J226" s="2">
        <v>23.403</v>
      </c>
      <c r="K226" s="2">
        <v>23.654</v>
      </c>
      <c r="L226" s="2">
        <v>23.907</v>
      </c>
      <c r="M226" s="2">
        <v>24.162</v>
      </c>
      <c r="N226" s="2">
        <v>24.419</v>
      </c>
      <c r="O226" s="2">
        <v>24.677</v>
      </c>
      <c r="P226" s="2">
        <v>24.938</v>
      </c>
      <c r="Q226" s="2">
        <v>25.2</v>
      </c>
      <c r="R226" s="2">
        <v>25.465</v>
      </c>
      <c r="S226" s="2">
        <v>25.73</v>
      </c>
      <c r="T226" s="2">
        <v>25.998</v>
      </c>
      <c r="U226" s="2">
        <v>26.268</v>
      </c>
      <c r="V226" s="2">
        <v>26.54</v>
      </c>
      <c r="W226" s="2">
        <v>26.812</v>
      </c>
      <c r="X226" s="2">
        <v>27.087</v>
      </c>
      <c r="Y226" s="2">
        <v>27.364</v>
      </c>
      <c r="Z226" s="2">
        <v>27.643</v>
      </c>
      <c r="AA226" s="2">
        <v>27.923</v>
      </c>
      <c r="AB226" s="2">
        <v>28.205</v>
      </c>
      <c r="AC226" s="2">
        <v>28.488</v>
      </c>
      <c r="AD226" s="2">
        <v>28.774</v>
      </c>
      <c r="AE226" s="2">
        <v>29.061</v>
      </c>
      <c r="AF226" s="2">
        <v>29.349</v>
      </c>
      <c r="AG226" s="2">
        <v>29.572</v>
      </c>
      <c r="AH226" s="2">
        <v>29.369</v>
      </c>
      <c r="AI226" s="2">
        <v>29.167</v>
      </c>
      <c r="AJ226" s="2">
        <v>28.965</v>
      </c>
      <c r="AK226" s="2">
        <v>28.765</v>
      </c>
      <c r="AL226" s="2">
        <v>28.565</v>
      </c>
      <c r="AM226" s="2">
        <v>28.366</v>
      </c>
      <c r="AN226" s="2">
        <v>28.168</v>
      </c>
      <c r="AO226" s="2">
        <v>27.971</v>
      </c>
      <c r="AP226" s="2">
        <v>27.774</v>
      </c>
      <c r="AQ226" s="2">
        <v>27.473</v>
      </c>
      <c r="AR226" s="2">
        <v>26.329</v>
      </c>
      <c r="AS226" s="2">
        <v>25.216</v>
      </c>
      <c r="AT226" s="2">
        <v>24.133</v>
      </c>
      <c r="AU226" s="2">
        <v>23.085</v>
      </c>
      <c r="AV226" s="2">
        <v>22.068</v>
      </c>
      <c r="AW226" s="2">
        <v>21.084</v>
      </c>
      <c r="AX226" s="2">
        <v>20.131</v>
      </c>
      <c r="AY226" s="2">
        <v>19.213</v>
      </c>
      <c r="AZ226" s="2">
        <v>18.45</v>
      </c>
      <c r="BA226" s="2">
        <v>18.45</v>
      </c>
      <c r="BB226" s="2">
        <v>18.45</v>
      </c>
      <c r="BC226" s="2">
        <v>18.461</v>
      </c>
      <c r="BD226" s="2">
        <v>18.482</v>
      </c>
      <c r="BE226" s="2">
        <v>18.515</v>
      </c>
      <c r="BF226" s="2">
        <v>18.558</v>
      </c>
      <c r="BG226" s="2">
        <v>18.612</v>
      </c>
      <c r="BH226" s="2">
        <v>18.678</v>
      </c>
      <c r="BI226" s="2">
        <v>18.754</v>
      </c>
      <c r="BJ226" s="2">
        <v>18.841</v>
      </c>
      <c r="BK226" s="2">
        <v>18.94</v>
      </c>
      <c r="BL226" s="2">
        <v>19.05</v>
      </c>
      <c r="BM226" s="2">
        <v>19.172</v>
      </c>
      <c r="BN226" s="2">
        <v>19.306</v>
      </c>
      <c r="BO226" s="2">
        <v>1559.5980000000002</v>
      </c>
    </row>
    <row r="227" ht="14.25" customHeight="1">
      <c r="A227" s="2" t="s">
        <v>573</v>
      </c>
      <c r="B227" s="2">
        <v>25.943</v>
      </c>
      <c r="C227" s="2">
        <v>26.394</v>
      </c>
      <c r="D227" s="2">
        <v>26.851</v>
      </c>
      <c r="E227" s="2">
        <v>27.314</v>
      </c>
      <c r="F227" s="2">
        <v>27.781</v>
      </c>
      <c r="G227" s="2">
        <v>28.252</v>
      </c>
      <c r="H227" s="2">
        <v>28.729</v>
      </c>
      <c r="I227" s="2">
        <v>29.21</v>
      </c>
      <c r="J227" s="2">
        <v>29.697</v>
      </c>
      <c r="K227" s="2">
        <v>30.187</v>
      </c>
      <c r="L227" s="2">
        <v>30.683</v>
      </c>
      <c r="M227" s="2">
        <v>31.182</v>
      </c>
      <c r="N227" s="2">
        <v>31.687</v>
      </c>
      <c r="O227" s="2">
        <v>32.195</v>
      </c>
      <c r="P227" s="2">
        <v>32.708</v>
      </c>
      <c r="Q227" s="2">
        <v>33.225</v>
      </c>
      <c r="R227" s="2">
        <v>33.747</v>
      </c>
      <c r="S227" s="2">
        <v>34.271</v>
      </c>
      <c r="T227" s="2">
        <v>34.8</v>
      </c>
      <c r="U227" s="2">
        <v>35.333</v>
      </c>
      <c r="V227" s="2">
        <v>35.87</v>
      </c>
      <c r="W227" s="2">
        <v>36.409</v>
      </c>
      <c r="X227" s="2">
        <v>36.953</v>
      </c>
      <c r="Y227" s="2">
        <v>37.5</v>
      </c>
      <c r="Z227" s="2">
        <v>38.05</v>
      </c>
      <c r="AA227" s="2">
        <v>38.602</v>
      </c>
      <c r="AB227" s="2">
        <v>39.158</v>
      </c>
      <c r="AC227" s="2">
        <v>39.717</v>
      </c>
      <c r="AD227" s="2">
        <v>40.28</v>
      </c>
      <c r="AE227" s="2">
        <v>40.843</v>
      </c>
      <c r="AF227" s="2">
        <v>41.409</v>
      </c>
      <c r="AG227" s="2">
        <v>41.949</v>
      </c>
      <c r="AH227" s="2">
        <v>42.306</v>
      </c>
      <c r="AI227" s="2">
        <v>42.663</v>
      </c>
      <c r="AJ227" s="2">
        <v>43.021</v>
      </c>
      <c r="AK227" s="2">
        <v>43.38</v>
      </c>
      <c r="AL227" s="2">
        <v>43.741</v>
      </c>
      <c r="AM227" s="2">
        <v>44.1</v>
      </c>
      <c r="AN227" s="2">
        <v>44.461</v>
      </c>
      <c r="AO227" s="2">
        <v>44.823</v>
      </c>
      <c r="AP227" s="2">
        <v>45.186</v>
      </c>
      <c r="AQ227" s="2">
        <v>45.548</v>
      </c>
      <c r="AR227" s="2">
        <v>45.914</v>
      </c>
      <c r="AS227" s="2">
        <v>46.283</v>
      </c>
      <c r="AT227" s="2">
        <v>46.656</v>
      </c>
      <c r="AU227" s="2">
        <v>47.032</v>
      </c>
      <c r="AV227" s="2">
        <v>47.412</v>
      </c>
      <c r="AW227" s="2">
        <v>47.794</v>
      </c>
      <c r="AX227" s="2">
        <v>48.18</v>
      </c>
      <c r="AY227" s="2">
        <v>48.569</v>
      </c>
      <c r="AZ227" s="2">
        <v>48.961</v>
      </c>
      <c r="BA227" s="2">
        <v>49.356</v>
      </c>
      <c r="BB227" s="2">
        <v>49.754</v>
      </c>
      <c r="BC227" s="2">
        <v>50.154</v>
      </c>
      <c r="BD227" s="2">
        <v>50.558</v>
      </c>
      <c r="BE227" s="2">
        <v>50.964</v>
      </c>
      <c r="BF227" s="2">
        <v>51.373</v>
      </c>
      <c r="BG227" s="2">
        <v>51.784</v>
      </c>
      <c r="BH227" s="2">
        <v>52.198</v>
      </c>
      <c r="BI227" s="2">
        <v>52.614</v>
      </c>
      <c r="BJ227" s="2">
        <v>53.032</v>
      </c>
      <c r="BK227" s="2">
        <v>53.452</v>
      </c>
      <c r="BL227" s="2">
        <v>53.875</v>
      </c>
      <c r="BM227" s="2">
        <v>54.299</v>
      </c>
      <c r="BN227" s="2">
        <v>54.725</v>
      </c>
      <c r="BO227" s="2">
        <v>2671.097</v>
      </c>
    </row>
    <row r="228" ht="14.25" customHeight="1">
      <c r="A228" s="2" t="s">
        <v>141</v>
      </c>
      <c r="B228" s="2">
        <v>14.6341713244671</v>
      </c>
      <c r="C228" s="2">
        <v>14.9402834081092</v>
      </c>
      <c r="D228" s="2">
        <v>15.2560110599408</v>
      </c>
      <c r="E228" s="2">
        <v>15.5914295026756</v>
      </c>
      <c r="F228" s="2">
        <v>15.9415508229106</v>
      </c>
      <c r="G228" s="2">
        <v>16.3035209711675</v>
      </c>
      <c r="H228" s="2">
        <v>16.664404401787</v>
      </c>
      <c r="I228" s="2">
        <v>17.0346784641697</v>
      </c>
      <c r="J228" s="2">
        <v>17.4142915770863</v>
      </c>
      <c r="K228" s="2">
        <v>17.8050972348921</v>
      </c>
      <c r="L228" s="2">
        <v>18.1853325707524</v>
      </c>
      <c r="M228" s="2">
        <v>18.5970565582157</v>
      </c>
      <c r="N228" s="2">
        <v>19.0278655398875</v>
      </c>
      <c r="O228" s="2">
        <v>19.4601523655384</v>
      </c>
      <c r="P228" s="2">
        <v>19.8809929218422</v>
      </c>
      <c r="Q228" s="2">
        <v>20.309232631487</v>
      </c>
      <c r="R228" s="2">
        <v>20.7439255819682</v>
      </c>
      <c r="S228" s="2">
        <v>21.1715949793698</v>
      </c>
      <c r="T228" s="2">
        <v>21.6096332606368</v>
      </c>
      <c r="U228" s="2">
        <v>22.0032710725549</v>
      </c>
      <c r="V228" s="2">
        <v>22.3976231726978</v>
      </c>
      <c r="W228" s="2">
        <v>22.8322150128794</v>
      </c>
      <c r="X228" s="2">
        <v>23.2605432935724</v>
      </c>
      <c r="Y228" s="2">
        <v>23.7256041565936</v>
      </c>
      <c r="Z228" s="2">
        <v>24.2367826702448</v>
      </c>
      <c r="AA228" s="2">
        <v>24.7877592279262</v>
      </c>
      <c r="AB228" s="2">
        <v>25.357302371247</v>
      </c>
      <c r="AC228" s="2">
        <v>25.9220497768072</v>
      </c>
      <c r="AD228" s="2">
        <v>26.4834497025329</v>
      </c>
      <c r="AE228" s="2">
        <v>27.0356123072856</v>
      </c>
      <c r="AF228" s="2">
        <v>27.5805436606208</v>
      </c>
      <c r="AG228" s="2">
        <v>28.0158355468646</v>
      </c>
      <c r="AH228" s="2">
        <v>28.4427156706573</v>
      </c>
      <c r="AI228" s="2">
        <v>28.8755666932934</v>
      </c>
      <c r="AJ228" s="2">
        <v>29.2972967250936</v>
      </c>
      <c r="AK228" s="2">
        <v>29.6828137180357</v>
      </c>
      <c r="AL228" s="2">
        <v>30.0142792577738</v>
      </c>
      <c r="AM228" s="2">
        <v>30.3626153188965</v>
      </c>
      <c r="AN228" s="2">
        <v>30.7252345340473</v>
      </c>
      <c r="AO228" s="2">
        <v>31.08804970872</v>
      </c>
      <c r="AP228" s="2">
        <v>31.4488337826416</v>
      </c>
      <c r="AQ228" s="2">
        <v>31.8752213998274</v>
      </c>
      <c r="AR228" s="2">
        <v>32.312987778438</v>
      </c>
      <c r="AS228" s="2">
        <v>32.7526679350894</v>
      </c>
      <c r="AT228" s="2">
        <v>33.1968345010602</v>
      </c>
      <c r="AU228" s="2">
        <v>33.6568130866309</v>
      </c>
      <c r="AV228" s="2">
        <v>34.1142421629526</v>
      </c>
      <c r="AW228" s="2">
        <v>34.5296416763425</v>
      </c>
      <c r="AX228" s="2">
        <v>35.0325560912</v>
      </c>
      <c r="AY228" s="2">
        <v>35.5398388477217</v>
      </c>
      <c r="AZ228" s="2">
        <v>36.0550891197714</v>
      </c>
      <c r="BA228" s="2">
        <v>36.5769429316825</v>
      </c>
      <c r="BB228" s="2">
        <v>37.0916475647346</v>
      </c>
      <c r="BC228" s="2">
        <v>37.6114270854122</v>
      </c>
      <c r="BD228" s="2">
        <v>38.1433506383947</v>
      </c>
      <c r="BE228" s="2">
        <v>38.6894512800178</v>
      </c>
      <c r="BF228" s="2">
        <v>39.2247236714653</v>
      </c>
      <c r="BG228" s="2">
        <v>39.7596127978553</v>
      </c>
      <c r="BH228" s="2">
        <v>40.2998165075392</v>
      </c>
      <c r="BI228" s="2">
        <v>40.8329525970642</v>
      </c>
      <c r="BJ228" s="2">
        <v>41.3686297861541</v>
      </c>
      <c r="BK228" s="2">
        <v>41.9076431495082</v>
      </c>
      <c r="BL228" s="2">
        <v>42.4493969365685</v>
      </c>
      <c r="BM228" s="2">
        <v>42.9881232794006</v>
      </c>
      <c r="BN228" s="2">
        <v>43.5287174561879</v>
      </c>
      <c r="BO228" s="2">
        <v>1833.6855508389087</v>
      </c>
    </row>
    <row r="229" ht="14.25" customHeight="1">
      <c r="A229" s="2" t="s">
        <v>574</v>
      </c>
      <c r="B229" s="2">
        <v>15.4813848425208</v>
      </c>
      <c r="C229" s="2">
        <v>15.7969954709489</v>
      </c>
      <c r="D229" s="2">
        <v>16.1227457308377</v>
      </c>
      <c r="E229" s="2">
        <v>16.4698671412351</v>
      </c>
      <c r="F229" s="2">
        <v>16.832571734797</v>
      </c>
      <c r="G229" s="2">
        <v>17.2078124677765</v>
      </c>
      <c r="H229" s="2">
        <v>17.5801054095966</v>
      </c>
      <c r="I229" s="2">
        <v>17.9621103516936</v>
      </c>
      <c r="J229" s="2">
        <v>18.3657030424807</v>
      </c>
      <c r="K229" s="2">
        <v>18.7812064237811</v>
      </c>
      <c r="L229" s="2">
        <v>19.1844959186843</v>
      </c>
      <c r="M229" s="2">
        <v>19.6220189704551</v>
      </c>
      <c r="N229" s="2">
        <v>20.0796013652469</v>
      </c>
      <c r="O229" s="2">
        <v>20.5376129242522</v>
      </c>
      <c r="P229" s="2">
        <v>20.9809109728061</v>
      </c>
      <c r="Q229" s="2">
        <v>21.4300430008252</v>
      </c>
      <c r="R229" s="2">
        <v>21.8868266563592</v>
      </c>
      <c r="S229" s="2">
        <v>22.3282862144294</v>
      </c>
      <c r="T229" s="2">
        <v>22.7761534001152</v>
      </c>
      <c r="U229" s="2">
        <v>23.1703412641714</v>
      </c>
      <c r="V229" s="2">
        <v>23.553875257956</v>
      </c>
      <c r="W229" s="2">
        <v>24.0051162626889</v>
      </c>
      <c r="X229" s="2">
        <v>24.4658168765727</v>
      </c>
      <c r="Y229" s="2">
        <v>24.953770978415</v>
      </c>
      <c r="Z229" s="2">
        <v>25.4904128846872</v>
      </c>
      <c r="AA229" s="2">
        <v>26.0723022480159</v>
      </c>
      <c r="AB229" s="2">
        <v>26.6762115663483</v>
      </c>
      <c r="AC229" s="2">
        <v>27.2810448050972</v>
      </c>
      <c r="AD229" s="2">
        <v>27.8908207840065</v>
      </c>
      <c r="AE229" s="2">
        <v>28.4906708777796</v>
      </c>
      <c r="AF229" s="2">
        <v>29.0810914755113</v>
      </c>
      <c r="AG229" s="2">
        <v>29.5629851431548</v>
      </c>
      <c r="AH229" s="2">
        <v>30.0345045874746</v>
      </c>
      <c r="AI229" s="2">
        <v>30.4998694384327</v>
      </c>
      <c r="AJ229" s="2">
        <v>30.9539735424692</v>
      </c>
      <c r="AK229" s="2">
        <v>31.3733302545454</v>
      </c>
      <c r="AL229" s="2">
        <v>31.7329930114237</v>
      </c>
      <c r="AM229" s="2">
        <v>32.1106871060958</v>
      </c>
      <c r="AN229" s="2">
        <v>32.5022486523755</v>
      </c>
      <c r="AO229" s="2">
        <v>32.8937166332944</v>
      </c>
      <c r="AP229" s="2">
        <v>33.2818971827896</v>
      </c>
      <c r="AQ229" s="2">
        <v>33.7420993683639</v>
      </c>
      <c r="AR229" s="2">
        <v>34.2145739362338</v>
      </c>
      <c r="AS229" s="2">
        <v>34.6887253988796</v>
      </c>
      <c r="AT229" s="2">
        <v>35.1668476536792</v>
      </c>
      <c r="AU229" s="2">
        <v>35.6615304774955</v>
      </c>
      <c r="AV229" s="2">
        <v>36.1524951281218</v>
      </c>
      <c r="AW229" s="2">
        <v>36.5944327576205</v>
      </c>
      <c r="AX229" s="2">
        <v>37.1125870311584</v>
      </c>
      <c r="AY229" s="2">
        <v>37.6338517687267</v>
      </c>
      <c r="AZ229" s="2">
        <v>38.1629317509414</v>
      </c>
      <c r="BA229" s="2">
        <v>38.6992315898273</v>
      </c>
      <c r="BB229" s="2">
        <v>39.2258609775149</v>
      </c>
      <c r="BC229" s="2">
        <v>39.7569417449719</v>
      </c>
      <c r="BD229" s="2">
        <v>40.3004154379771</v>
      </c>
      <c r="BE229" s="2">
        <v>40.8593103499367</v>
      </c>
      <c r="BF229" s="2">
        <v>41.4068912264933</v>
      </c>
      <c r="BG229" s="2">
        <v>41.9542528601208</v>
      </c>
      <c r="BH229" s="2">
        <v>42.5054254418557</v>
      </c>
      <c r="BI229" s="2">
        <v>43.0487084912522</v>
      </c>
      <c r="BJ229" s="2">
        <v>43.5952496876917</v>
      </c>
      <c r="BK229" s="2">
        <v>44.1445513751236</v>
      </c>
      <c r="BL229" s="2">
        <v>44.6956889472846</v>
      </c>
      <c r="BM229" s="2">
        <v>45.2427648866949</v>
      </c>
      <c r="BN229" s="2">
        <v>45.7910955791928</v>
      </c>
      <c r="BO229" s="2">
        <v>1935.8605967393062</v>
      </c>
    </row>
    <row r="230" ht="14.25" customHeight="1">
      <c r="A230" s="2" t="s">
        <v>575</v>
      </c>
      <c r="B230" s="2">
        <v>14.6341713244671</v>
      </c>
      <c r="C230" s="2">
        <v>14.9402834081092</v>
      </c>
      <c r="D230" s="2">
        <v>15.2560110599408</v>
      </c>
      <c r="E230" s="2">
        <v>15.5914295026756</v>
      </c>
      <c r="F230" s="2">
        <v>15.9415508229106</v>
      </c>
      <c r="G230" s="2">
        <v>16.3035209711675</v>
      </c>
      <c r="H230" s="2">
        <v>16.664404401787</v>
      </c>
      <c r="I230" s="2">
        <v>17.0346784641697</v>
      </c>
      <c r="J230" s="2">
        <v>17.4142915770863</v>
      </c>
      <c r="K230" s="2">
        <v>17.8050972348921</v>
      </c>
      <c r="L230" s="2">
        <v>18.1853325707524</v>
      </c>
      <c r="M230" s="2">
        <v>18.5970565582157</v>
      </c>
      <c r="N230" s="2">
        <v>19.0278655398875</v>
      </c>
      <c r="O230" s="2">
        <v>19.4601523655384</v>
      </c>
      <c r="P230" s="2">
        <v>19.8809929218422</v>
      </c>
      <c r="Q230" s="2">
        <v>20.309232631487</v>
      </c>
      <c r="R230" s="2">
        <v>20.7439255819682</v>
      </c>
      <c r="S230" s="2">
        <v>21.1715949793698</v>
      </c>
      <c r="T230" s="2">
        <v>21.6096332606368</v>
      </c>
      <c r="U230" s="2">
        <v>22.0032710725549</v>
      </c>
      <c r="V230" s="2">
        <v>22.3976231726978</v>
      </c>
      <c r="W230" s="2">
        <v>22.8322150128794</v>
      </c>
      <c r="X230" s="2">
        <v>23.2605432935724</v>
      </c>
      <c r="Y230" s="2">
        <v>23.7256041565936</v>
      </c>
      <c r="Z230" s="2">
        <v>24.2367826702448</v>
      </c>
      <c r="AA230" s="2">
        <v>24.7877592279262</v>
      </c>
      <c r="AB230" s="2">
        <v>25.357302371247</v>
      </c>
      <c r="AC230" s="2">
        <v>25.9220497768072</v>
      </c>
      <c r="AD230" s="2">
        <v>26.4834497025329</v>
      </c>
      <c r="AE230" s="2">
        <v>27.0356123072856</v>
      </c>
      <c r="AF230" s="2">
        <v>27.5805436606208</v>
      </c>
      <c r="AG230" s="2">
        <v>28.0158355468646</v>
      </c>
      <c r="AH230" s="2">
        <v>28.4427156706573</v>
      </c>
      <c r="AI230" s="2">
        <v>28.8755666932934</v>
      </c>
      <c r="AJ230" s="2">
        <v>29.2972967250936</v>
      </c>
      <c r="AK230" s="2">
        <v>29.6828137180357</v>
      </c>
      <c r="AL230" s="2">
        <v>30.0142792577738</v>
      </c>
      <c r="AM230" s="2">
        <v>30.3626153188965</v>
      </c>
      <c r="AN230" s="2">
        <v>30.7252345340473</v>
      </c>
      <c r="AO230" s="2">
        <v>31.08804970872</v>
      </c>
      <c r="AP230" s="2">
        <v>31.4488337826416</v>
      </c>
      <c r="AQ230" s="2">
        <v>31.8752213998274</v>
      </c>
      <c r="AR230" s="2">
        <v>32.312987778438</v>
      </c>
      <c r="AS230" s="2">
        <v>32.7526679350894</v>
      </c>
      <c r="AT230" s="2">
        <v>33.1968345010602</v>
      </c>
      <c r="AU230" s="2">
        <v>33.6568130866309</v>
      </c>
      <c r="AV230" s="2">
        <v>34.1142421629526</v>
      </c>
      <c r="AW230" s="2">
        <v>34.5296416763425</v>
      </c>
      <c r="AX230" s="2">
        <v>35.0325560912</v>
      </c>
      <c r="AY230" s="2">
        <v>35.5398388477217</v>
      </c>
      <c r="AZ230" s="2">
        <v>36.0550891197714</v>
      </c>
      <c r="BA230" s="2">
        <v>36.5769429316825</v>
      </c>
      <c r="BB230" s="2">
        <v>37.0916475647346</v>
      </c>
      <c r="BC230" s="2">
        <v>37.6114270854121</v>
      </c>
      <c r="BD230" s="2">
        <v>38.1433506383947</v>
      </c>
      <c r="BE230" s="2">
        <v>38.6894512800178</v>
      </c>
      <c r="BF230" s="2">
        <v>39.2247236714653</v>
      </c>
      <c r="BG230" s="2">
        <v>39.7596127978553</v>
      </c>
      <c r="BH230" s="2">
        <v>40.2998165075392</v>
      </c>
      <c r="BI230" s="2">
        <v>40.8329525970642</v>
      </c>
      <c r="BJ230" s="2">
        <v>41.3686297861541</v>
      </c>
      <c r="BK230" s="2">
        <v>41.9076431495082</v>
      </c>
      <c r="BL230" s="2">
        <v>42.4493969365685</v>
      </c>
      <c r="BM230" s="2">
        <v>42.9881232794006</v>
      </c>
      <c r="BN230" s="2">
        <v>43.5287174561879</v>
      </c>
      <c r="BO230" s="2">
        <v>1833.6855508389085</v>
      </c>
    </row>
    <row r="231" ht="14.25" customHeight="1">
      <c r="A231" s="2" t="s">
        <v>110</v>
      </c>
      <c r="B231" s="2">
        <v>10.746</v>
      </c>
      <c r="C231" s="2">
        <v>11.232</v>
      </c>
      <c r="D231" s="2">
        <v>11.737</v>
      </c>
      <c r="E231" s="2">
        <v>12.262</v>
      </c>
      <c r="F231" s="2">
        <v>12.808</v>
      </c>
      <c r="G231" s="2">
        <v>13.373</v>
      </c>
      <c r="H231" s="2">
        <v>13.959</v>
      </c>
      <c r="I231" s="2">
        <v>14.567</v>
      </c>
      <c r="J231" s="2">
        <v>15.197</v>
      </c>
      <c r="K231" s="2">
        <v>15.848</v>
      </c>
      <c r="L231" s="2">
        <v>16.523</v>
      </c>
      <c r="M231" s="2">
        <v>17.22</v>
      </c>
      <c r="N231" s="2">
        <v>17.941</v>
      </c>
      <c r="O231" s="2">
        <v>18.548</v>
      </c>
      <c r="P231" s="2">
        <v>18.744</v>
      </c>
      <c r="Q231" s="2">
        <v>18.943</v>
      </c>
      <c r="R231" s="2">
        <v>19.143</v>
      </c>
      <c r="S231" s="2">
        <v>19.344</v>
      </c>
      <c r="T231" s="2">
        <v>19.547</v>
      </c>
      <c r="U231" s="2">
        <v>19.752</v>
      </c>
      <c r="V231" s="2">
        <v>19.959</v>
      </c>
      <c r="W231" s="2">
        <v>20.166</v>
      </c>
      <c r="X231" s="2">
        <v>20.376</v>
      </c>
      <c r="Y231" s="2">
        <v>20.901</v>
      </c>
      <c r="Z231" s="2">
        <v>21.903</v>
      </c>
      <c r="AA231" s="2">
        <v>22.937</v>
      </c>
      <c r="AB231" s="2">
        <v>24.005</v>
      </c>
      <c r="AC231" s="2">
        <v>25.107</v>
      </c>
      <c r="AD231" s="2">
        <v>26.244</v>
      </c>
      <c r="AE231" s="2">
        <v>27.41</v>
      </c>
      <c r="AF231" s="2">
        <v>28.61</v>
      </c>
      <c r="AG231" s="2">
        <v>29.84</v>
      </c>
      <c r="AH231" s="2">
        <v>31.103</v>
      </c>
      <c r="AI231" s="2">
        <v>32.127</v>
      </c>
      <c r="AJ231" s="2">
        <v>32.179</v>
      </c>
      <c r="AK231" s="2">
        <v>32.232</v>
      </c>
      <c r="AL231" s="2">
        <v>32.284</v>
      </c>
      <c r="AM231" s="2">
        <v>32.337</v>
      </c>
      <c r="AN231" s="2">
        <v>32.39</v>
      </c>
      <c r="AO231" s="2">
        <v>32.442</v>
      </c>
      <c r="AP231" s="2">
        <v>32.495</v>
      </c>
      <c r="AQ231" s="2">
        <v>32.548</v>
      </c>
      <c r="AR231" s="2">
        <v>32.601</v>
      </c>
      <c r="AS231" s="2">
        <v>32.654</v>
      </c>
      <c r="AT231" s="2">
        <v>32.707</v>
      </c>
      <c r="AU231" s="2">
        <v>32.76</v>
      </c>
      <c r="AV231" s="2">
        <v>32.813</v>
      </c>
      <c r="AW231" s="2">
        <v>32.866</v>
      </c>
      <c r="AX231" s="2">
        <v>32.919</v>
      </c>
      <c r="AY231" s="2">
        <v>32.993</v>
      </c>
      <c r="AZ231" s="2">
        <v>33.089</v>
      </c>
      <c r="BA231" s="2">
        <v>33.207</v>
      </c>
      <c r="BB231" s="2">
        <v>33.346</v>
      </c>
      <c r="BC231" s="2">
        <v>33.507</v>
      </c>
      <c r="BD231" s="2">
        <v>33.689</v>
      </c>
      <c r="BE231" s="2">
        <v>33.894</v>
      </c>
      <c r="BF231" s="2">
        <v>34.121</v>
      </c>
      <c r="BG231" s="2">
        <v>34.37</v>
      </c>
      <c r="BH231" s="2">
        <v>34.642</v>
      </c>
      <c r="BI231" s="2">
        <v>34.936</v>
      </c>
      <c r="BJ231" s="2">
        <v>35.253</v>
      </c>
      <c r="BK231" s="2">
        <v>35.593</v>
      </c>
      <c r="BL231" s="2">
        <v>35.956</v>
      </c>
      <c r="BM231" s="2">
        <v>36.342</v>
      </c>
      <c r="BN231" s="2">
        <v>36.752</v>
      </c>
      <c r="BO231" s="2">
        <v>1708.0390000000002</v>
      </c>
    </row>
    <row r="232" ht="14.25" customHeight="1">
      <c r="A232" s="2" t="s">
        <v>490</v>
      </c>
      <c r="B232" s="2">
        <v>47.26</v>
      </c>
      <c r="C232" s="2">
        <v>47.297</v>
      </c>
      <c r="D232" s="2">
        <v>47.335</v>
      </c>
      <c r="E232" s="2">
        <v>47.372</v>
      </c>
      <c r="F232" s="2">
        <v>47.341</v>
      </c>
      <c r="G232" s="2">
        <v>47.109</v>
      </c>
      <c r="H232" s="2">
        <v>46.877</v>
      </c>
      <c r="I232" s="2">
        <v>46.644</v>
      </c>
      <c r="J232" s="2">
        <v>46.412</v>
      </c>
      <c r="K232" s="2">
        <v>46.18</v>
      </c>
      <c r="L232" s="2">
        <v>45.948</v>
      </c>
      <c r="M232" s="2">
        <v>45.716</v>
      </c>
      <c r="N232" s="2">
        <v>46.76</v>
      </c>
      <c r="O232" s="2">
        <v>49.087</v>
      </c>
      <c r="P232" s="2">
        <v>51.421</v>
      </c>
      <c r="Q232" s="2">
        <v>53.749</v>
      </c>
      <c r="R232" s="2">
        <v>56.064</v>
      </c>
      <c r="S232" s="2">
        <v>58.346</v>
      </c>
      <c r="T232" s="2">
        <v>60.597</v>
      </c>
      <c r="U232" s="2">
        <v>62.803</v>
      </c>
      <c r="V232" s="2">
        <v>64.96</v>
      </c>
      <c r="W232" s="2">
        <v>65.035</v>
      </c>
      <c r="X232" s="2">
        <v>65.11</v>
      </c>
      <c r="Y232" s="2">
        <v>65.184</v>
      </c>
      <c r="Z232" s="2">
        <v>65.259</v>
      </c>
      <c r="AA232" s="2">
        <v>65.334</v>
      </c>
      <c r="AB232" s="2">
        <v>65.408</v>
      </c>
      <c r="AC232" s="2">
        <v>65.483</v>
      </c>
      <c r="AD232" s="2">
        <v>65.557</v>
      </c>
      <c r="AE232" s="2">
        <v>65.632</v>
      </c>
      <c r="AF232" s="2">
        <v>65.706</v>
      </c>
      <c r="AG232" s="2">
        <v>65.78</v>
      </c>
      <c r="AH232" s="2">
        <v>65.854</v>
      </c>
      <c r="AI232" s="2">
        <v>65.928</v>
      </c>
      <c r="AJ232" s="2">
        <v>66.002</v>
      </c>
      <c r="AK232" s="2">
        <v>66.076</v>
      </c>
      <c r="AL232" s="2">
        <v>66.15</v>
      </c>
      <c r="AM232" s="2">
        <v>66.223</v>
      </c>
      <c r="AN232" s="2">
        <v>66.297</v>
      </c>
      <c r="AO232" s="2">
        <v>66.371</v>
      </c>
      <c r="AP232" s="2">
        <v>66.444</v>
      </c>
      <c r="AQ232" s="2">
        <v>66.517</v>
      </c>
      <c r="AR232" s="2">
        <v>66.591</v>
      </c>
      <c r="AS232" s="2">
        <v>66.664</v>
      </c>
      <c r="AT232" s="2">
        <v>66.737</v>
      </c>
      <c r="AU232" s="2">
        <v>66.682</v>
      </c>
      <c r="AV232" s="2">
        <v>66.615</v>
      </c>
      <c r="AW232" s="2">
        <v>66.547</v>
      </c>
      <c r="AX232" s="2">
        <v>66.479</v>
      </c>
      <c r="AY232" s="2">
        <v>66.412</v>
      </c>
      <c r="AZ232" s="2">
        <v>66.344</v>
      </c>
      <c r="BA232" s="2">
        <v>66.276</v>
      </c>
      <c r="BB232" s="2">
        <v>66.208</v>
      </c>
      <c r="BC232" s="2">
        <v>66.14</v>
      </c>
      <c r="BD232" s="2">
        <v>66.089</v>
      </c>
      <c r="BE232" s="2">
        <v>66.056</v>
      </c>
      <c r="BF232" s="2">
        <v>66.04</v>
      </c>
      <c r="BG232" s="2">
        <v>66.041</v>
      </c>
      <c r="BH232" s="2">
        <v>66.06</v>
      </c>
      <c r="BI232" s="2">
        <v>66.095</v>
      </c>
      <c r="BJ232" s="2">
        <v>66.149</v>
      </c>
      <c r="BK232" s="2">
        <v>66.219</v>
      </c>
      <c r="BL232" s="2">
        <v>66.307</v>
      </c>
      <c r="BM232" s="2">
        <v>66.411</v>
      </c>
      <c r="BN232" s="2">
        <v>66.533</v>
      </c>
      <c r="BO232" s="2">
        <v>3972.3229999999985</v>
      </c>
    </row>
    <row r="233" ht="14.25" customHeight="1">
      <c r="A233" s="2" t="s">
        <v>112</v>
      </c>
      <c r="B233" s="2">
        <v>72.49</v>
      </c>
      <c r="C233" s="2">
        <v>73.295</v>
      </c>
      <c r="D233" s="2">
        <v>74.271</v>
      </c>
      <c r="E233" s="2">
        <v>75.223</v>
      </c>
      <c r="F233" s="2">
        <v>76.153</v>
      </c>
      <c r="G233" s="2">
        <v>77.056</v>
      </c>
      <c r="H233" s="2">
        <v>77.914</v>
      </c>
      <c r="I233" s="2">
        <v>78.727</v>
      </c>
      <c r="J233" s="2">
        <v>79.519</v>
      </c>
      <c r="K233" s="2">
        <v>80.287</v>
      </c>
      <c r="L233" s="2">
        <v>81.034</v>
      </c>
      <c r="M233" s="2">
        <v>81.563</v>
      </c>
      <c r="N233" s="2">
        <v>81.886</v>
      </c>
      <c r="O233" s="2">
        <v>82.203</v>
      </c>
      <c r="P233" s="2">
        <v>82.517</v>
      </c>
      <c r="Q233" s="2">
        <v>82.73</v>
      </c>
      <c r="R233" s="2">
        <v>82.802</v>
      </c>
      <c r="S233" s="2">
        <v>82.873</v>
      </c>
      <c r="T233" s="2">
        <v>82.944</v>
      </c>
      <c r="U233" s="2">
        <v>83.016</v>
      </c>
      <c r="V233" s="2">
        <v>83.087</v>
      </c>
      <c r="W233" s="2">
        <v>83.1</v>
      </c>
      <c r="X233" s="2">
        <v>83.1</v>
      </c>
      <c r="Y233" s="2">
        <v>83.1</v>
      </c>
      <c r="Z233" s="2">
        <v>83.1</v>
      </c>
      <c r="AA233" s="2">
        <v>83.1</v>
      </c>
      <c r="AB233" s="2">
        <v>83.1</v>
      </c>
      <c r="AC233" s="2">
        <v>83.1</v>
      </c>
      <c r="AD233" s="2">
        <v>83.1</v>
      </c>
      <c r="AE233" s="2">
        <v>83.1</v>
      </c>
      <c r="AF233" s="2">
        <v>83.1</v>
      </c>
      <c r="AG233" s="2">
        <v>83.204</v>
      </c>
      <c r="AH233" s="2">
        <v>83.361</v>
      </c>
      <c r="AI233" s="2">
        <v>83.516</v>
      </c>
      <c r="AJ233" s="2">
        <v>83.671</v>
      </c>
      <c r="AK233" s="2">
        <v>83.824</v>
      </c>
      <c r="AL233" s="2">
        <v>83.914</v>
      </c>
      <c r="AM233" s="2">
        <v>83.942</v>
      </c>
      <c r="AN233" s="2">
        <v>83.97</v>
      </c>
      <c r="AO233" s="2">
        <v>83.998</v>
      </c>
      <c r="AP233" s="2">
        <v>84.026</v>
      </c>
      <c r="AQ233" s="2">
        <v>84.071</v>
      </c>
      <c r="AR233" s="2">
        <v>84.133</v>
      </c>
      <c r="AS233" s="2">
        <v>84.196</v>
      </c>
      <c r="AT233" s="2">
        <v>84.258</v>
      </c>
      <c r="AU233" s="2">
        <v>84.319</v>
      </c>
      <c r="AV233" s="2">
        <v>84.43</v>
      </c>
      <c r="AW233" s="2">
        <v>84.588</v>
      </c>
      <c r="AX233" s="2">
        <v>84.746</v>
      </c>
      <c r="AY233" s="2">
        <v>84.902</v>
      </c>
      <c r="AZ233" s="2">
        <v>85.056</v>
      </c>
      <c r="BA233" s="2">
        <v>85.297</v>
      </c>
      <c r="BB233" s="2">
        <v>85.62</v>
      </c>
      <c r="BC233" s="2">
        <v>85.936</v>
      </c>
      <c r="BD233" s="2">
        <v>86.247</v>
      </c>
      <c r="BE233" s="2">
        <v>86.553</v>
      </c>
      <c r="BF233" s="2">
        <v>86.852</v>
      </c>
      <c r="BG233" s="2">
        <v>87.146</v>
      </c>
      <c r="BH233" s="2">
        <v>87.431</v>
      </c>
      <c r="BI233" s="2">
        <v>87.708</v>
      </c>
      <c r="BJ233" s="2">
        <v>87.977</v>
      </c>
      <c r="BK233" s="2">
        <v>88.238</v>
      </c>
      <c r="BL233" s="2">
        <v>88.492</v>
      </c>
      <c r="BM233" s="2">
        <v>88.738</v>
      </c>
      <c r="BN233" s="2">
        <v>88.976</v>
      </c>
      <c r="BO233" s="2">
        <v>5405.925999999997</v>
      </c>
    </row>
    <row r="234" ht="14.25" customHeight="1">
      <c r="A234" s="2" t="s">
        <v>113</v>
      </c>
      <c r="B234" s="2">
        <v>70.924</v>
      </c>
      <c r="C234" s="2">
        <v>71.243</v>
      </c>
      <c r="D234" s="2">
        <v>71.539</v>
      </c>
      <c r="E234" s="2">
        <v>71.834</v>
      </c>
      <c r="F234" s="2">
        <v>72.127</v>
      </c>
      <c r="G234" s="2">
        <v>72.417</v>
      </c>
      <c r="H234" s="2">
        <v>72.706</v>
      </c>
      <c r="I234" s="2">
        <v>72.993</v>
      </c>
      <c r="J234" s="2">
        <v>73.279</v>
      </c>
      <c r="K234" s="2">
        <v>73.561</v>
      </c>
      <c r="L234" s="2">
        <v>73.843</v>
      </c>
      <c r="M234" s="2">
        <v>73.992</v>
      </c>
      <c r="N234" s="2">
        <v>74.046</v>
      </c>
      <c r="O234" s="2">
        <v>74.1</v>
      </c>
      <c r="P234" s="2">
        <v>74.154</v>
      </c>
      <c r="Q234" s="2">
        <v>74.208</v>
      </c>
      <c r="R234" s="2">
        <v>74.262</v>
      </c>
      <c r="S234" s="2">
        <v>74.316</v>
      </c>
      <c r="T234" s="2">
        <v>74.37</v>
      </c>
      <c r="U234" s="2">
        <v>74.424</v>
      </c>
      <c r="V234" s="2">
        <v>74.477</v>
      </c>
      <c r="W234" s="2">
        <v>74.466</v>
      </c>
      <c r="X234" s="2">
        <v>74.406</v>
      </c>
      <c r="Y234" s="2">
        <v>74.346</v>
      </c>
      <c r="Z234" s="2">
        <v>74.286</v>
      </c>
      <c r="AA234" s="2">
        <v>74.227</v>
      </c>
      <c r="AB234" s="2">
        <v>74.167</v>
      </c>
      <c r="AC234" s="2">
        <v>74.107</v>
      </c>
      <c r="AD234" s="2">
        <v>74.046</v>
      </c>
      <c r="AE234" s="2">
        <v>73.986</v>
      </c>
      <c r="AF234" s="2">
        <v>73.926</v>
      </c>
      <c r="AG234" s="2">
        <v>73.869</v>
      </c>
      <c r="AH234" s="2">
        <v>73.815</v>
      </c>
      <c r="AI234" s="2">
        <v>73.762</v>
      </c>
      <c r="AJ234" s="2">
        <v>73.708</v>
      </c>
      <c r="AK234" s="2">
        <v>73.654</v>
      </c>
      <c r="AL234" s="2">
        <v>73.6</v>
      </c>
      <c r="AM234" s="2">
        <v>73.546</v>
      </c>
      <c r="AN234" s="2">
        <v>73.492</v>
      </c>
      <c r="AO234" s="2">
        <v>73.438</v>
      </c>
      <c r="AP234" s="2">
        <v>73.383</v>
      </c>
      <c r="AQ234" s="2">
        <v>73.375</v>
      </c>
      <c r="AR234" s="2">
        <v>73.401</v>
      </c>
      <c r="AS234" s="2">
        <v>73.427</v>
      </c>
      <c r="AT234" s="2">
        <v>73.452</v>
      </c>
      <c r="AU234" s="2">
        <v>73.478</v>
      </c>
      <c r="AV234" s="2">
        <v>73.504</v>
      </c>
      <c r="AW234" s="2">
        <v>73.53</v>
      </c>
      <c r="AX234" s="2">
        <v>73.556</v>
      </c>
      <c r="AY234" s="2">
        <v>73.581</v>
      </c>
      <c r="AZ234" s="2">
        <v>73.607</v>
      </c>
      <c r="BA234" s="2">
        <v>73.631</v>
      </c>
      <c r="BB234" s="2">
        <v>73.653</v>
      </c>
      <c r="BC234" s="2">
        <v>73.674</v>
      </c>
      <c r="BD234" s="2">
        <v>73.696</v>
      </c>
      <c r="BE234" s="2">
        <v>73.718</v>
      </c>
      <c r="BF234" s="2">
        <v>73.739</v>
      </c>
      <c r="BG234" s="2">
        <v>73.761</v>
      </c>
      <c r="BH234" s="2">
        <v>73.797</v>
      </c>
      <c r="BI234" s="2">
        <v>73.849</v>
      </c>
      <c r="BJ234" s="2">
        <v>73.915</v>
      </c>
      <c r="BK234" s="2">
        <v>73.996</v>
      </c>
      <c r="BL234" s="2">
        <v>74.092</v>
      </c>
      <c r="BM234" s="2">
        <v>74.202</v>
      </c>
      <c r="BN234" s="2">
        <v>74.327</v>
      </c>
      <c r="BO234" s="2">
        <v>4786.005999999999</v>
      </c>
    </row>
    <row r="235" ht="14.25" customHeight="1">
      <c r="A235" s="2" t="s">
        <v>114</v>
      </c>
      <c r="B235" s="2">
        <v>36.807</v>
      </c>
      <c r="C235" s="2">
        <v>37.399</v>
      </c>
      <c r="D235" s="2">
        <v>38.044</v>
      </c>
      <c r="E235" s="2">
        <v>38.694</v>
      </c>
      <c r="F235" s="2">
        <v>39.349</v>
      </c>
      <c r="G235" s="2">
        <v>40.006</v>
      </c>
      <c r="H235" s="2">
        <v>40.667</v>
      </c>
      <c r="I235" s="2">
        <v>41.332</v>
      </c>
      <c r="J235" s="2">
        <v>42.001</v>
      </c>
      <c r="K235" s="2">
        <v>42.671</v>
      </c>
      <c r="L235" s="2">
        <v>43.345</v>
      </c>
      <c r="M235" s="2">
        <v>43.751</v>
      </c>
      <c r="N235" s="2">
        <v>44.078</v>
      </c>
      <c r="O235" s="2">
        <v>44.405</v>
      </c>
      <c r="P235" s="2">
        <v>44.733</v>
      </c>
      <c r="Q235" s="2">
        <v>45.061</v>
      </c>
      <c r="R235" s="2">
        <v>45.39</v>
      </c>
      <c r="S235" s="2">
        <v>45.718</v>
      </c>
      <c r="T235" s="2">
        <v>46.048</v>
      </c>
      <c r="U235" s="2">
        <v>46.377</v>
      </c>
      <c r="V235" s="2">
        <v>46.708</v>
      </c>
      <c r="W235" s="2">
        <v>47.038</v>
      </c>
      <c r="X235" s="2">
        <v>47.268</v>
      </c>
      <c r="Y235" s="2">
        <v>47.476</v>
      </c>
      <c r="Z235" s="2">
        <v>47.684</v>
      </c>
      <c r="AA235" s="2">
        <v>47.891</v>
      </c>
      <c r="AB235" s="2">
        <v>48.099</v>
      </c>
      <c r="AC235" s="2">
        <v>48.307</v>
      </c>
      <c r="AD235" s="2">
        <v>48.515</v>
      </c>
      <c r="AE235" s="2">
        <v>48.723</v>
      </c>
      <c r="AF235" s="2">
        <v>48.931</v>
      </c>
      <c r="AG235" s="2">
        <v>49.139</v>
      </c>
      <c r="AH235" s="2">
        <v>49.347</v>
      </c>
      <c r="AI235" s="2">
        <v>49.555</v>
      </c>
      <c r="AJ235" s="2">
        <v>49.764</v>
      </c>
      <c r="AK235" s="2">
        <v>50.104</v>
      </c>
      <c r="AL235" s="2">
        <v>50.473</v>
      </c>
      <c r="AM235" s="2">
        <v>50.841</v>
      </c>
      <c r="AN235" s="2">
        <v>51.21</v>
      </c>
      <c r="AO235" s="2">
        <v>51.578</v>
      </c>
      <c r="AP235" s="2">
        <v>51.947</v>
      </c>
      <c r="AQ235" s="2">
        <v>52.314</v>
      </c>
      <c r="AR235" s="2">
        <v>52.682</v>
      </c>
      <c r="AS235" s="2">
        <v>53.049</v>
      </c>
      <c r="AT235" s="2">
        <v>53.417</v>
      </c>
      <c r="AU235" s="2">
        <v>53.782</v>
      </c>
      <c r="AV235" s="2">
        <v>54.146</v>
      </c>
      <c r="AW235" s="2">
        <v>54.511</v>
      </c>
      <c r="AX235" s="2">
        <v>54.875</v>
      </c>
      <c r="AY235" s="2">
        <v>55.237</v>
      </c>
      <c r="AZ235" s="2">
        <v>55.6</v>
      </c>
      <c r="BA235" s="2">
        <v>54.58</v>
      </c>
      <c r="BB235" s="2">
        <v>53.555</v>
      </c>
      <c r="BC235" s="2">
        <v>52.529</v>
      </c>
      <c r="BD235" s="2">
        <v>51.5</v>
      </c>
      <c r="BE235" s="2">
        <v>52.168</v>
      </c>
      <c r="BF235" s="2">
        <v>52.835</v>
      </c>
      <c r="BG235" s="2">
        <v>53.5</v>
      </c>
      <c r="BH235" s="2">
        <v>54.162</v>
      </c>
      <c r="BI235" s="2">
        <v>54.821</v>
      </c>
      <c r="BJ235" s="2">
        <v>55.475</v>
      </c>
      <c r="BK235" s="2">
        <v>56.124</v>
      </c>
      <c r="BL235" s="2">
        <v>56.769</v>
      </c>
      <c r="BM235" s="2">
        <v>57.409</v>
      </c>
      <c r="BN235" s="2">
        <v>58.044</v>
      </c>
      <c r="BO235" s="2">
        <v>3179.557999999999</v>
      </c>
    </row>
    <row r="236" ht="14.25" customHeight="1">
      <c r="A236" s="2" t="s">
        <v>492</v>
      </c>
      <c r="B236" s="2">
        <v>33.168</v>
      </c>
      <c r="C236" s="2">
        <v>33.56</v>
      </c>
      <c r="D236" s="2">
        <v>33.955</v>
      </c>
      <c r="E236" s="2">
        <v>34.351</v>
      </c>
      <c r="F236" s="2">
        <v>34.751</v>
      </c>
      <c r="G236" s="2">
        <v>35.152</v>
      </c>
      <c r="H236" s="2">
        <v>35.555</v>
      </c>
      <c r="I236" s="2">
        <v>35.96</v>
      </c>
      <c r="J236" s="2">
        <v>36.368</v>
      </c>
      <c r="K236" s="2">
        <v>36.777</v>
      </c>
      <c r="L236" s="2">
        <v>36.876</v>
      </c>
      <c r="M236" s="2">
        <v>36.607</v>
      </c>
      <c r="N236" s="2">
        <v>36.337</v>
      </c>
      <c r="O236" s="2">
        <v>36.07</v>
      </c>
      <c r="P236" s="2">
        <v>35.802</v>
      </c>
      <c r="Q236" s="2">
        <v>35.536</v>
      </c>
      <c r="R236" s="2">
        <v>35.27</v>
      </c>
      <c r="S236" s="2">
        <v>35.006</v>
      </c>
      <c r="T236" s="2">
        <v>34.743</v>
      </c>
      <c r="U236" s="2">
        <v>34.502</v>
      </c>
      <c r="V236" s="2">
        <v>34.289</v>
      </c>
      <c r="W236" s="2">
        <v>34.078</v>
      </c>
      <c r="X236" s="2">
        <v>33.866</v>
      </c>
      <c r="Y236" s="2">
        <v>33.655</v>
      </c>
      <c r="Z236" s="2">
        <v>33.445</v>
      </c>
      <c r="AA236" s="2">
        <v>33.235</v>
      </c>
      <c r="AB236" s="2">
        <v>33.026</v>
      </c>
      <c r="AC236" s="2">
        <v>32.818</v>
      </c>
      <c r="AD236" s="2">
        <v>32.61</v>
      </c>
      <c r="AE236" s="2">
        <v>32.231</v>
      </c>
      <c r="AF236" s="2">
        <v>31.658</v>
      </c>
      <c r="AG236" s="2">
        <v>31.09</v>
      </c>
      <c r="AH236" s="2">
        <v>30.527</v>
      </c>
      <c r="AI236" s="2">
        <v>29.972</v>
      </c>
      <c r="AJ236" s="2">
        <v>29.421</v>
      </c>
      <c r="AK236" s="2">
        <v>28.877</v>
      </c>
      <c r="AL236" s="2">
        <v>28.338</v>
      </c>
      <c r="AM236" s="2">
        <v>27.806</v>
      </c>
      <c r="AN236" s="2">
        <v>27.28</v>
      </c>
      <c r="AO236" s="2">
        <v>26.76</v>
      </c>
      <c r="AP236" s="2">
        <v>26.501</v>
      </c>
      <c r="AQ236" s="2">
        <v>26.503</v>
      </c>
      <c r="AR236" s="2">
        <v>26.505</v>
      </c>
      <c r="AS236" s="2">
        <v>26.507</v>
      </c>
      <c r="AT236" s="2">
        <v>26.508</v>
      </c>
      <c r="AU236" s="2">
        <v>26.51</v>
      </c>
      <c r="AV236" s="2">
        <v>26.512</v>
      </c>
      <c r="AW236" s="2">
        <v>26.514</v>
      </c>
      <c r="AX236" s="2">
        <v>26.516</v>
      </c>
      <c r="AY236" s="2">
        <v>26.518</v>
      </c>
      <c r="AZ236" s="2">
        <v>26.52</v>
      </c>
      <c r="BA236" s="2">
        <v>26.521</v>
      </c>
      <c r="BB236" s="2">
        <v>26.545</v>
      </c>
      <c r="BC236" s="2">
        <v>26.589</v>
      </c>
      <c r="BD236" s="2">
        <v>26.655</v>
      </c>
      <c r="BE236" s="2">
        <v>26.742</v>
      </c>
      <c r="BF236" s="2">
        <v>26.851</v>
      </c>
      <c r="BG236" s="2">
        <v>26.982</v>
      </c>
      <c r="BH236" s="2">
        <v>27.134</v>
      </c>
      <c r="BI236" s="2">
        <v>27.309</v>
      </c>
      <c r="BJ236" s="2">
        <v>27.506</v>
      </c>
      <c r="BK236" s="2">
        <v>27.726</v>
      </c>
      <c r="BL236" s="2">
        <v>27.968</v>
      </c>
      <c r="BM236" s="2">
        <v>28.234</v>
      </c>
      <c r="BN236" s="2">
        <v>28.523</v>
      </c>
      <c r="BO236" s="2">
        <v>2004.2269999999994</v>
      </c>
    </row>
    <row r="237" ht="14.25" customHeight="1">
      <c r="A237" s="2" t="s">
        <v>493</v>
      </c>
      <c r="B237" s="2">
        <v>5.246</v>
      </c>
      <c r="C237" s="2">
        <v>5.394</v>
      </c>
      <c r="D237" s="2">
        <v>5.547</v>
      </c>
      <c r="E237" s="2">
        <v>5.704</v>
      </c>
      <c r="F237" s="2">
        <v>5.865</v>
      </c>
      <c r="G237" s="2">
        <v>6.03</v>
      </c>
      <c r="H237" s="2">
        <v>6.199</v>
      </c>
      <c r="I237" s="2">
        <v>6.373</v>
      </c>
      <c r="J237" s="2">
        <v>6.804</v>
      </c>
      <c r="K237" s="2">
        <v>7.311</v>
      </c>
      <c r="L237" s="2">
        <v>7.852</v>
      </c>
      <c r="M237" s="2">
        <v>8.431</v>
      </c>
      <c r="N237" s="2">
        <v>9.048</v>
      </c>
      <c r="O237" s="2">
        <v>9.704</v>
      </c>
      <c r="P237" s="2">
        <v>10.403</v>
      </c>
      <c r="Q237" s="2">
        <v>11.146</v>
      </c>
      <c r="R237" s="2">
        <v>11.937</v>
      </c>
      <c r="S237" s="2">
        <v>12.773</v>
      </c>
      <c r="T237" s="2">
        <v>13.659</v>
      </c>
      <c r="U237" s="2">
        <v>14.141</v>
      </c>
      <c r="V237" s="2">
        <v>14.555</v>
      </c>
      <c r="W237" s="2">
        <v>14.976</v>
      </c>
      <c r="X237" s="2">
        <v>15.409</v>
      </c>
      <c r="Y237" s="2">
        <v>15.851</v>
      </c>
      <c r="Z237" s="2">
        <v>16.305</v>
      </c>
      <c r="AA237" s="2">
        <v>16.767</v>
      </c>
      <c r="AB237" s="2">
        <v>17.241</v>
      </c>
      <c r="AC237" s="2">
        <v>17.725</v>
      </c>
      <c r="AD237" s="2">
        <v>18.221</v>
      </c>
      <c r="AE237" s="2">
        <v>18.565</v>
      </c>
      <c r="AF237" s="2">
        <v>18.884</v>
      </c>
      <c r="AG237" s="2">
        <v>19.208</v>
      </c>
      <c r="AH237" s="2">
        <v>19.536</v>
      </c>
      <c r="AI237" s="2">
        <v>19.867</v>
      </c>
      <c r="AJ237" s="2">
        <v>20.203</v>
      </c>
      <c r="AK237" s="2">
        <v>20.543</v>
      </c>
      <c r="AL237" s="2">
        <v>20.888</v>
      </c>
      <c r="AM237" s="2">
        <v>21.237</v>
      </c>
      <c r="AN237" s="2">
        <v>21.59</v>
      </c>
      <c r="AO237" s="2">
        <v>21.947</v>
      </c>
      <c r="AP237" s="2">
        <v>22.309</v>
      </c>
      <c r="AQ237" s="2">
        <v>22.674</v>
      </c>
      <c r="AR237" s="2">
        <v>23.044</v>
      </c>
      <c r="AS237" s="2">
        <v>23.611</v>
      </c>
      <c r="AT237" s="2">
        <v>24.223</v>
      </c>
      <c r="AU237" s="2">
        <v>24.845</v>
      </c>
      <c r="AV237" s="2">
        <v>25.478</v>
      </c>
      <c r="AW237" s="2">
        <v>26.121</v>
      </c>
      <c r="AX237" s="2">
        <v>26.776</v>
      </c>
      <c r="AY237" s="2">
        <v>27.439</v>
      </c>
      <c r="AZ237" s="2">
        <v>28.114</v>
      </c>
      <c r="BA237" s="2">
        <v>28.798</v>
      </c>
      <c r="BB237" s="2">
        <v>29.493</v>
      </c>
      <c r="BC237" s="2">
        <v>30.196</v>
      </c>
      <c r="BD237" s="2">
        <v>30.904</v>
      </c>
      <c r="BE237" s="2">
        <v>31.617</v>
      </c>
      <c r="BF237" s="2">
        <v>32.333</v>
      </c>
      <c r="BG237" s="2">
        <v>33.053</v>
      </c>
      <c r="BH237" s="2">
        <v>33.776</v>
      </c>
      <c r="BI237" s="2">
        <v>34.5</v>
      </c>
      <c r="BJ237" s="2">
        <v>35.227</v>
      </c>
      <c r="BK237" s="2">
        <v>35.954</v>
      </c>
      <c r="BL237" s="2">
        <v>36.682</v>
      </c>
      <c r="BM237" s="2">
        <v>37.409</v>
      </c>
      <c r="BN237" s="2">
        <v>38.136</v>
      </c>
      <c r="BO237" s="2">
        <v>1281.797</v>
      </c>
    </row>
    <row r="238" ht="14.25" customHeight="1">
      <c r="A238" s="2" t="s">
        <v>115</v>
      </c>
      <c r="B238" s="2">
        <v>19.672</v>
      </c>
      <c r="C238" s="2">
        <v>19.781</v>
      </c>
      <c r="D238" s="2">
        <v>19.89</v>
      </c>
      <c r="E238" s="2">
        <v>20.0</v>
      </c>
      <c r="F238" s="2">
        <v>20.11</v>
      </c>
      <c r="G238" s="2">
        <v>20.221</v>
      </c>
      <c r="H238" s="2">
        <v>20.332</v>
      </c>
      <c r="I238" s="2">
        <v>20.444</v>
      </c>
      <c r="J238" s="2">
        <v>20.556</v>
      </c>
      <c r="K238" s="2">
        <v>20.668</v>
      </c>
      <c r="L238" s="2">
        <v>20.889</v>
      </c>
      <c r="M238" s="2">
        <v>21.442</v>
      </c>
      <c r="N238" s="2">
        <v>22.006</v>
      </c>
      <c r="O238" s="2">
        <v>22.579</v>
      </c>
      <c r="P238" s="2">
        <v>23.164</v>
      </c>
      <c r="Q238" s="2">
        <v>23.758</v>
      </c>
      <c r="R238" s="2">
        <v>24.365</v>
      </c>
      <c r="S238" s="2">
        <v>24.98</v>
      </c>
      <c r="T238" s="2">
        <v>25.606</v>
      </c>
      <c r="U238" s="2">
        <v>26.242</v>
      </c>
      <c r="V238" s="2">
        <v>26.791</v>
      </c>
      <c r="W238" s="2">
        <v>27.049</v>
      </c>
      <c r="X238" s="2">
        <v>27.308</v>
      </c>
      <c r="Y238" s="2">
        <v>27.569</v>
      </c>
      <c r="Z238" s="2">
        <v>27.832</v>
      </c>
      <c r="AA238" s="2">
        <v>28.095</v>
      </c>
      <c r="AB238" s="2">
        <v>28.361</v>
      </c>
      <c r="AC238" s="2">
        <v>28.628</v>
      </c>
      <c r="AD238" s="2">
        <v>28.897</v>
      </c>
      <c r="AE238" s="2">
        <v>29.167</v>
      </c>
      <c r="AF238" s="2">
        <v>29.424</v>
      </c>
      <c r="AG238" s="2">
        <v>29.593</v>
      </c>
      <c r="AH238" s="2">
        <v>29.763</v>
      </c>
      <c r="AI238" s="2">
        <v>29.934</v>
      </c>
      <c r="AJ238" s="2">
        <v>30.105</v>
      </c>
      <c r="AK238" s="2">
        <v>30.276</v>
      </c>
      <c r="AL238" s="2">
        <v>30.449</v>
      </c>
      <c r="AM238" s="2">
        <v>30.622</v>
      </c>
      <c r="AN238" s="2">
        <v>30.795</v>
      </c>
      <c r="AO238" s="2">
        <v>30.969</v>
      </c>
      <c r="AP238" s="2">
        <v>31.386</v>
      </c>
      <c r="AQ238" s="2">
        <v>32.548</v>
      </c>
      <c r="AR238" s="2">
        <v>33.734</v>
      </c>
      <c r="AS238" s="2">
        <v>34.941</v>
      </c>
      <c r="AT238" s="2">
        <v>36.169</v>
      </c>
      <c r="AU238" s="2">
        <v>37.411</v>
      </c>
      <c r="AV238" s="2">
        <v>38.673</v>
      </c>
      <c r="AW238" s="2">
        <v>39.95</v>
      </c>
      <c r="AX238" s="2">
        <v>41.242</v>
      </c>
      <c r="AY238" s="2">
        <v>42.543</v>
      </c>
      <c r="AZ238" s="2">
        <v>43.856</v>
      </c>
      <c r="BA238" s="2">
        <v>44.698</v>
      </c>
      <c r="BB238" s="2">
        <v>45.445</v>
      </c>
      <c r="BC238" s="2">
        <v>46.193</v>
      </c>
      <c r="BD238" s="2">
        <v>46.943</v>
      </c>
      <c r="BE238" s="2">
        <v>47.694</v>
      </c>
      <c r="BF238" s="2">
        <v>48.448</v>
      </c>
      <c r="BG238" s="2">
        <v>49.2</v>
      </c>
      <c r="BH238" s="2">
        <v>49.949</v>
      </c>
      <c r="BI238" s="2">
        <v>50.692</v>
      </c>
      <c r="BJ238" s="2">
        <v>51.43</v>
      </c>
      <c r="BK238" s="2">
        <v>52.163</v>
      </c>
      <c r="BL238" s="2">
        <v>52.889</v>
      </c>
      <c r="BM238" s="2">
        <v>53.608</v>
      </c>
      <c r="BN238" s="2">
        <v>54.32</v>
      </c>
      <c r="BO238" s="2">
        <v>2124.4570000000003</v>
      </c>
    </row>
    <row r="239" ht="14.25" customHeight="1">
      <c r="A239" s="2" t="s">
        <v>494</v>
      </c>
      <c r="B239" s="2">
        <v>10.091</v>
      </c>
      <c r="C239" s="2">
        <v>10.243</v>
      </c>
      <c r="D239" s="2">
        <v>10.511</v>
      </c>
      <c r="E239" s="2">
        <v>10.785</v>
      </c>
      <c r="F239" s="2">
        <v>11.066</v>
      </c>
      <c r="G239" s="2">
        <v>11.353</v>
      </c>
      <c r="H239" s="2">
        <v>11.646</v>
      </c>
      <c r="I239" s="2">
        <v>11.946</v>
      </c>
      <c r="J239" s="2">
        <v>12.253</v>
      </c>
      <c r="K239" s="2">
        <v>12.566</v>
      </c>
      <c r="L239" s="2">
        <v>12.886</v>
      </c>
      <c r="M239" s="2">
        <v>13.213</v>
      </c>
      <c r="N239" s="2">
        <v>13.548</v>
      </c>
      <c r="O239" s="2">
        <v>13.889</v>
      </c>
      <c r="P239" s="2">
        <v>14.237</v>
      </c>
      <c r="Q239" s="2">
        <v>14.593</v>
      </c>
      <c r="R239" s="2">
        <v>14.956</v>
      </c>
      <c r="S239" s="2">
        <v>15.326</v>
      </c>
      <c r="T239" s="2">
        <v>15.704</v>
      </c>
      <c r="U239" s="2">
        <v>16.089</v>
      </c>
      <c r="V239" s="2">
        <v>16.483</v>
      </c>
      <c r="W239" s="2">
        <v>16.883</v>
      </c>
      <c r="X239" s="2">
        <v>17.291</v>
      </c>
      <c r="Y239" s="2">
        <v>17.708</v>
      </c>
      <c r="Z239" s="2">
        <v>18.132</v>
      </c>
      <c r="AA239" s="2">
        <v>18.563</v>
      </c>
      <c r="AB239" s="2">
        <v>19.003</v>
      </c>
      <c r="AC239" s="2">
        <v>19.451</v>
      </c>
      <c r="AD239" s="2">
        <v>19.907</v>
      </c>
      <c r="AE239" s="2">
        <v>20.37</v>
      </c>
      <c r="AF239" s="2">
        <v>20.842</v>
      </c>
      <c r="AG239" s="2">
        <v>21.215</v>
      </c>
      <c r="AH239" s="2">
        <v>21.54</v>
      </c>
      <c r="AI239" s="2">
        <v>21.867</v>
      </c>
      <c r="AJ239" s="2">
        <v>22.199</v>
      </c>
      <c r="AK239" s="2">
        <v>22.534</v>
      </c>
      <c r="AL239" s="2">
        <v>22.873</v>
      </c>
      <c r="AM239" s="2">
        <v>23.215</v>
      </c>
      <c r="AN239" s="2">
        <v>23.561</v>
      </c>
      <c r="AO239" s="2">
        <v>23.91</v>
      </c>
      <c r="AP239" s="2">
        <v>24.263</v>
      </c>
      <c r="AQ239" s="2">
        <v>24.619</v>
      </c>
      <c r="AR239" s="2">
        <v>24.979</v>
      </c>
      <c r="AS239" s="2">
        <v>25.343</v>
      </c>
      <c r="AT239" s="2">
        <v>25.71</v>
      </c>
      <c r="AU239" s="2">
        <v>26.041</v>
      </c>
      <c r="AV239" s="2">
        <v>26.374</v>
      </c>
      <c r="AW239" s="2">
        <v>26.709</v>
      </c>
      <c r="AX239" s="2">
        <v>27.048</v>
      </c>
      <c r="AY239" s="2">
        <v>27.389</v>
      </c>
      <c r="AZ239" s="2">
        <v>27.732</v>
      </c>
      <c r="BA239" s="2">
        <v>28.079</v>
      </c>
      <c r="BB239" s="2">
        <v>28.428</v>
      </c>
      <c r="BC239" s="2">
        <v>28.779</v>
      </c>
      <c r="BD239" s="2">
        <v>29.133</v>
      </c>
      <c r="BE239" s="2">
        <v>29.49</v>
      </c>
      <c r="BF239" s="2">
        <v>29.85</v>
      </c>
      <c r="BG239" s="2">
        <v>30.212</v>
      </c>
      <c r="BH239" s="2">
        <v>30.578</v>
      </c>
      <c r="BI239" s="2">
        <v>30.947</v>
      </c>
      <c r="BJ239" s="2">
        <v>31.32</v>
      </c>
      <c r="BK239" s="2">
        <v>31.695</v>
      </c>
      <c r="BL239" s="2">
        <v>32.074</v>
      </c>
      <c r="BM239" s="2">
        <v>32.456</v>
      </c>
      <c r="BN239" s="2">
        <v>32.842</v>
      </c>
      <c r="BO239" s="2">
        <v>1376.5379999999998</v>
      </c>
    </row>
    <row r="240" ht="14.25" customHeight="1">
      <c r="A240" s="2" t="s">
        <v>116</v>
      </c>
      <c r="B240" s="2">
        <v>10.098</v>
      </c>
      <c r="C240" s="2">
        <v>10.94</v>
      </c>
      <c r="D240" s="2">
        <v>11.844</v>
      </c>
      <c r="E240" s="2">
        <v>12.811</v>
      </c>
      <c r="F240" s="2">
        <v>13.847</v>
      </c>
      <c r="G240" s="2">
        <v>14.95</v>
      </c>
      <c r="H240" s="2">
        <v>16.125</v>
      </c>
      <c r="I240" s="2">
        <v>17.374</v>
      </c>
      <c r="J240" s="2">
        <v>18.7</v>
      </c>
      <c r="K240" s="2">
        <v>20.098</v>
      </c>
      <c r="L240" s="2">
        <v>21.28</v>
      </c>
      <c r="M240" s="2">
        <v>21.602</v>
      </c>
      <c r="N240" s="2">
        <v>21.929</v>
      </c>
      <c r="O240" s="2">
        <v>22.258</v>
      </c>
      <c r="P240" s="2">
        <v>22.591</v>
      </c>
      <c r="Q240" s="2">
        <v>22.927</v>
      </c>
      <c r="R240" s="2">
        <v>23.268</v>
      </c>
      <c r="S240" s="2">
        <v>23.611</v>
      </c>
      <c r="T240" s="2">
        <v>23.958</v>
      </c>
      <c r="U240" s="2">
        <v>24.308</v>
      </c>
      <c r="V240" s="2">
        <v>24.663</v>
      </c>
      <c r="W240" s="2">
        <v>25.02</v>
      </c>
      <c r="X240" s="2">
        <v>25.391</v>
      </c>
      <c r="Y240" s="2">
        <v>25.778</v>
      </c>
      <c r="Z240" s="2">
        <v>26.169</v>
      </c>
      <c r="AA240" s="2">
        <v>26.562</v>
      </c>
      <c r="AB240" s="2">
        <v>26.96</v>
      </c>
      <c r="AC240" s="2">
        <v>27.362</v>
      </c>
      <c r="AD240" s="2">
        <v>27.768</v>
      </c>
      <c r="AE240" s="2">
        <v>28.176</v>
      </c>
      <c r="AF240" s="2">
        <v>28.589</v>
      </c>
      <c r="AG240" s="2">
        <v>29.005</v>
      </c>
      <c r="AH240" s="2">
        <v>29.425</v>
      </c>
      <c r="AI240" s="2">
        <v>29.848</v>
      </c>
      <c r="AJ240" s="2">
        <v>30.275</v>
      </c>
      <c r="AK240" s="2">
        <v>30.705</v>
      </c>
      <c r="AL240" s="2">
        <v>31.139</v>
      </c>
      <c r="AM240" s="2">
        <v>31.576</v>
      </c>
      <c r="AN240" s="2">
        <v>32.016</v>
      </c>
      <c r="AO240" s="2">
        <v>32.46</v>
      </c>
      <c r="AP240" s="2">
        <v>32.907</v>
      </c>
      <c r="AQ240" s="2">
        <v>33.356</v>
      </c>
      <c r="AR240" s="2">
        <v>33.809</v>
      </c>
      <c r="AS240" s="2">
        <v>34.265</v>
      </c>
      <c r="AT240" s="2">
        <v>34.724</v>
      </c>
      <c r="AU240" s="2">
        <v>35.185</v>
      </c>
      <c r="AV240" s="2">
        <v>35.649</v>
      </c>
      <c r="AW240" s="2">
        <v>36.116</v>
      </c>
      <c r="AX240" s="2">
        <v>36.587</v>
      </c>
      <c r="AY240" s="2">
        <v>37.058</v>
      </c>
      <c r="AZ240" s="2">
        <v>37.533</v>
      </c>
      <c r="BA240" s="2">
        <v>38.032</v>
      </c>
      <c r="BB240" s="2">
        <v>38.546</v>
      </c>
      <c r="BC240" s="2">
        <v>39.061</v>
      </c>
      <c r="BD240" s="2">
        <v>39.579</v>
      </c>
      <c r="BE240" s="2">
        <v>40.1</v>
      </c>
      <c r="BF240" s="2">
        <v>40.628</v>
      </c>
      <c r="BG240" s="2">
        <v>41.162</v>
      </c>
      <c r="BH240" s="2">
        <v>41.702</v>
      </c>
      <c r="BI240" s="2">
        <v>42.248</v>
      </c>
      <c r="BJ240" s="2">
        <v>42.8</v>
      </c>
      <c r="BK240" s="2">
        <v>43.358</v>
      </c>
      <c r="BL240" s="2">
        <v>43.921</v>
      </c>
      <c r="BM240" s="2">
        <v>44.49</v>
      </c>
      <c r="BN240" s="2">
        <v>45.064</v>
      </c>
      <c r="BO240" s="2">
        <v>1911.2859999999996</v>
      </c>
    </row>
    <row r="241" ht="14.25" customHeight="1">
      <c r="A241" s="2" t="s">
        <v>576</v>
      </c>
      <c r="B241" s="2">
        <v>17.552</v>
      </c>
      <c r="C241" s="2">
        <v>17.929</v>
      </c>
      <c r="D241" s="2">
        <v>18.312</v>
      </c>
      <c r="E241" s="2">
        <v>18.701</v>
      </c>
      <c r="F241" s="2">
        <v>19.098</v>
      </c>
      <c r="G241" s="2">
        <v>19.499</v>
      </c>
      <c r="H241" s="2">
        <v>19.908</v>
      </c>
      <c r="I241" s="2">
        <v>20.097</v>
      </c>
      <c r="J241" s="2">
        <v>20.127</v>
      </c>
      <c r="K241" s="2">
        <v>20.157</v>
      </c>
      <c r="L241" s="2">
        <v>20.187</v>
      </c>
      <c r="M241" s="2">
        <v>20.217</v>
      </c>
      <c r="N241" s="2">
        <v>20.247</v>
      </c>
      <c r="O241" s="2">
        <v>20.277</v>
      </c>
      <c r="P241" s="2">
        <v>20.307</v>
      </c>
      <c r="Q241" s="2">
        <v>20.337</v>
      </c>
      <c r="R241" s="2">
        <v>20.367</v>
      </c>
      <c r="S241" s="2">
        <v>20.504</v>
      </c>
      <c r="T241" s="2">
        <v>20.719</v>
      </c>
      <c r="U241" s="2">
        <v>20.935</v>
      </c>
      <c r="V241" s="2">
        <v>21.154</v>
      </c>
      <c r="W241" s="2">
        <v>21.373</v>
      </c>
      <c r="X241" s="2">
        <v>21.594</v>
      </c>
      <c r="Y241" s="2">
        <v>21.817</v>
      </c>
      <c r="Z241" s="2">
        <v>22.042</v>
      </c>
      <c r="AA241" s="2">
        <v>22.268</v>
      </c>
      <c r="AB241" s="2">
        <v>22.496</v>
      </c>
      <c r="AC241" s="2">
        <v>22.609</v>
      </c>
      <c r="AD241" s="2">
        <v>22.641</v>
      </c>
      <c r="AE241" s="2">
        <v>22.672</v>
      </c>
      <c r="AF241" s="2">
        <v>22.704</v>
      </c>
      <c r="AG241" s="2">
        <v>22.736</v>
      </c>
      <c r="AH241" s="2">
        <v>22.768</v>
      </c>
      <c r="AI241" s="2">
        <v>22.8</v>
      </c>
      <c r="AJ241" s="2">
        <v>22.832</v>
      </c>
      <c r="AK241" s="2">
        <v>22.864</v>
      </c>
      <c r="AL241" s="2">
        <v>22.897</v>
      </c>
      <c r="AM241" s="2">
        <v>22.927</v>
      </c>
      <c r="AN241" s="2">
        <v>22.955</v>
      </c>
      <c r="AO241" s="2">
        <v>22.984</v>
      </c>
      <c r="AP241" s="2">
        <v>23.012</v>
      </c>
      <c r="AQ241" s="2">
        <v>23.041</v>
      </c>
      <c r="AR241" s="2">
        <v>23.069</v>
      </c>
      <c r="AS241" s="2">
        <v>23.098</v>
      </c>
      <c r="AT241" s="2">
        <v>23.127</v>
      </c>
      <c r="AU241" s="2">
        <v>23.155</v>
      </c>
      <c r="AV241" s="2">
        <v>23.184</v>
      </c>
      <c r="AW241" s="2">
        <v>23.227</v>
      </c>
      <c r="AX241" s="2">
        <v>23.281</v>
      </c>
      <c r="AY241" s="2">
        <v>23.335</v>
      </c>
      <c r="AZ241" s="2">
        <v>23.389</v>
      </c>
      <c r="BA241" s="2">
        <v>23.443</v>
      </c>
      <c r="BB241" s="2">
        <v>23.435</v>
      </c>
      <c r="BC241" s="2">
        <v>23.382</v>
      </c>
      <c r="BD241" s="2">
        <v>23.328</v>
      </c>
      <c r="BE241" s="2">
        <v>23.275</v>
      </c>
      <c r="BF241" s="2">
        <v>23.222</v>
      </c>
      <c r="BG241" s="2">
        <v>23.169</v>
      </c>
      <c r="BH241" s="2">
        <v>23.131</v>
      </c>
      <c r="BI241" s="2">
        <v>23.107</v>
      </c>
      <c r="BJ241" s="2">
        <v>23.099</v>
      </c>
      <c r="BK241" s="2">
        <v>23.104</v>
      </c>
      <c r="BL241" s="2">
        <v>23.125</v>
      </c>
      <c r="BM241" s="2">
        <v>23.16</v>
      </c>
      <c r="BN241" s="2">
        <v>23.21</v>
      </c>
      <c r="BO241" s="2">
        <v>1424.7180000000003</v>
      </c>
    </row>
    <row r="242" ht="14.25" customHeight="1">
      <c r="A242" s="2" t="s">
        <v>117</v>
      </c>
      <c r="B242" s="2">
        <v>34.155</v>
      </c>
      <c r="C242" s="2">
        <v>35.004</v>
      </c>
      <c r="D242" s="2">
        <v>35.864</v>
      </c>
      <c r="E242" s="2">
        <v>36.734</v>
      </c>
      <c r="F242" s="2">
        <v>37.613</v>
      </c>
      <c r="G242" s="2">
        <v>38.498</v>
      </c>
      <c r="H242" s="2">
        <v>39.392</v>
      </c>
      <c r="I242" s="2">
        <v>40.294</v>
      </c>
      <c r="J242" s="2">
        <v>41.203</v>
      </c>
      <c r="K242" s="2">
        <v>42.115</v>
      </c>
      <c r="L242" s="2">
        <v>43.035</v>
      </c>
      <c r="M242" s="2">
        <v>43.959</v>
      </c>
      <c r="N242" s="2">
        <v>44.888</v>
      </c>
      <c r="O242" s="2">
        <v>45.819</v>
      </c>
      <c r="P242" s="2">
        <v>46.754</v>
      </c>
      <c r="Q242" s="2">
        <v>47.691</v>
      </c>
      <c r="R242" s="2">
        <v>48.631</v>
      </c>
      <c r="S242" s="2">
        <v>49.57</v>
      </c>
      <c r="T242" s="2">
        <v>50.51</v>
      </c>
      <c r="U242" s="2">
        <v>51.449</v>
      </c>
      <c r="V242" s="2">
        <v>52.284</v>
      </c>
      <c r="W242" s="2">
        <v>52.468</v>
      </c>
      <c r="X242" s="2">
        <v>52.653</v>
      </c>
      <c r="Y242" s="2">
        <v>52.837</v>
      </c>
      <c r="Z242" s="2">
        <v>53.021</v>
      </c>
      <c r="AA242" s="2">
        <v>53.205</v>
      </c>
      <c r="AB242" s="2">
        <v>53.389</v>
      </c>
      <c r="AC242" s="2">
        <v>53.573</v>
      </c>
      <c r="AD242" s="2">
        <v>53.757</v>
      </c>
      <c r="AE242" s="2">
        <v>53.941</v>
      </c>
      <c r="AF242" s="2">
        <v>54.124</v>
      </c>
      <c r="AG242" s="2">
        <v>54.308</v>
      </c>
      <c r="AH242" s="2">
        <v>54.491</v>
      </c>
      <c r="AI242" s="2">
        <v>54.674</v>
      </c>
      <c r="AJ242" s="2">
        <v>54.857</v>
      </c>
      <c r="AK242" s="2">
        <v>55.04</v>
      </c>
      <c r="AL242" s="2">
        <v>55.224</v>
      </c>
      <c r="AM242" s="2">
        <v>55.406</v>
      </c>
      <c r="AN242" s="2">
        <v>55.589</v>
      </c>
      <c r="AO242" s="2">
        <v>55.771</v>
      </c>
      <c r="AP242" s="2">
        <v>55.905</v>
      </c>
      <c r="AQ242" s="2">
        <v>55.718</v>
      </c>
      <c r="AR242" s="2">
        <v>55.53</v>
      </c>
      <c r="AS242" s="2">
        <v>55.343</v>
      </c>
      <c r="AT242" s="2">
        <v>55.155</v>
      </c>
      <c r="AU242" s="2">
        <v>54.967</v>
      </c>
      <c r="AV242" s="2">
        <v>54.779</v>
      </c>
      <c r="AW242" s="2">
        <v>54.59</v>
      </c>
      <c r="AX242" s="2">
        <v>54.402</v>
      </c>
      <c r="AY242" s="2">
        <v>54.213</v>
      </c>
      <c r="AZ242" s="2">
        <v>54.025</v>
      </c>
      <c r="BA242" s="2">
        <v>53.836</v>
      </c>
      <c r="BB242" s="2">
        <v>53.671</v>
      </c>
      <c r="BC242" s="2">
        <v>53.53</v>
      </c>
      <c r="BD242" s="2">
        <v>53.413</v>
      </c>
      <c r="BE242" s="2">
        <v>53.319</v>
      </c>
      <c r="BF242" s="2">
        <v>53.25</v>
      </c>
      <c r="BG242" s="2">
        <v>53.205</v>
      </c>
      <c r="BH242" s="2">
        <v>53.184</v>
      </c>
      <c r="BI242" s="2">
        <v>53.187</v>
      </c>
      <c r="BJ242" s="2">
        <v>53.214</v>
      </c>
      <c r="BK242" s="2">
        <v>53.265</v>
      </c>
      <c r="BL242" s="2">
        <v>53.34</v>
      </c>
      <c r="BM242" s="2">
        <v>53.439</v>
      </c>
      <c r="BN242" s="2">
        <v>53.562</v>
      </c>
      <c r="BO242" s="2">
        <v>3285.832</v>
      </c>
    </row>
    <row r="243" ht="14.25" customHeight="1">
      <c r="A243" s="2" t="s">
        <v>118</v>
      </c>
      <c r="B243" s="2">
        <v>37.511</v>
      </c>
      <c r="C243" s="2">
        <v>37.95</v>
      </c>
      <c r="D243" s="2">
        <v>38.391</v>
      </c>
      <c r="E243" s="2">
        <v>38.833</v>
      </c>
      <c r="F243" s="2">
        <v>39.279</v>
      </c>
      <c r="G243" s="2">
        <v>39.724</v>
      </c>
      <c r="H243" s="2">
        <v>40.23</v>
      </c>
      <c r="I243" s="2">
        <v>41.036</v>
      </c>
      <c r="J243" s="2">
        <v>41.848</v>
      </c>
      <c r="K243" s="2">
        <v>42.662</v>
      </c>
      <c r="L243" s="2">
        <v>43.482</v>
      </c>
      <c r="M243" s="2">
        <v>44.305</v>
      </c>
      <c r="N243" s="2">
        <v>45.132</v>
      </c>
      <c r="O243" s="2">
        <v>45.959</v>
      </c>
      <c r="P243" s="2">
        <v>46.79</v>
      </c>
      <c r="Q243" s="2">
        <v>47.588</v>
      </c>
      <c r="R243" s="2">
        <v>48.184</v>
      </c>
      <c r="S243" s="2">
        <v>48.779</v>
      </c>
      <c r="T243" s="2">
        <v>49.375</v>
      </c>
      <c r="U243" s="2">
        <v>49.972</v>
      </c>
      <c r="V243" s="2">
        <v>50.569</v>
      </c>
      <c r="W243" s="2">
        <v>51.164</v>
      </c>
      <c r="X243" s="2">
        <v>51.76</v>
      </c>
      <c r="Y243" s="2">
        <v>52.356</v>
      </c>
      <c r="Z243" s="2">
        <v>53.011</v>
      </c>
      <c r="AA243" s="2">
        <v>53.839</v>
      </c>
      <c r="AB243" s="2">
        <v>54.667</v>
      </c>
      <c r="AC243" s="2">
        <v>55.491</v>
      </c>
      <c r="AD243" s="2">
        <v>56.314</v>
      </c>
      <c r="AE243" s="2">
        <v>57.131</v>
      </c>
      <c r="AF243" s="2">
        <v>57.946</v>
      </c>
      <c r="AG243" s="2">
        <v>58.756</v>
      </c>
      <c r="AH243" s="2">
        <v>59.562</v>
      </c>
      <c r="AI243" s="2">
        <v>60.362</v>
      </c>
      <c r="AJ243" s="2">
        <v>61.078</v>
      </c>
      <c r="AK243" s="2">
        <v>61.474</v>
      </c>
      <c r="AL243" s="2">
        <v>61.87</v>
      </c>
      <c r="AM243" s="2">
        <v>62.262</v>
      </c>
      <c r="AN243" s="2">
        <v>62.653</v>
      </c>
      <c r="AO243" s="2">
        <v>63.043</v>
      </c>
      <c r="AP243" s="2">
        <v>63.432</v>
      </c>
      <c r="AQ243" s="2">
        <v>63.818</v>
      </c>
      <c r="AR243" s="2">
        <v>64.202</v>
      </c>
      <c r="AS243" s="2">
        <v>64.585</v>
      </c>
      <c r="AT243" s="2">
        <v>64.95</v>
      </c>
      <c r="AU243" s="2">
        <v>65.237</v>
      </c>
      <c r="AV243" s="2">
        <v>65.524</v>
      </c>
      <c r="AW243" s="2">
        <v>65.809</v>
      </c>
      <c r="AX243" s="2">
        <v>66.093</v>
      </c>
      <c r="AY243" s="2">
        <v>66.376</v>
      </c>
      <c r="AZ243" s="2">
        <v>66.657</v>
      </c>
      <c r="BA243" s="2">
        <v>66.938</v>
      </c>
      <c r="BB243" s="2">
        <v>67.218</v>
      </c>
      <c r="BC243" s="2">
        <v>67.495</v>
      </c>
      <c r="BD243" s="2">
        <v>67.772</v>
      </c>
      <c r="BE243" s="2">
        <v>68.056</v>
      </c>
      <c r="BF243" s="2">
        <v>68.346</v>
      </c>
      <c r="BG243" s="2">
        <v>68.642</v>
      </c>
      <c r="BH243" s="2">
        <v>68.945</v>
      </c>
      <c r="BI243" s="2">
        <v>69.254</v>
      </c>
      <c r="BJ243" s="2">
        <v>69.568</v>
      </c>
      <c r="BK243" s="2">
        <v>69.888</v>
      </c>
      <c r="BL243" s="2">
        <v>70.214</v>
      </c>
      <c r="BM243" s="2">
        <v>70.544</v>
      </c>
      <c r="BN243" s="2">
        <v>70.88</v>
      </c>
      <c r="BO243" s="2">
        <v>3692.781</v>
      </c>
    </row>
    <row r="244" ht="14.25" customHeight="1">
      <c r="A244" s="2" t="s">
        <v>495</v>
      </c>
      <c r="B244" s="2">
        <v>31.515</v>
      </c>
      <c r="C244" s="2">
        <v>32.064</v>
      </c>
      <c r="D244" s="2">
        <v>32.598</v>
      </c>
      <c r="E244" s="2">
        <v>33.137</v>
      </c>
      <c r="F244" s="2">
        <v>33.68</v>
      </c>
      <c r="G244" s="2">
        <v>34.227</v>
      </c>
      <c r="H244" s="2">
        <v>34.949</v>
      </c>
      <c r="I244" s="2">
        <v>35.759</v>
      </c>
      <c r="J244" s="2">
        <v>36.577</v>
      </c>
      <c r="K244" s="2">
        <v>37.401</v>
      </c>
      <c r="L244" s="2">
        <v>38.234</v>
      </c>
      <c r="M244" s="2">
        <v>38.945</v>
      </c>
      <c r="N244" s="2">
        <v>39.6</v>
      </c>
      <c r="O244" s="2">
        <v>40.258</v>
      </c>
      <c r="P244" s="2">
        <v>40.92</v>
      </c>
      <c r="Q244" s="2">
        <v>41.586</v>
      </c>
      <c r="R244" s="2">
        <v>42.087</v>
      </c>
      <c r="S244" s="2">
        <v>42.508</v>
      </c>
      <c r="T244" s="2">
        <v>42.931</v>
      </c>
      <c r="U244" s="2">
        <v>43.355</v>
      </c>
      <c r="V244" s="2">
        <v>43.78</v>
      </c>
      <c r="W244" s="2">
        <v>45.189</v>
      </c>
      <c r="X244" s="2">
        <v>46.997</v>
      </c>
      <c r="Y244" s="2">
        <v>48.812</v>
      </c>
      <c r="Z244" s="2">
        <v>50.634</v>
      </c>
      <c r="AA244" s="2">
        <v>52.448</v>
      </c>
      <c r="AB244" s="2">
        <v>53.93</v>
      </c>
      <c r="AC244" s="2">
        <v>55.261</v>
      </c>
      <c r="AD244" s="2">
        <v>56.587</v>
      </c>
      <c r="AE244" s="2">
        <v>57.899</v>
      </c>
      <c r="AF244" s="2">
        <v>59.203</v>
      </c>
      <c r="AG244" s="2">
        <v>59.976</v>
      </c>
      <c r="AH244" s="2">
        <v>60.518</v>
      </c>
      <c r="AI244" s="2">
        <v>61.055</v>
      </c>
      <c r="AJ244" s="2">
        <v>61.59</v>
      </c>
      <c r="AK244" s="2">
        <v>62.123</v>
      </c>
      <c r="AL244" s="2">
        <v>62.653</v>
      </c>
      <c r="AM244" s="2">
        <v>63.179</v>
      </c>
      <c r="AN244" s="2">
        <v>63.703</v>
      </c>
      <c r="AO244" s="2">
        <v>64.223</v>
      </c>
      <c r="AP244" s="2">
        <v>64.741</v>
      </c>
      <c r="AQ244" s="2">
        <v>65.34</v>
      </c>
      <c r="AR244" s="2">
        <v>65.974</v>
      </c>
      <c r="AS244" s="2">
        <v>66.602</v>
      </c>
      <c r="AT244" s="2">
        <v>67.225</v>
      </c>
      <c r="AU244" s="2">
        <v>67.84</v>
      </c>
      <c r="AV244" s="2">
        <v>68.45</v>
      </c>
      <c r="AW244" s="2">
        <v>69.053</v>
      </c>
      <c r="AX244" s="2">
        <v>69.651</v>
      </c>
      <c r="AY244" s="2">
        <v>70.241</v>
      </c>
      <c r="AZ244" s="2">
        <v>70.825</v>
      </c>
      <c r="BA244" s="2">
        <v>71.402</v>
      </c>
      <c r="BB244" s="2">
        <v>71.974</v>
      </c>
      <c r="BC244" s="2">
        <v>72.531</v>
      </c>
      <c r="BD244" s="2">
        <v>73.077</v>
      </c>
      <c r="BE244" s="2">
        <v>73.611</v>
      </c>
      <c r="BF244" s="2">
        <v>74.134</v>
      </c>
      <c r="BG244" s="2">
        <v>74.644</v>
      </c>
      <c r="BH244" s="2">
        <v>75.143</v>
      </c>
      <c r="BI244" s="2">
        <v>75.63</v>
      </c>
      <c r="BJ244" s="2">
        <v>76.105</v>
      </c>
      <c r="BK244" s="2">
        <v>76.569</v>
      </c>
      <c r="BL244" s="2">
        <v>77.022</v>
      </c>
      <c r="BM244" s="2">
        <v>77.463</v>
      </c>
      <c r="BN244" s="2">
        <v>77.893</v>
      </c>
      <c r="BO244" s="2">
        <v>3675.231</v>
      </c>
    </row>
    <row r="245" ht="14.25" customHeight="1">
      <c r="A245" s="2" t="s">
        <v>496</v>
      </c>
      <c r="B245" s="2">
        <v>46.412</v>
      </c>
      <c r="C245" s="2">
        <v>46.557</v>
      </c>
      <c r="D245" s="2">
        <v>46.702</v>
      </c>
      <c r="E245" s="2">
        <v>46.848</v>
      </c>
      <c r="F245" s="2">
        <v>46.993</v>
      </c>
      <c r="G245" s="2">
        <v>47.139</v>
      </c>
      <c r="H245" s="2">
        <v>47.284</v>
      </c>
      <c r="I245" s="2">
        <v>47.43</v>
      </c>
      <c r="J245" s="2">
        <v>47.575</v>
      </c>
      <c r="K245" s="2">
        <v>47.721</v>
      </c>
      <c r="L245" s="2">
        <v>47.78</v>
      </c>
      <c r="M245" s="2">
        <v>47.735</v>
      </c>
      <c r="N245" s="2">
        <v>47.691</v>
      </c>
      <c r="O245" s="2">
        <v>47.646</v>
      </c>
      <c r="P245" s="2">
        <v>47.602</v>
      </c>
      <c r="Q245" s="2">
        <v>47.557</v>
      </c>
      <c r="R245" s="2">
        <v>47.513</v>
      </c>
      <c r="S245" s="2">
        <v>47.469</v>
      </c>
      <c r="T245" s="2">
        <v>47.424</v>
      </c>
      <c r="U245" s="2">
        <v>47.299</v>
      </c>
      <c r="V245" s="2">
        <v>47.078</v>
      </c>
      <c r="W245" s="2">
        <v>46.858</v>
      </c>
      <c r="X245" s="2">
        <v>46.637</v>
      </c>
      <c r="Y245" s="2">
        <v>46.417</v>
      </c>
      <c r="Z245" s="2">
        <v>46.196</v>
      </c>
      <c r="AA245" s="2">
        <v>45.976</v>
      </c>
      <c r="AB245" s="2">
        <v>45.757</v>
      </c>
      <c r="AC245" s="2">
        <v>45.537</v>
      </c>
      <c r="AD245" s="2">
        <v>45.317</v>
      </c>
      <c r="AE245" s="2">
        <v>45.16</v>
      </c>
      <c r="AF245" s="2">
        <v>45.075</v>
      </c>
      <c r="AG245" s="2">
        <v>44.99</v>
      </c>
      <c r="AH245" s="2">
        <v>44.904</v>
      </c>
      <c r="AI245" s="2">
        <v>44.819</v>
      </c>
      <c r="AJ245" s="2">
        <v>44.734</v>
      </c>
      <c r="AK245" s="2">
        <v>44.794</v>
      </c>
      <c r="AL245" s="2">
        <v>45.018</v>
      </c>
      <c r="AM245" s="2">
        <v>45.241</v>
      </c>
      <c r="AN245" s="2">
        <v>45.465</v>
      </c>
      <c r="AO245" s="2">
        <v>45.689</v>
      </c>
      <c r="AP245" s="2">
        <v>45.913</v>
      </c>
      <c r="AQ245" s="2">
        <v>46.137</v>
      </c>
      <c r="AR245" s="2">
        <v>46.362</v>
      </c>
      <c r="AS245" s="2">
        <v>46.587</v>
      </c>
      <c r="AT245" s="2">
        <v>46.812</v>
      </c>
      <c r="AU245" s="2">
        <v>47.052</v>
      </c>
      <c r="AV245" s="2">
        <v>47.308</v>
      </c>
      <c r="AW245" s="2">
        <v>47.581</v>
      </c>
      <c r="AX245" s="2">
        <v>47.868</v>
      </c>
      <c r="AY245" s="2">
        <v>48.172</v>
      </c>
      <c r="AZ245" s="2">
        <v>48.491</v>
      </c>
      <c r="BA245" s="2">
        <v>48.825</v>
      </c>
      <c r="BB245" s="2">
        <v>49.175</v>
      </c>
      <c r="BC245" s="2">
        <v>49.541</v>
      </c>
      <c r="BD245" s="2">
        <v>49.921</v>
      </c>
      <c r="BE245" s="2">
        <v>50.317</v>
      </c>
      <c r="BF245" s="2">
        <v>50.728</v>
      </c>
      <c r="BG245" s="2">
        <v>51.153</v>
      </c>
      <c r="BH245" s="2">
        <v>51.593</v>
      </c>
      <c r="BI245" s="2">
        <v>52.048</v>
      </c>
      <c r="BJ245" s="2">
        <v>52.516</v>
      </c>
      <c r="BK245" s="2">
        <v>52.998</v>
      </c>
      <c r="BL245" s="2">
        <v>53.494</v>
      </c>
      <c r="BM245" s="2">
        <v>54.003</v>
      </c>
      <c r="BN245" s="2">
        <v>54.524</v>
      </c>
      <c r="BO245" s="2">
        <v>3097.158</v>
      </c>
    </row>
    <row r="246" ht="14.25" customHeight="1">
      <c r="A246" s="2" t="s">
        <v>577</v>
      </c>
      <c r="B246" s="2">
        <v>47.679</v>
      </c>
      <c r="C246" s="2">
        <v>48.021</v>
      </c>
      <c r="D246" s="2">
        <v>48.364</v>
      </c>
      <c r="E246" s="2">
        <v>48.706</v>
      </c>
      <c r="F246" s="2">
        <v>49.049</v>
      </c>
      <c r="G246" s="2">
        <v>49.392</v>
      </c>
      <c r="H246" s="2">
        <v>49.734</v>
      </c>
      <c r="I246" s="2">
        <v>50.077</v>
      </c>
      <c r="J246" s="2">
        <v>50.42</v>
      </c>
      <c r="K246" s="2">
        <v>50.763</v>
      </c>
      <c r="L246" s="2">
        <v>51.106</v>
      </c>
      <c r="M246" s="2">
        <v>51.487</v>
      </c>
      <c r="N246" s="2">
        <v>51.882</v>
      </c>
      <c r="O246" s="2">
        <v>52.275</v>
      </c>
      <c r="P246" s="2">
        <v>52.669</v>
      </c>
      <c r="Q246" s="2">
        <v>53.063</v>
      </c>
      <c r="R246" s="2">
        <v>53.456</v>
      </c>
      <c r="S246" s="2">
        <v>53.848</v>
      </c>
      <c r="T246" s="2">
        <v>54.24</v>
      </c>
      <c r="U246" s="2">
        <v>54.632</v>
      </c>
      <c r="V246" s="2">
        <v>55.259</v>
      </c>
      <c r="W246" s="2">
        <v>57.358</v>
      </c>
      <c r="X246" s="2">
        <v>59.435</v>
      </c>
      <c r="Y246" s="2">
        <v>61.478</v>
      </c>
      <c r="Z246" s="2">
        <v>63.484</v>
      </c>
      <c r="AA246" s="2">
        <v>65.439</v>
      </c>
      <c r="AB246" s="2">
        <v>67.345</v>
      </c>
      <c r="AC246" s="2">
        <v>69.197</v>
      </c>
      <c r="AD246" s="2">
        <v>70.99</v>
      </c>
      <c r="AE246" s="2">
        <v>72.716</v>
      </c>
      <c r="AF246" s="2">
        <v>74.343</v>
      </c>
      <c r="AG246" s="2">
        <v>75.537</v>
      </c>
      <c r="AH246" s="2">
        <v>76.694</v>
      </c>
      <c r="AI246" s="2">
        <v>77.81</v>
      </c>
      <c r="AJ246" s="2">
        <v>78.888</v>
      </c>
      <c r="AK246" s="2">
        <v>79.928</v>
      </c>
      <c r="AL246" s="2">
        <v>80.93</v>
      </c>
      <c r="AM246" s="2">
        <v>81.89</v>
      </c>
      <c r="AN246" s="2">
        <v>82.814</v>
      </c>
      <c r="AO246" s="2">
        <v>83.7</v>
      </c>
      <c r="AP246" s="2">
        <v>84.55</v>
      </c>
      <c r="AQ246" s="2">
        <v>85.362</v>
      </c>
      <c r="AR246" s="2">
        <v>86.007</v>
      </c>
      <c r="AS246" s="2">
        <v>86.608</v>
      </c>
      <c r="AT246" s="2">
        <v>87.188</v>
      </c>
      <c r="AU246" s="2">
        <v>87.745</v>
      </c>
      <c r="AV246" s="2">
        <v>88.281</v>
      </c>
      <c r="AW246" s="2">
        <v>88.797</v>
      </c>
      <c r="AX246" s="2">
        <v>89.294</v>
      </c>
      <c r="AY246" s="2">
        <v>89.77</v>
      </c>
      <c r="AZ246" s="2">
        <v>90.228</v>
      </c>
      <c r="BA246" s="2">
        <v>90.668</v>
      </c>
      <c r="BB246" s="2">
        <v>91.09</v>
      </c>
      <c r="BC246" s="2">
        <v>91.483</v>
      </c>
      <c r="BD246" s="2">
        <v>91.851</v>
      </c>
      <c r="BE246" s="2">
        <v>92.195</v>
      </c>
      <c r="BF246" s="2">
        <v>92.517</v>
      </c>
      <c r="BG246" s="2">
        <v>92.817</v>
      </c>
      <c r="BH246" s="2">
        <v>93.098</v>
      </c>
      <c r="BI246" s="2">
        <v>93.36</v>
      </c>
      <c r="BJ246" s="2">
        <v>93.605</v>
      </c>
      <c r="BK246" s="2">
        <v>93.834</v>
      </c>
      <c r="BL246" s="2">
        <v>94.047</v>
      </c>
      <c r="BM246" s="2">
        <v>94.247</v>
      </c>
      <c r="BN246" s="2">
        <v>94.433</v>
      </c>
      <c r="BO246" s="2">
        <v>4719.172999999999</v>
      </c>
    </row>
    <row r="247" ht="14.25" customHeight="1">
      <c r="A247" s="2" t="s">
        <v>578</v>
      </c>
      <c r="B247" s="2">
        <v>15.895</v>
      </c>
      <c r="C247" s="2">
        <v>16.444</v>
      </c>
      <c r="D247" s="2">
        <v>17.008</v>
      </c>
      <c r="E247" s="2">
        <v>17.587</v>
      </c>
      <c r="F247" s="2">
        <v>18.183</v>
      </c>
      <c r="G247" s="2">
        <v>18.793</v>
      </c>
      <c r="H247" s="2">
        <v>19.419</v>
      </c>
      <c r="I247" s="2">
        <v>20.061</v>
      </c>
      <c r="J247" s="2">
        <v>20.719</v>
      </c>
      <c r="K247" s="2">
        <v>21.392</v>
      </c>
      <c r="L247" s="2">
        <v>22.081</v>
      </c>
      <c r="M247" s="2">
        <v>22.786</v>
      </c>
      <c r="N247" s="2">
        <v>23.507</v>
      </c>
      <c r="O247" s="2">
        <v>24.242</v>
      </c>
      <c r="P247" s="2">
        <v>24.994</v>
      </c>
      <c r="Q247" s="2">
        <v>25.761</v>
      </c>
      <c r="R247" s="2">
        <v>26.545</v>
      </c>
      <c r="S247" s="2">
        <v>27.341</v>
      </c>
      <c r="T247" s="2">
        <v>28.153</v>
      </c>
      <c r="U247" s="2">
        <v>28.98</v>
      </c>
      <c r="V247" s="2">
        <v>29.822</v>
      </c>
      <c r="W247" s="2">
        <v>30.675</v>
      </c>
      <c r="X247" s="2">
        <v>31.544</v>
      </c>
      <c r="Y247" s="2">
        <v>32.425</v>
      </c>
      <c r="Z247" s="2">
        <v>33.32</v>
      </c>
      <c r="AA247" s="2">
        <v>34.251</v>
      </c>
      <c r="AB247" s="2">
        <v>35.496</v>
      </c>
      <c r="AC247" s="2">
        <v>36.762</v>
      </c>
      <c r="AD247" s="2">
        <v>38.047</v>
      </c>
      <c r="AE247" s="2">
        <v>39.346</v>
      </c>
      <c r="AF247" s="2">
        <v>40.661</v>
      </c>
      <c r="AG247" s="2">
        <v>41.991</v>
      </c>
      <c r="AH247" s="2">
        <v>42.751</v>
      </c>
      <c r="AI247" s="2">
        <v>43.156</v>
      </c>
      <c r="AJ247" s="2">
        <v>43.563</v>
      </c>
      <c r="AK247" s="2">
        <v>43.97</v>
      </c>
      <c r="AL247" s="2">
        <v>44.379</v>
      </c>
      <c r="AM247" s="2">
        <v>44.787</v>
      </c>
      <c r="AN247" s="2">
        <v>45.197</v>
      </c>
      <c r="AO247" s="2">
        <v>45.607</v>
      </c>
      <c r="AP247" s="2">
        <v>46.018</v>
      </c>
      <c r="AQ247" s="2">
        <v>46.429</v>
      </c>
      <c r="AR247" s="2">
        <v>46.841</v>
      </c>
      <c r="AS247" s="2">
        <v>47.656</v>
      </c>
      <c r="AT247" s="2">
        <v>48.678</v>
      </c>
      <c r="AU247" s="2">
        <v>49.699</v>
      </c>
      <c r="AV247" s="2">
        <v>50.721</v>
      </c>
      <c r="AW247" s="2">
        <v>51.743</v>
      </c>
      <c r="AX247" s="2">
        <v>52.765</v>
      </c>
      <c r="AY247" s="2">
        <v>53.782</v>
      </c>
      <c r="AZ247" s="2">
        <v>54.796</v>
      </c>
      <c r="BA247" s="2">
        <v>55.807</v>
      </c>
      <c r="BB247" s="2">
        <v>56.815</v>
      </c>
      <c r="BC247" s="2">
        <v>57.814</v>
      </c>
      <c r="BD247" s="2">
        <v>58.786</v>
      </c>
      <c r="BE247" s="2">
        <v>59.73</v>
      </c>
      <c r="BF247" s="2">
        <v>60.645</v>
      </c>
      <c r="BG247" s="2">
        <v>61.53</v>
      </c>
      <c r="BH247" s="2">
        <v>62.387</v>
      </c>
      <c r="BI247" s="2">
        <v>63.215</v>
      </c>
      <c r="BJ247" s="2">
        <v>64.014</v>
      </c>
      <c r="BK247" s="2">
        <v>64.785</v>
      </c>
      <c r="BL247" s="2">
        <v>65.527</v>
      </c>
      <c r="BM247" s="2">
        <v>66.241</v>
      </c>
      <c r="BN247" s="2">
        <v>66.928</v>
      </c>
      <c r="BO247" s="2">
        <v>2630.9930000000004</v>
      </c>
    </row>
    <row r="248" ht="14.25" customHeight="1">
      <c r="A248" s="2" t="s">
        <v>120</v>
      </c>
      <c r="B248" s="2">
        <v>4.417</v>
      </c>
      <c r="C248" s="2">
        <v>4.617</v>
      </c>
      <c r="D248" s="2">
        <v>4.826</v>
      </c>
      <c r="E248" s="2">
        <v>5.045</v>
      </c>
      <c r="F248" s="2">
        <v>5.273</v>
      </c>
      <c r="G248" s="2">
        <v>5.509</v>
      </c>
      <c r="H248" s="2">
        <v>5.757</v>
      </c>
      <c r="I248" s="2">
        <v>6.014</v>
      </c>
      <c r="J248" s="2">
        <v>6.283</v>
      </c>
      <c r="K248" s="2">
        <v>6.562</v>
      </c>
      <c r="L248" s="2">
        <v>6.664</v>
      </c>
      <c r="M248" s="2">
        <v>6.737</v>
      </c>
      <c r="N248" s="2">
        <v>6.812</v>
      </c>
      <c r="O248" s="2">
        <v>6.887</v>
      </c>
      <c r="P248" s="2">
        <v>6.963</v>
      </c>
      <c r="Q248" s="2">
        <v>7.04</v>
      </c>
      <c r="R248" s="2">
        <v>7.118</v>
      </c>
      <c r="S248" s="2">
        <v>7.197</v>
      </c>
      <c r="T248" s="2">
        <v>7.276</v>
      </c>
      <c r="U248" s="2">
        <v>7.356</v>
      </c>
      <c r="V248" s="2">
        <v>7.534</v>
      </c>
      <c r="W248" s="2">
        <v>7.834</v>
      </c>
      <c r="X248" s="2">
        <v>8.147</v>
      </c>
      <c r="Y248" s="2">
        <v>8.47</v>
      </c>
      <c r="Z248" s="2">
        <v>8.805</v>
      </c>
      <c r="AA248" s="2">
        <v>9.152</v>
      </c>
      <c r="AB248" s="2">
        <v>9.511</v>
      </c>
      <c r="AC248" s="2">
        <v>9.882</v>
      </c>
      <c r="AD248" s="2">
        <v>10.267</v>
      </c>
      <c r="AE248" s="2">
        <v>10.665</v>
      </c>
      <c r="AF248" s="2">
        <v>11.076</v>
      </c>
      <c r="AG248" s="2">
        <v>11.454</v>
      </c>
      <c r="AH248" s="2">
        <v>11.79</v>
      </c>
      <c r="AI248" s="2">
        <v>12.133</v>
      </c>
      <c r="AJ248" s="2">
        <v>12.485</v>
      </c>
      <c r="AK248" s="2">
        <v>12.846</v>
      </c>
      <c r="AL248" s="2">
        <v>13.216</v>
      </c>
      <c r="AM248" s="2">
        <v>13.594</v>
      </c>
      <c r="AN248" s="2">
        <v>13.982</v>
      </c>
      <c r="AO248" s="2">
        <v>14.379</v>
      </c>
      <c r="AP248" s="2">
        <v>14.786</v>
      </c>
      <c r="AQ248" s="2">
        <v>15.201</v>
      </c>
      <c r="AR248" s="2">
        <v>15.626</v>
      </c>
      <c r="AS248" s="2">
        <v>16.061</v>
      </c>
      <c r="AT248" s="2">
        <v>16.507</v>
      </c>
      <c r="AU248" s="2">
        <v>16.96</v>
      </c>
      <c r="AV248" s="2">
        <v>17.425</v>
      </c>
      <c r="AW248" s="2">
        <v>17.899</v>
      </c>
      <c r="AX248" s="2">
        <v>18.384</v>
      </c>
      <c r="AY248" s="2">
        <v>18.878</v>
      </c>
      <c r="AZ248" s="2">
        <v>19.383</v>
      </c>
      <c r="BA248" s="2">
        <v>19.898</v>
      </c>
      <c r="BB248" s="2">
        <v>20.424</v>
      </c>
      <c r="BC248" s="2">
        <v>20.958</v>
      </c>
      <c r="BD248" s="2">
        <v>21.504</v>
      </c>
      <c r="BE248" s="2">
        <v>22.06</v>
      </c>
      <c r="BF248" s="2">
        <v>22.624</v>
      </c>
      <c r="BG248" s="2">
        <v>23.196</v>
      </c>
      <c r="BH248" s="2">
        <v>23.774</v>
      </c>
      <c r="BI248" s="2">
        <v>24.361</v>
      </c>
      <c r="BJ248" s="2">
        <v>24.954</v>
      </c>
      <c r="BK248" s="2">
        <v>25.553</v>
      </c>
      <c r="BL248" s="2">
        <v>26.159</v>
      </c>
      <c r="BM248" s="2">
        <v>26.771</v>
      </c>
      <c r="BN248" s="2">
        <v>27.389</v>
      </c>
      <c r="BO248" s="2">
        <v>858.31</v>
      </c>
    </row>
    <row r="249" ht="14.25" customHeight="1">
      <c r="A249" s="2" t="s">
        <v>497</v>
      </c>
      <c r="B249" s="2">
        <v>46.792</v>
      </c>
      <c r="C249" s="2">
        <v>47.542</v>
      </c>
      <c r="D249" s="2">
        <v>48.294</v>
      </c>
      <c r="E249" s="2">
        <v>49.046</v>
      </c>
      <c r="F249" s="2">
        <v>49.8</v>
      </c>
      <c r="G249" s="2">
        <v>50.649</v>
      </c>
      <c r="H249" s="2">
        <v>51.499</v>
      </c>
      <c r="I249" s="2">
        <v>52.348</v>
      </c>
      <c r="J249" s="2">
        <v>53.197</v>
      </c>
      <c r="K249" s="2">
        <v>54.042</v>
      </c>
      <c r="L249" s="2">
        <v>54.831</v>
      </c>
      <c r="M249" s="2">
        <v>55.552</v>
      </c>
      <c r="N249" s="2">
        <v>56.272</v>
      </c>
      <c r="O249" s="2">
        <v>56.987</v>
      </c>
      <c r="P249" s="2">
        <v>57.7</v>
      </c>
      <c r="Q249" s="2">
        <v>58.389</v>
      </c>
      <c r="R249" s="2">
        <v>59.075</v>
      </c>
      <c r="S249" s="2">
        <v>59.756</v>
      </c>
      <c r="T249" s="2">
        <v>60.434</v>
      </c>
      <c r="U249" s="2">
        <v>61.081</v>
      </c>
      <c r="V249" s="2">
        <v>61.693</v>
      </c>
      <c r="W249" s="2">
        <v>62.3</v>
      </c>
      <c r="X249" s="2">
        <v>62.904</v>
      </c>
      <c r="Y249" s="2">
        <v>63.504</v>
      </c>
      <c r="Z249" s="2">
        <v>64.1</v>
      </c>
      <c r="AA249" s="2">
        <v>64.681</v>
      </c>
      <c r="AB249" s="2">
        <v>65.258</v>
      </c>
      <c r="AC249" s="2">
        <v>65.83</v>
      </c>
      <c r="AD249" s="2">
        <v>66.399</v>
      </c>
      <c r="AE249" s="2">
        <v>66.718</v>
      </c>
      <c r="AF249" s="2">
        <v>66.757</v>
      </c>
      <c r="AG249" s="2">
        <v>66.796</v>
      </c>
      <c r="AH249" s="2">
        <v>66.835</v>
      </c>
      <c r="AI249" s="2">
        <v>66.874</v>
      </c>
      <c r="AJ249" s="2">
        <v>66.912</v>
      </c>
      <c r="AK249" s="2">
        <v>66.951</v>
      </c>
      <c r="AL249" s="2">
        <v>66.99</v>
      </c>
      <c r="AM249" s="2">
        <v>67.029</v>
      </c>
      <c r="AN249" s="2">
        <v>67.067</v>
      </c>
      <c r="AO249" s="2">
        <v>67.106</v>
      </c>
      <c r="AP249" s="2">
        <v>67.145</v>
      </c>
      <c r="AQ249" s="2">
        <v>67.183</v>
      </c>
      <c r="AR249" s="2">
        <v>67.283</v>
      </c>
      <c r="AS249" s="2">
        <v>67.427</v>
      </c>
      <c r="AT249" s="2">
        <v>67.597</v>
      </c>
      <c r="AU249" s="2">
        <v>67.79</v>
      </c>
      <c r="AV249" s="2">
        <v>67.969</v>
      </c>
      <c r="AW249" s="2">
        <v>68.147</v>
      </c>
      <c r="AX249" s="2">
        <v>68.325</v>
      </c>
      <c r="AY249" s="2">
        <v>68.502</v>
      </c>
      <c r="AZ249" s="2">
        <v>68.596</v>
      </c>
      <c r="BA249" s="2">
        <v>68.689</v>
      </c>
      <c r="BB249" s="2">
        <v>68.782</v>
      </c>
      <c r="BC249" s="2">
        <v>68.875</v>
      </c>
      <c r="BD249" s="2">
        <v>68.968</v>
      </c>
      <c r="BE249" s="2">
        <v>69.061</v>
      </c>
      <c r="BF249" s="2">
        <v>69.154</v>
      </c>
      <c r="BG249" s="2">
        <v>69.246</v>
      </c>
      <c r="BH249" s="2">
        <v>69.352</v>
      </c>
      <c r="BI249" s="2">
        <v>69.473</v>
      </c>
      <c r="BJ249" s="2">
        <v>69.608</v>
      </c>
      <c r="BK249" s="2">
        <v>69.757</v>
      </c>
      <c r="BL249" s="2">
        <v>69.919</v>
      </c>
      <c r="BM249" s="2">
        <v>70.095</v>
      </c>
      <c r="BN249" s="2">
        <v>70.284</v>
      </c>
      <c r="BO249" s="2">
        <v>4113.217</v>
      </c>
    </row>
    <row r="250" ht="14.25" customHeight="1">
      <c r="A250" s="2" t="s">
        <v>498</v>
      </c>
      <c r="B250" s="2">
        <v>73.5</v>
      </c>
      <c r="C250" s="2">
        <v>74.383</v>
      </c>
      <c r="D250" s="2">
        <v>75.248</v>
      </c>
      <c r="E250" s="2">
        <v>76.093</v>
      </c>
      <c r="F250" s="2">
        <v>76.919</v>
      </c>
      <c r="G250" s="2">
        <v>77.723</v>
      </c>
      <c r="H250" s="2">
        <v>78.508</v>
      </c>
      <c r="I250" s="2">
        <v>79.272</v>
      </c>
      <c r="J250" s="2">
        <v>79.8</v>
      </c>
      <c r="K250" s="2">
        <v>79.8</v>
      </c>
      <c r="L250" s="2">
        <v>79.8</v>
      </c>
      <c r="M250" s="2">
        <v>79.8</v>
      </c>
      <c r="N250" s="2">
        <v>79.8</v>
      </c>
      <c r="O250" s="2">
        <v>79.8</v>
      </c>
      <c r="P250" s="2">
        <v>79.8</v>
      </c>
      <c r="Q250" s="2">
        <v>79.8</v>
      </c>
      <c r="R250" s="2">
        <v>79.903</v>
      </c>
      <c r="S250" s="2">
        <v>80.106</v>
      </c>
      <c r="T250" s="2">
        <v>80.309</v>
      </c>
      <c r="U250" s="2">
        <v>80.51</v>
      </c>
      <c r="V250" s="2">
        <v>80.71</v>
      </c>
      <c r="W250" s="2">
        <v>80.683</v>
      </c>
      <c r="X250" s="2">
        <v>80.466</v>
      </c>
      <c r="Y250" s="2">
        <v>80.247</v>
      </c>
      <c r="Z250" s="2">
        <v>80.026</v>
      </c>
      <c r="AA250" s="2">
        <v>79.804</v>
      </c>
      <c r="AB250" s="2">
        <v>79.624</v>
      </c>
      <c r="AC250" s="2">
        <v>79.482</v>
      </c>
      <c r="AD250" s="2">
        <v>79.339</v>
      </c>
      <c r="AE250" s="2">
        <v>79.196</v>
      </c>
      <c r="AF250" s="2">
        <v>79.051</v>
      </c>
      <c r="AG250" s="2">
        <v>78.906</v>
      </c>
      <c r="AH250" s="2">
        <v>78.76</v>
      </c>
      <c r="AI250" s="2">
        <v>78.614</v>
      </c>
      <c r="AJ250" s="2">
        <v>78.467</v>
      </c>
      <c r="AK250" s="2">
        <v>78.319</v>
      </c>
      <c r="AL250" s="2">
        <v>78.493</v>
      </c>
      <c r="AM250" s="2">
        <v>78.938</v>
      </c>
      <c r="AN250" s="2">
        <v>79.378</v>
      </c>
      <c r="AO250" s="2">
        <v>79.81</v>
      </c>
      <c r="AP250" s="2">
        <v>80.236</v>
      </c>
      <c r="AQ250" s="2">
        <v>80.655</v>
      </c>
      <c r="AR250" s="2">
        <v>81.067</v>
      </c>
      <c r="AS250" s="2">
        <v>81.472</v>
      </c>
      <c r="AT250" s="2">
        <v>81.871</v>
      </c>
      <c r="AU250" s="2">
        <v>82.262</v>
      </c>
      <c r="AV250" s="2">
        <v>82.648</v>
      </c>
      <c r="AW250" s="2">
        <v>83.023</v>
      </c>
      <c r="AX250" s="2">
        <v>83.387</v>
      </c>
      <c r="AY250" s="2">
        <v>83.742</v>
      </c>
      <c r="AZ250" s="2">
        <v>84.087</v>
      </c>
      <c r="BA250" s="2">
        <v>84.423</v>
      </c>
      <c r="BB250" s="2">
        <v>84.749</v>
      </c>
      <c r="BC250" s="2">
        <v>85.066</v>
      </c>
      <c r="BD250" s="2">
        <v>85.375</v>
      </c>
      <c r="BE250" s="2">
        <v>85.674</v>
      </c>
      <c r="BF250" s="2">
        <v>85.965</v>
      </c>
      <c r="BG250" s="2">
        <v>86.248</v>
      </c>
      <c r="BH250" s="2">
        <v>86.522</v>
      </c>
      <c r="BI250" s="2">
        <v>86.789</v>
      </c>
      <c r="BJ250" s="2">
        <v>87.048</v>
      </c>
      <c r="BK250" s="2">
        <v>87.299</v>
      </c>
      <c r="BL250" s="2">
        <v>87.543</v>
      </c>
      <c r="BM250" s="2">
        <v>87.779</v>
      </c>
      <c r="BN250" s="2">
        <v>88.008</v>
      </c>
      <c r="BO250" s="2">
        <v>5272.125</v>
      </c>
    </row>
    <row r="251" ht="14.25" customHeight="1">
      <c r="A251" s="2" t="s">
        <v>121</v>
      </c>
      <c r="B251" s="2">
        <v>78.444</v>
      </c>
      <c r="C251" s="2">
        <v>78.374</v>
      </c>
      <c r="D251" s="2">
        <v>78.237</v>
      </c>
      <c r="E251" s="2">
        <v>78.099</v>
      </c>
      <c r="F251" s="2">
        <v>77.96</v>
      </c>
      <c r="G251" s="2">
        <v>77.821</v>
      </c>
      <c r="H251" s="2">
        <v>77.682</v>
      </c>
      <c r="I251" s="2">
        <v>77.541</v>
      </c>
      <c r="J251" s="2">
        <v>77.4</v>
      </c>
      <c r="K251" s="2">
        <v>77.259</v>
      </c>
      <c r="L251" s="2">
        <v>77.117</v>
      </c>
      <c r="M251" s="2">
        <v>77.03</v>
      </c>
      <c r="N251" s="2">
        <v>77.195</v>
      </c>
      <c r="O251" s="2">
        <v>77.358</v>
      </c>
      <c r="P251" s="2">
        <v>77.521</v>
      </c>
      <c r="Q251" s="2">
        <v>77.683</v>
      </c>
      <c r="R251" s="2">
        <v>77.844</v>
      </c>
      <c r="S251" s="2">
        <v>78.005</v>
      </c>
      <c r="T251" s="2">
        <v>78.164</v>
      </c>
      <c r="U251" s="2">
        <v>78.323</v>
      </c>
      <c r="V251" s="2">
        <v>78.481</v>
      </c>
      <c r="W251" s="2">
        <v>78.588</v>
      </c>
      <c r="X251" s="2">
        <v>78.539</v>
      </c>
      <c r="Y251" s="2">
        <v>78.489</v>
      </c>
      <c r="Z251" s="2">
        <v>78.44</v>
      </c>
      <c r="AA251" s="2">
        <v>78.39</v>
      </c>
      <c r="AB251" s="2">
        <v>78.34</v>
      </c>
      <c r="AC251" s="2">
        <v>78.29</v>
      </c>
      <c r="AD251" s="2">
        <v>78.24</v>
      </c>
      <c r="AE251" s="2">
        <v>78.19</v>
      </c>
      <c r="AF251" s="2">
        <v>78.14</v>
      </c>
      <c r="AG251" s="2">
        <v>78.112</v>
      </c>
      <c r="AH251" s="2">
        <v>78.172</v>
      </c>
      <c r="AI251" s="2">
        <v>78.232</v>
      </c>
      <c r="AJ251" s="2">
        <v>78.293</v>
      </c>
      <c r="AK251" s="2">
        <v>78.353</v>
      </c>
      <c r="AL251" s="2">
        <v>78.413</v>
      </c>
      <c r="AM251" s="2">
        <v>78.472</v>
      </c>
      <c r="AN251" s="2">
        <v>78.532</v>
      </c>
      <c r="AO251" s="2">
        <v>78.591</v>
      </c>
      <c r="AP251" s="2">
        <v>78.651</v>
      </c>
      <c r="AQ251" s="2">
        <v>78.751</v>
      </c>
      <c r="AR251" s="2">
        <v>79.047</v>
      </c>
      <c r="AS251" s="2">
        <v>79.339</v>
      </c>
      <c r="AT251" s="2">
        <v>79.629</v>
      </c>
      <c r="AU251" s="2">
        <v>79.915</v>
      </c>
      <c r="AV251" s="2">
        <v>80.199</v>
      </c>
      <c r="AW251" s="2">
        <v>80.479</v>
      </c>
      <c r="AX251" s="2">
        <v>80.757</v>
      </c>
      <c r="AY251" s="2">
        <v>81.031</v>
      </c>
      <c r="AZ251" s="2">
        <v>81.302</v>
      </c>
      <c r="BA251" s="2">
        <v>81.57</v>
      </c>
      <c r="BB251" s="2">
        <v>81.837</v>
      </c>
      <c r="BC251" s="2">
        <v>82.102</v>
      </c>
      <c r="BD251" s="2">
        <v>82.365</v>
      </c>
      <c r="BE251" s="2">
        <v>82.626</v>
      </c>
      <c r="BF251" s="2">
        <v>82.886</v>
      </c>
      <c r="BG251" s="2">
        <v>83.143</v>
      </c>
      <c r="BH251" s="2">
        <v>83.398</v>
      </c>
      <c r="BI251" s="2">
        <v>83.652</v>
      </c>
      <c r="BJ251" s="2">
        <v>83.903</v>
      </c>
      <c r="BK251" s="2">
        <v>84.152</v>
      </c>
      <c r="BL251" s="2">
        <v>84.398</v>
      </c>
      <c r="BM251" s="2">
        <v>84.642</v>
      </c>
      <c r="BN251" s="2">
        <v>84.884</v>
      </c>
      <c r="BO251" s="2">
        <v>5167.0120000000015</v>
      </c>
    </row>
    <row r="252" ht="14.25" customHeight="1">
      <c r="A252" s="2" t="s">
        <v>499</v>
      </c>
      <c r="B252" s="2">
        <v>69.996</v>
      </c>
      <c r="C252" s="2">
        <v>70.377</v>
      </c>
      <c r="D252" s="2">
        <v>70.757</v>
      </c>
      <c r="E252" s="2">
        <v>71.134</v>
      </c>
      <c r="F252" s="2">
        <v>71.508</v>
      </c>
      <c r="G252" s="2">
        <v>71.879</v>
      </c>
      <c r="H252" s="2">
        <v>72.247</v>
      </c>
      <c r="I252" s="2">
        <v>72.612</v>
      </c>
      <c r="J252" s="2">
        <v>72.974</v>
      </c>
      <c r="K252" s="2">
        <v>73.333</v>
      </c>
      <c r="L252" s="2">
        <v>73.602</v>
      </c>
      <c r="M252" s="2">
        <v>73.613</v>
      </c>
      <c r="N252" s="2">
        <v>73.623</v>
      </c>
      <c r="O252" s="2">
        <v>73.633</v>
      </c>
      <c r="P252" s="2">
        <v>73.643</v>
      </c>
      <c r="Q252" s="2">
        <v>73.653</v>
      </c>
      <c r="R252" s="2">
        <v>73.663</v>
      </c>
      <c r="S252" s="2">
        <v>73.673</v>
      </c>
      <c r="T252" s="2">
        <v>73.682</v>
      </c>
      <c r="U252" s="2">
        <v>73.692</v>
      </c>
      <c r="V252" s="2">
        <v>73.738</v>
      </c>
      <c r="W252" s="2">
        <v>73.89</v>
      </c>
      <c r="X252" s="2">
        <v>74.042</v>
      </c>
      <c r="Y252" s="2">
        <v>74.194</v>
      </c>
      <c r="Z252" s="2">
        <v>74.344</v>
      </c>
      <c r="AA252" s="2">
        <v>74.494</v>
      </c>
      <c r="AB252" s="2">
        <v>74.644</v>
      </c>
      <c r="AC252" s="2">
        <v>74.793</v>
      </c>
      <c r="AD252" s="2">
        <v>74.942</v>
      </c>
      <c r="AE252" s="2">
        <v>75.089</v>
      </c>
      <c r="AF252" s="2">
        <v>75.3</v>
      </c>
      <c r="AG252" s="2">
        <v>75.701</v>
      </c>
      <c r="AH252" s="2">
        <v>76.097</v>
      </c>
      <c r="AI252" s="2">
        <v>76.488</v>
      </c>
      <c r="AJ252" s="2">
        <v>76.875</v>
      </c>
      <c r="AK252" s="2">
        <v>77.257</v>
      </c>
      <c r="AL252" s="2">
        <v>77.636</v>
      </c>
      <c r="AM252" s="2">
        <v>78.008</v>
      </c>
      <c r="AN252" s="2">
        <v>78.377</v>
      </c>
      <c r="AO252" s="2">
        <v>78.742</v>
      </c>
      <c r="AP252" s="2">
        <v>79.057</v>
      </c>
      <c r="AQ252" s="2">
        <v>79.234</v>
      </c>
      <c r="AR252" s="2">
        <v>79.409</v>
      </c>
      <c r="AS252" s="2">
        <v>79.583</v>
      </c>
      <c r="AT252" s="2">
        <v>79.757</v>
      </c>
      <c r="AU252" s="2">
        <v>79.928</v>
      </c>
      <c r="AV252" s="2">
        <v>80.099</v>
      </c>
      <c r="AW252" s="2">
        <v>80.269</v>
      </c>
      <c r="AX252" s="2">
        <v>80.438</v>
      </c>
      <c r="AY252" s="2">
        <v>80.606</v>
      </c>
      <c r="AZ252" s="2">
        <v>80.772</v>
      </c>
      <c r="BA252" s="2">
        <v>80.944</v>
      </c>
      <c r="BB252" s="2">
        <v>81.119</v>
      </c>
      <c r="BC252" s="2">
        <v>81.299</v>
      </c>
      <c r="BD252" s="2">
        <v>81.483</v>
      </c>
      <c r="BE252" s="2">
        <v>81.671</v>
      </c>
      <c r="BF252" s="2">
        <v>81.862</v>
      </c>
      <c r="BG252" s="2">
        <v>82.058</v>
      </c>
      <c r="BH252" s="2">
        <v>82.256</v>
      </c>
      <c r="BI252" s="2">
        <v>82.459</v>
      </c>
      <c r="BJ252" s="2">
        <v>82.664</v>
      </c>
      <c r="BK252" s="2">
        <v>82.873</v>
      </c>
      <c r="BL252" s="2">
        <v>83.084</v>
      </c>
      <c r="BM252" s="2">
        <v>83.298</v>
      </c>
      <c r="BN252" s="2">
        <v>83.515</v>
      </c>
      <c r="BO252" s="2">
        <v>4997.682</v>
      </c>
    </row>
    <row r="253" ht="14.25" customHeight="1">
      <c r="A253" s="2" t="s">
        <v>136</v>
      </c>
      <c r="B253" s="2">
        <v>24.8989893360932</v>
      </c>
      <c r="C253" s="2">
        <v>25.6361869732645</v>
      </c>
      <c r="D253" s="2">
        <v>26.2936386341787</v>
      </c>
      <c r="E253" s="2">
        <v>26.8749477859864</v>
      </c>
      <c r="F253" s="2">
        <v>27.4683326758015</v>
      </c>
      <c r="G253" s="2">
        <v>27.6273226570074</v>
      </c>
      <c r="H253" s="2">
        <v>27.787173528484</v>
      </c>
      <c r="I253" s="2">
        <v>27.9713606277491</v>
      </c>
      <c r="J253" s="2">
        <v>28.1517004093377</v>
      </c>
      <c r="K253" s="2">
        <v>28.320652454515</v>
      </c>
      <c r="L253" s="2">
        <v>28.4835818829274</v>
      </c>
      <c r="M253" s="2">
        <v>28.661984320025</v>
      </c>
      <c r="N253" s="2">
        <v>28.8696297962134</v>
      </c>
      <c r="O253" s="2">
        <v>29.1488295873718</v>
      </c>
      <c r="P253" s="2">
        <v>29.5014696879887</v>
      </c>
      <c r="Q253" s="2">
        <v>29.8721714750146</v>
      </c>
      <c r="R253" s="2">
        <v>30.2292485676853</v>
      </c>
      <c r="S253" s="2">
        <v>30.5994399220586</v>
      </c>
      <c r="T253" s="2">
        <v>31.1554121083901</v>
      </c>
      <c r="U253" s="2">
        <v>31.8975193430744</v>
      </c>
      <c r="V253" s="2">
        <v>32.6558617899955</v>
      </c>
      <c r="W253" s="2">
        <v>33.4492931844057</v>
      </c>
      <c r="X253" s="2">
        <v>34.2489848017302</v>
      </c>
      <c r="Y253" s="2">
        <v>34.9648477011848</v>
      </c>
      <c r="Z253" s="2">
        <v>35.7007643940878</v>
      </c>
      <c r="AA253" s="2">
        <v>36.4335464176786</v>
      </c>
      <c r="AB253" s="2">
        <v>37.1576782772838</v>
      </c>
      <c r="AC253" s="2">
        <v>37.8704624446426</v>
      </c>
      <c r="AD253" s="2">
        <v>38.579112169077</v>
      </c>
      <c r="AE253" s="2">
        <v>39.2828603454973</v>
      </c>
      <c r="AF253" s="2">
        <v>39.9776058156997</v>
      </c>
      <c r="AG253" s="2">
        <v>40.7279894020778</v>
      </c>
      <c r="AH253" s="2">
        <v>41.4997525661298</v>
      </c>
      <c r="AI253" s="2">
        <v>42.2814071157936</v>
      </c>
      <c r="AJ253" s="2">
        <v>43.0683414486198</v>
      </c>
      <c r="AK253" s="2">
        <v>43.8645108681499</v>
      </c>
      <c r="AL253" s="2">
        <v>44.6679234847697</v>
      </c>
      <c r="AM253" s="2">
        <v>45.4779634386195</v>
      </c>
      <c r="AN253" s="2">
        <v>46.303847270035</v>
      </c>
      <c r="AO253" s="2">
        <v>47.1431954639712</v>
      </c>
      <c r="AP253" s="2">
        <v>48.0028485838759</v>
      </c>
      <c r="AQ253" s="2">
        <v>48.9290185291645</v>
      </c>
      <c r="AR253" s="2">
        <v>49.9147948276724</v>
      </c>
      <c r="AS253" s="2">
        <v>50.9125967928276</v>
      </c>
      <c r="AT253" s="2">
        <v>51.9225000959743</v>
      </c>
      <c r="AU253" s="2">
        <v>52.9341924501053</v>
      </c>
      <c r="AV253" s="2">
        <v>53.9229782302225</v>
      </c>
      <c r="AW253" s="2">
        <v>54.894490459213</v>
      </c>
      <c r="AX253" s="2">
        <v>55.8744061025031</v>
      </c>
      <c r="AY253" s="2">
        <v>56.8533836982897</v>
      </c>
      <c r="AZ253" s="2">
        <v>57.8288638787137</v>
      </c>
      <c r="BA253" s="2">
        <v>58.7397694793089</v>
      </c>
      <c r="BB253" s="2">
        <v>59.621376611654</v>
      </c>
      <c r="BC253" s="2">
        <v>60.4981478897378</v>
      </c>
      <c r="BD253" s="2">
        <v>61.3711709586362</v>
      </c>
      <c r="BE253" s="2">
        <v>62.2388361971035</v>
      </c>
      <c r="BF253" s="2">
        <v>63.1000058814832</v>
      </c>
      <c r="BG253" s="2">
        <v>63.9507157731989</v>
      </c>
      <c r="BH253" s="2">
        <v>64.787702639662</v>
      </c>
      <c r="BI253" s="2">
        <v>65.6044451357591</v>
      </c>
      <c r="BJ253" s="2">
        <v>66.3956775359329</v>
      </c>
      <c r="BK253" s="2">
        <v>67.1643769563542</v>
      </c>
      <c r="BL253" s="2">
        <v>67.912611922517</v>
      </c>
      <c r="BM253" s="2">
        <v>68.6394470063492</v>
      </c>
      <c r="BN253" s="2">
        <v>69.3460465073935</v>
      </c>
      <c r="BO253" s="2">
        <v>2846.1659443162694</v>
      </c>
    </row>
    <row r="254" ht="14.25" customHeight="1">
      <c r="A254" s="2" t="s">
        <v>122</v>
      </c>
      <c r="B254" s="2">
        <v>80.241</v>
      </c>
      <c r="C254" s="2">
        <v>80.462</v>
      </c>
      <c r="D254" s="2">
        <v>80.681</v>
      </c>
      <c r="E254" s="2">
        <v>80.899</v>
      </c>
      <c r="F254" s="2">
        <v>81.114</v>
      </c>
      <c r="G254" s="2">
        <v>81.328</v>
      </c>
      <c r="H254" s="2">
        <v>81.539</v>
      </c>
      <c r="I254" s="2">
        <v>81.749</v>
      </c>
      <c r="J254" s="2">
        <v>81.958</v>
      </c>
      <c r="K254" s="2">
        <v>82.164</v>
      </c>
      <c r="L254" s="2">
        <v>82.368</v>
      </c>
      <c r="M254" s="2">
        <v>82.57</v>
      </c>
      <c r="N254" s="2">
        <v>82.771</v>
      </c>
      <c r="O254" s="2">
        <v>82.97</v>
      </c>
      <c r="P254" s="2">
        <v>83.167</v>
      </c>
      <c r="Q254" s="2">
        <v>83.387</v>
      </c>
      <c r="R254" s="2">
        <v>83.806</v>
      </c>
      <c r="S254" s="2">
        <v>84.215</v>
      </c>
      <c r="T254" s="2">
        <v>84.616</v>
      </c>
      <c r="U254" s="2">
        <v>85.009</v>
      </c>
      <c r="V254" s="2">
        <v>85.394</v>
      </c>
      <c r="W254" s="2">
        <v>85.769</v>
      </c>
      <c r="X254" s="2">
        <v>86.138</v>
      </c>
      <c r="Y254" s="2">
        <v>86.498</v>
      </c>
      <c r="Z254" s="2">
        <v>86.85</v>
      </c>
      <c r="AA254" s="2">
        <v>87.194</v>
      </c>
      <c r="AB254" s="2">
        <v>87.558</v>
      </c>
      <c r="AC254" s="2">
        <v>87.926</v>
      </c>
      <c r="AD254" s="2">
        <v>88.285</v>
      </c>
      <c r="AE254" s="2">
        <v>88.633</v>
      </c>
      <c r="AF254" s="2">
        <v>88.973</v>
      </c>
      <c r="AG254" s="2">
        <v>89.304</v>
      </c>
      <c r="AH254" s="2">
        <v>89.627</v>
      </c>
      <c r="AI254" s="2">
        <v>89.94</v>
      </c>
      <c r="AJ254" s="2">
        <v>90.245</v>
      </c>
      <c r="AK254" s="2">
        <v>90.542</v>
      </c>
      <c r="AL254" s="2">
        <v>90.835</v>
      </c>
      <c r="AM254" s="2">
        <v>91.147</v>
      </c>
      <c r="AN254" s="2">
        <v>91.45</v>
      </c>
      <c r="AO254" s="2">
        <v>91.743</v>
      </c>
      <c r="AP254" s="2">
        <v>92.028</v>
      </c>
      <c r="AQ254" s="2">
        <v>92.303</v>
      </c>
      <c r="AR254" s="2">
        <v>92.569</v>
      </c>
      <c r="AS254" s="2">
        <v>92.828</v>
      </c>
      <c r="AT254" s="2">
        <v>93.078</v>
      </c>
      <c r="AU254" s="2">
        <v>93.319</v>
      </c>
      <c r="AV254" s="2">
        <v>93.553</v>
      </c>
      <c r="AW254" s="2">
        <v>93.779</v>
      </c>
      <c r="AX254" s="2">
        <v>93.998</v>
      </c>
      <c r="AY254" s="2">
        <v>94.209</v>
      </c>
      <c r="AZ254" s="2">
        <v>94.414</v>
      </c>
      <c r="BA254" s="2">
        <v>94.612</v>
      </c>
      <c r="BB254" s="2">
        <v>94.739</v>
      </c>
      <c r="BC254" s="2">
        <v>94.843</v>
      </c>
      <c r="BD254" s="2">
        <v>94.945</v>
      </c>
      <c r="BE254" s="2">
        <v>95.045</v>
      </c>
      <c r="BF254" s="2">
        <v>95.144</v>
      </c>
      <c r="BG254" s="2">
        <v>95.24</v>
      </c>
      <c r="BH254" s="2">
        <v>95.334</v>
      </c>
      <c r="BI254" s="2">
        <v>95.426</v>
      </c>
      <c r="BJ254" s="2">
        <v>95.515</v>
      </c>
      <c r="BK254" s="2">
        <v>95.603</v>
      </c>
      <c r="BL254" s="2">
        <v>95.688</v>
      </c>
      <c r="BM254" s="2">
        <v>95.771</v>
      </c>
      <c r="BN254" s="2">
        <v>95.852</v>
      </c>
      <c r="BO254" s="2">
        <v>5780.899999999997</v>
      </c>
    </row>
    <row r="255" ht="14.25" customHeight="1">
      <c r="A255" s="2" t="s">
        <v>500</v>
      </c>
      <c r="B255" s="2">
        <v>33.978</v>
      </c>
      <c r="C255" s="2">
        <v>34.238</v>
      </c>
      <c r="D255" s="2">
        <v>34.5</v>
      </c>
      <c r="E255" s="2">
        <v>34.762</v>
      </c>
      <c r="F255" s="2">
        <v>35.025</v>
      </c>
      <c r="G255" s="2">
        <v>35.289</v>
      </c>
      <c r="H255" s="2">
        <v>35.554</v>
      </c>
      <c r="I255" s="2">
        <v>35.82</v>
      </c>
      <c r="J255" s="2">
        <v>36.087</v>
      </c>
      <c r="K255" s="2">
        <v>36.354</v>
      </c>
      <c r="L255" s="2">
        <v>36.714</v>
      </c>
      <c r="M255" s="2">
        <v>37.184</v>
      </c>
      <c r="N255" s="2">
        <v>37.657</v>
      </c>
      <c r="O255" s="2">
        <v>38.131</v>
      </c>
      <c r="P255" s="2">
        <v>38.608</v>
      </c>
      <c r="Q255" s="2">
        <v>39.087</v>
      </c>
      <c r="R255" s="2">
        <v>39.568</v>
      </c>
      <c r="S255" s="2">
        <v>40.051</v>
      </c>
      <c r="T255" s="2">
        <v>40.536</v>
      </c>
      <c r="U255" s="2">
        <v>40.794</v>
      </c>
      <c r="V255" s="2">
        <v>40.782</v>
      </c>
      <c r="W255" s="2">
        <v>40.77</v>
      </c>
      <c r="X255" s="2">
        <v>40.758</v>
      </c>
      <c r="Y255" s="2">
        <v>40.746</v>
      </c>
      <c r="Z255" s="2">
        <v>40.734</v>
      </c>
      <c r="AA255" s="2">
        <v>40.722</v>
      </c>
      <c r="AB255" s="2">
        <v>40.71</v>
      </c>
      <c r="AC255" s="2">
        <v>40.697</v>
      </c>
      <c r="AD255" s="2">
        <v>40.685</v>
      </c>
      <c r="AE255" s="2">
        <v>40.897</v>
      </c>
      <c r="AF255" s="2">
        <v>41.365</v>
      </c>
      <c r="AG255" s="2">
        <v>41.836</v>
      </c>
      <c r="AH255" s="2">
        <v>42.308</v>
      </c>
      <c r="AI255" s="2">
        <v>42.78</v>
      </c>
      <c r="AJ255" s="2">
        <v>43.255</v>
      </c>
      <c r="AK255" s="2">
        <v>43.731</v>
      </c>
      <c r="AL255" s="2">
        <v>44.208</v>
      </c>
      <c r="AM255" s="2">
        <v>44.685</v>
      </c>
      <c r="AN255" s="2">
        <v>45.164</v>
      </c>
      <c r="AO255" s="2">
        <v>45.644</v>
      </c>
      <c r="AP255" s="2">
        <v>46.126</v>
      </c>
      <c r="AQ255" s="2">
        <v>46.606</v>
      </c>
      <c r="AR255" s="2">
        <v>47.088</v>
      </c>
      <c r="AS255" s="2">
        <v>47.571</v>
      </c>
      <c r="AT255" s="2">
        <v>48.054</v>
      </c>
      <c r="AU255" s="2">
        <v>48.537</v>
      </c>
      <c r="AV255" s="2">
        <v>49.021</v>
      </c>
      <c r="AW255" s="2">
        <v>49.505</v>
      </c>
      <c r="AX255" s="2">
        <v>49.989</v>
      </c>
      <c r="AY255" s="2">
        <v>50.472</v>
      </c>
      <c r="AZ255" s="2">
        <v>50.956</v>
      </c>
      <c r="BA255" s="2">
        <v>51.15</v>
      </c>
      <c r="BB255" s="2">
        <v>51.05</v>
      </c>
      <c r="BC255" s="2">
        <v>50.95</v>
      </c>
      <c r="BD255" s="2">
        <v>50.85</v>
      </c>
      <c r="BE255" s="2">
        <v>50.75</v>
      </c>
      <c r="BF255" s="2">
        <v>50.65</v>
      </c>
      <c r="BG255" s="2">
        <v>50.55</v>
      </c>
      <c r="BH255" s="2">
        <v>50.478</v>
      </c>
      <c r="BI255" s="2">
        <v>50.433</v>
      </c>
      <c r="BJ255" s="2">
        <v>50.416</v>
      </c>
      <c r="BK255" s="2">
        <v>50.427</v>
      </c>
      <c r="BL255" s="2">
        <v>50.466</v>
      </c>
      <c r="BM255" s="2">
        <v>50.532</v>
      </c>
      <c r="BN255" s="2">
        <v>50.626</v>
      </c>
      <c r="BO255" s="2">
        <v>2825.6670000000013</v>
      </c>
    </row>
    <row r="256" ht="14.25" customHeight="1">
      <c r="A256" s="2" t="s">
        <v>501</v>
      </c>
      <c r="B256" s="2">
        <v>10.404</v>
      </c>
      <c r="C256" s="2">
        <v>10.583</v>
      </c>
      <c r="D256" s="2">
        <v>10.765</v>
      </c>
      <c r="E256" s="2">
        <v>10.95</v>
      </c>
      <c r="F256" s="2">
        <v>11.138</v>
      </c>
      <c r="G256" s="2">
        <v>11.329</v>
      </c>
      <c r="H256" s="2">
        <v>11.522</v>
      </c>
      <c r="I256" s="2">
        <v>11.718</v>
      </c>
      <c r="J256" s="2">
        <v>11.918</v>
      </c>
      <c r="K256" s="2">
        <v>12.12</v>
      </c>
      <c r="L256" s="2">
        <v>12.325</v>
      </c>
      <c r="M256" s="2">
        <v>12.533</v>
      </c>
      <c r="N256" s="2">
        <v>12.744</v>
      </c>
      <c r="O256" s="2">
        <v>12.958</v>
      </c>
      <c r="P256" s="2">
        <v>13.175</v>
      </c>
      <c r="Q256" s="2">
        <v>13.395</v>
      </c>
      <c r="R256" s="2">
        <v>13.619</v>
      </c>
      <c r="S256" s="2">
        <v>13.845</v>
      </c>
      <c r="T256" s="2">
        <v>14.074</v>
      </c>
      <c r="U256" s="2">
        <v>14.368</v>
      </c>
      <c r="V256" s="2">
        <v>14.74</v>
      </c>
      <c r="W256" s="2">
        <v>15.12</v>
      </c>
      <c r="X256" s="2">
        <v>15.508</v>
      </c>
      <c r="Y256" s="2">
        <v>15.905</v>
      </c>
      <c r="Z256" s="2">
        <v>16.31</v>
      </c>
      <c r="AA256" s="2">
        <v>16.722</v>
      </c>
      <c r="AB256" s="2">
        <v>17.143</v>
      </c>
      <c r="AC256" s="2">
        <v>17.573</v>
      </c>
      <c r="AD256" s="2">
        <v>18.011</v>
      </c>
      <c r="AE256" s="2">
        <v>18.435</v>
      </c>
      <c r="AF256" s="2">
        <v>18.715</v>
      </c>
      <c r="AG256" s="2">
        <v>18.998</v>
      </c>
      <c r="AH256" s="2">
        <v>19.285</v>
      </c>
      <c r="AI256" s="2">
        <v>19.574</v>
      </c>
      <c r="AJ256" s="2">
        <v>19.868</v>
      </c>
      <c r="AK256" s="2">
        <v>20.164</v>
      </c>
      <c r="AL256" s="2">
        <v>20.464</v>
      </c>
      <c r="AM256" s="2">
        <v>20.766</v>
      </c>
      <c r="AN256" s="2">
        <v>21.073</v>
      </c>
      <c r="AO256" s="2">
        <v>21.382</v>
      </c>
      <c r="AP256" s="2">
        <v>21.673</v>
      </c>
      <c r="AQ256" s="2">
        <v>21.953</v>
      </c>
      <c r="AR256" s="2">
        <v>22.235</v>
      </c>
      <c r="AS256" s="2">
        <v>22.521</v>
      </c>
      <c r="AT256" s="2">
        <v>22.809</v>
      </c>
      <c r="AU256" s="2">
        <v>23.099</v>
      </c>
      <c r="AV256" s="2">
        <v>23.392</v>
      </c>
      <c r="AW256" s="2">
        <v>23.687</v>
      </c>
      <c r="AX256" s="2">
        <v>23.985</v>
      </c>
      <c r="AY256" s="2">
        <v>24.286</v>
      </c>
      <c r="AZ256" s="2">
        <v>24.462</v>
      </c>
      <c r="BA256" s="2">
        <v>24.561</v>
      </c>
      <c r="BB256" s="2">
        <v>24.661</v>
      </c>
      <c r="BC256" s="2">
        <v>24.761</v>
      </c>
      <c r="BD256" s="2">
        <v>24.861</v>
      </c>
      <c r="BE256" s="2">
        <v>24.961</v>
      </c>
      <c r="BF256" s="2">
        <v>25.062</v>
      </c>
      <c r="BG256" s="2">
        <v>25.163</v>
      </c>
      <c r="BH256" s="2">
        <v>25.274</v>
      </c>
      <c r="BI256" s="2">
        <v>25.394</v>
      </c>
      <c r="BJ256" s="2">
        <v>25.525</v>
      </c>
      <c r="BK256" s="2">
        <v>25.665</v>
      </c>
      <c r="BL256" s="2">
        <v>25.816</v>
      </c>
      <c r="BM256" s="2">
        <v>25.976</v>
      </c>
      <c r="BN256" s="2">
        <v>26.147</v>
      </c>
      <c r="BO256" s="2">
        <v>1219.1680000000001</v>
      </c>
    </row>
    <row r="257" ht="14.25" customHeight="1">
      <c r="A257" s="2" t="s">
        <v>123</v>
      </c>
      <c r="B257" s="2">
        <v>61.613</v>
      </c>
      <c r="C257" s="2">
        <v>62.875</v>
      </c>
      <c r="D257" s="2">
        <v>63.933</v>
      </c>
      <c r="E257" s="2">
        <v>64.977</v>
      </c>
      <c r="F257" s="2">
        <v>66.009</v>
      </c>
      <c r="G257" s="2">
        <v>67.022</v>
      </c>
      <c r="H257" s="2">
        <v>68.022</v>
      </c>
      <c r="I257" s="2">
        <v>69.005</v>
      </c>
      <c r="J257" s="2">
        <v>69.973</v>
      </c>
      <c r="K257" s="2">
        <v>70.92</v>
      </c>
      <c r="L257" s="2">
        <v>71.852</v>
      </c>
      <c r="M257" s="2">
        <v>72.764</v>
      </c>
      <c r="N257" s="2">
        <v>73.575</v>
      </c>
      <c r="O257" s="2">
        <v>74.325</v>
      </c>
      <c r="P257" s="2">
        <v>75.063</v>
      </c>
      <c r="Q257" s="2">
        <v>75.786</v>
      </c>
      <c r="R257" s="2">
        <v>76.496</v>
      </c>
      <c r="S257" s="2">
        <v>77.189</v>
      </c>
      <c r="T257" s="2">
        <v>77.868</v>
      </c>
      <c r="U257" s="2">
        <v>78.533</v>
      </c>
      <c r="V257" s="2">
        <v>79.185</v>
      </c>
      <c r="W257" s="2">
        <v>79.82</v>
      </c>
      <c r="X257" s="2">
        <v>80.382</v>
      </c>
      <c r="Y257" s="2">
        <v>80.907</v>
      </c>
      <c r="Z257" s="2">
        <v>81.422</v>
      </c>
      <c r="AA257" s="2">
        <v>81.925</v>
      </c>
      <c r="AB257" s="2">
        <v>82.418</v>
      </c>
      <c r="AC257" s="2">
        <v>82.9</v>
      </c>
      <c r="AD257" s="2">
        <v>83.372</v>
      </c>
      <c r="AE257" s="2">
        <v>83.833</v>
      </c>
      <c r="AF257" s="2">
        <v>84.284</v>
      </c>
      <c r="AG257" s="2">
        <v>84.664</v>
      </c>
      <c r="AH257" s="2">
        <v>85.012</v>
      </c>
      <c r="AI257" s="2">
        <v>85.352</v>
      </c>
      <c r="AJ257" s="2">
        <v>85.686</v>
      </c>
      <c r="AK257" s="2">
        <v>86.014</v>
      </c>
      <c r="AL257" s="2">
        <v>86.336</v>
      </c>
      <c r="AM257" s="2">
        <v>86.65</v>
      </c>
      <c r="AN257" s="2">
        <v>86.959</v>
      </c>
      <c r="AO257" s="2">
        <v>87.262</v>
      </c>
      <c r="AP257" s="2">
        <v>87.559</v>
      </c>
      <c r="AQ257" s="2">
        <v>87.85</v>
      </c>
      <c r="AR257" s="2">
        <v>87.876</v>
      </c>
      <c r="AS257" s="2">
        <v>87.902</v>
      </c>
      <c r="AT257" s="2">
        <v>87.928</v>
      </c>
      <c r="AU257" s="2">
        <v>87.954</v>
      </c>
      <c r="AV257" s="2">
        <v>87.98</v>
      </c>
      <c r="AW257" s="2">
        <v>88.006</v>
      </c>
      <c r="AX257" s="2">
        <v>88.031</v>
      </c>
      <c r="AY257" s="2">
        <v>88.057</v>
      </c>
      <c r="AZ257" s="2">
        <v>88.083</v>
      </c>
      <c r="BA257" s="2">
        <v>88.108</v>
      </c>
      <c r="BB257" s="2">
        <v>88.123</v>
      </c>
      <c r="BC257" s="2">
        <v>88.133</v>
      </c>
      <c r="BD257" s="2">
        <v>88.144</v>
      </c>
      <c r="BE257" s="2">
        <v>88.154</v>
      </c>
      <c r="BF257" s="2">
        <v>88.165</v>
      </c>
      <c r="BG257" s="2">
        <v>88.183</v>
      </c>
      <c r="BH257" s="2">
        <v>88.208</v>
      </c>
      <c r="BI257" s="2">
        <v>88.24</v>
      </c>
      <c r="BJ257" s="2">
        <v>88.279</v>
      </c>
      <c r="BK257" s="2">
        <v>88.325</v>
      </c>
      <c r="BL257" s="2">
        <v>88.378</v>
      </c>
      <c r="BM257" s="2">
        <v>88.438</v>
      </c>
      <c r="BN257" s="2">
        <v>88.505</v>
      </c>
      <c r="BO257" s="2">
        <v>5294.791999999999</v>
      </c>
    </row>
    <row r="258" ht="14.25" customHeight="1">
      <c r="A258" s="2" t="s">
        <v>502</v>
      </c>
      <c r="B258" s="2">
        <v>14.7</v>
      </c>
      <c r="C258" s="2">
        <v>15.031</v>
      </c>
      <c r="D258" s="2">
        <v>15.369</v>
      </c>
      <c r="E258" s="2">
        <v>15.714</v>
      </c>
      <c r="F258" s="2">
        <v>16.064</v>
      </c>
      <c r="G258" s="2">
        <v>16.421</v>
      </c>
      <c r="H258" s="2">
        <v>16.784</v>
      </c>
      <c r="I258" s="2">
        <v>17.153</v>
      </c>
      <c r="J258" s="2">
        <v>17.529</v>
      </c>
      <c r="K258" s="2">
        <v>17.911</v>
      </c>
      <c r="L258" s="2">
        <v>18.3</v>
      </c>
      <c r="M258" s="2">
        <v>18.396</v>
      </c>
      <c r="N258" s="2">
        <v>18.492</v>
      </c>
      <c r="O258" s="2">
        <v>18.588</v>
      </c>
      <c r="P258" s="2">
        <v>18.685</v>
      </c>
      <c r="Q258" s="2">
        <v>18.782</v>
      </c>
      <c r="R258" s="2">
        <v>18.88</v>
      </c>
      <c r="S258" s="2">
        <v>18.978</v>
      </c>
      <c r="T258" s="2">
        <v>19.076</v>
      </c>
      <c r="U258" s="2">
        <v>19.175</v>
      </c>
      <c r="V258" s="2">
        <v>19.247</v>
      </c>
      <c r="W258" s="2">
        <v>19.309</v>
      </c>
      <c r="X258" s="2">
        <v>19.372</v>
      </c>
      <c r="Y258" s="2">
        <v>19.435</v>
      </c>
      <c r="Z258" s="2">
        <v>19.498</v>
      </c>
      <c r="AA258" s="2">
        <v>19.561</v>
      </c>
      <c r="AB258" s="2">
        <v>19.625</v>
      </c>
      <c r="AC258" s="2">
        <v>19.688</v>
      </c>
      <c r="AD258" s="2">
        <v>19.752</v>
      </c>
      <c r="AE258" s="2">
        <v>19.891</v>
      </c>
      <c r="AF258" s="2">
        <v>20.257</v>
      </c>
      <c r="AG258" s="2">
        <v>20.629</v>
      </c>
      <c r="AH258" s="2">
        <v>21.006</v>
      </c>
      <c r="AI258" s="2">
        <v>21.387</v>
      </c>
      <c r="AJ258" s="2">
        <v>21.774</v>
      </c>
      <c r="AK258" s="2">
        <v>22.166</v>
      </c>
      <c r="AL258" s="2">
        <v>22.563</v>
      </c>
      <c r="AM258" s="2">
        <v>22.965</v>
      </c>
      <c r="AN258" s="2">
        <v>23.371</v>
      </c>
      <c r="AO258" s="2">
        <v>23.817</v>
      </c>
      <c r="AP258" s="2">
        <v>24.374</v>
      </c>
      <c r="AQ258" s="2">
        <v>24.937</v>
      </c>
      <c r="AR258" s="2">
        <v>25.511</v>
      </c>
      <c r="AS258" s="2">
        <v>26.092</v>
      </c>
      <c r="AT258" s="2">
        <v>26.683</v>
      </c>
      <c r="AU258" s="2">
        <v>27.281</v>
      </c>
      <c r="AV258" s="2">
        <v>27.888</v>
      </c>
      <c r="AW258" s="2">
        <v>28.504</v>
      </c>
      <c r="AX258" s="2">
        <v>29.128</v>
      </c>
      <c r="AY258" s="2">
        <v>29.762</v>
      </c>
      <c r="AZ258" s="2">
        <v>30.417</v>
      </c>
      <c r="BA258" s="2">
        <v>31.08</v>
      </c>
      <c r="BB258" s="2">
        <v>31.752</v>
      </c>
      <c r="BC258" s="2">
        <v>32.429</v>
      </c>
      <c r="BD258" s="2">
        <v>33.115</v>
      </c>
      <c r="BE258" s="2">
        <v>33.809</v>
      </c>
      <c r="BF258" s="2">
        <v>34.51</v>
      </c>
      <c r="BG258" s="2">
        <v>35.213</v>
      </c>
      <c r="BH258" s="2">
        <v>35.919</v>
      </c>
      <c r="BI258" s="2">
        <v>36.628</v>
      </c>
      <c r="BJ258" s="2">
        <v>37.34</v>
      </c>
      <c r="BK258" s="2">
        <v>38.052</v>
      </c>
      <c r="BL258" s="2">
        <v>38.766</v>
      </c>
      <c r="BM258" s="2">
        <v>39.48</v>
      </c>
      <c r="BN258" s="2">
        <v>40.195</v>
      </c>
      <c r="BO258" s="2">
        <v>1564.2059999999997</v>
      </c>
    </row>
    <row r="259" ht="14.25" customHeight="1">
      <c r="A259" s="2" t="s">
        <v>579</v>
      </c>
      <c r="B259" s="2">
        <v>56.477</v>
      </c>
      <c r="C259" s="2">
        <v>57.864</v>
      </c>
      <c r="D259" s="2">
        <v>59.241</v>
      </c>
      <c r="E259" s="2">
        <v>60.604</v>
      </c>
      <c r="F259" s="2">
        <v>61.952</v>
      </c>
      <c r="G259" s="2">
        <v>63.279</v>
      </c>
      <c r="H259" s="2">
        <v>64.587</v>
      </c>
      <c r="I259" s="2">
        <v>65.874</v>
      </c>
      <c r="J259" s="2">
        <v>67.14</v>
      </c>
      <c r="K259" s="2">
        <v>68.378</v>
      </c>
      <c r="L259" s="2">
        <v>69.592</v>
      </c>
      <c r="M259" s="2">
        <v>70.779</v>
      </c>
      <c r="N259" s="2">
        <v>71.941</v>
      </c>
      <c r="O259" s="2">
        <v>73.07</v>
      </c>
      <c r="P259" s="2">
        <v>74.172</v>
      </c>
      <c r="Q259" s="2">
        <v>75.245</v>
      </c>
      <c r="R259" s="2">
        <v>76.288</v>
      </c>
      <c r="S259" s="2">
        <v>77.298</v>
      </c>
      <c r="T259" s="2">
        <v>78.278</v>
      </c>
      <c r="U259" s="2">
        <v>79.228</v>
      </c>
      <c r="V259" s="2">
        <v>80.147</v>
      </c>
      <c r="W259" s="2">
        <v>81.034</v>
      </c>
      <c r="X259" s="2">
        <v>81.891</v>
      </c>
      <c r="Y259" s="2">
        <v>82.717</v>
      </c>
      <c r="Z259" s="2">
        <v>83.514</v>
      </c>
      <c r="AA259" s="2">
        <v>84.28</v>
      </c>
      <c r="AB259" s="2">
        <v>85.017</v>
      </c>
      <c r="AC259" s="2">
        <v>85.726</v>
      </c>
      <c r="AD259" s="2">
        <v>86.407</v>
      </c>
      <c r="AE259" s="2">
        <v>87.059</v>
      </c>
      <c r="AF259" s="2">
        <v>87.685</v>
      </c>
      <c r="AG259" s="2">
        <v>88.285</v>
      </c>
      <c r="AH259" s="2">
        <v>88.86</v>
      </c>
      <c r="AI259" s="2">
        <v>89.409</v>
      </c>
      <c r="AJ259" s="2">
        <v>89.934</v>
      </c>
      <c r="AK259" s="2">
        <v>90.437</v>
      </c>
      <c r="AL259" s="2">
        <v>90.917</v>
      </c>
      <c r="AM259" s="2">
        <v>91.374</v>
      </c>
      <c r="AN259" s="2">
        <v>91.811</v>
      </c>
      <c r="AO259" s="2">
        <v>92.228</v>
      </c>
      <c r="AP259" s="2">
        <v>92.586</v>
      </c>
      <c r="AQ259" s="2">
        <v>92.814</v>
      </c>
      <c r="AR259" s="2">
        <v>93.036</v>
      </c>
      <c r="AS259" s="2">
        <v>93.251</v>
      </c>
      <c r="AT259" s="2">
        <v>93.461</v>
      </c>
      <c r="AU259" s="2">
        <v>93.664</v>
      </c>
      <c r="AV259" s="2">
        <v>93.861</v>
      </c>
      <c r="AW259" s="2">
        <v>94.053</v>
      </c>
      <c r="AX259" s="2">
        <v>94.239</v>
      </c>
      <c r="AY259" s="2">
        <v>94.419</v>
      </c>
      <c r="AZ259" s="2">
        <v>94.594</v>
      </c>
      <c r="BA259" s="2">
        <v>94.761</v>
      </c>
      <c r="BB259" s="2">
        <v>94.919</v>
      </c>
      <c r="BC259" s="2">
        <v>95.07</v>
      </c>
      <c r="BD259" s="2">
        <v>95.213</v>
      </c>
      <c r="BE259" s="2">
        <v>95.35</v>
      </c>
      <c r="BF259" s="2">
        <v>95.48</v>
      </c>
      <c r="BG259" s="2">
        <v>95.603</v>
      </c>
      <c r="BH259" s="2">
        <v>95.721</v>
      </c>
      <c r="BI259" s="2">
        <v>95.832</v>
      </c>
      <c r="BJ259" s="2">
        <v>95.939</v>
      </c>
      <c r="BK259" s="2">
        <v>96.04</v>
      </c>
      <c r="BL259" s="2">
        <v>96.136</v>
      </c>
      <c r="BM259" s="2">
        <v>96.227</v>
      </c>
      <c r="BN259" s="2">
        <v>96.314</v>
      </c>
      <c r="BO259" s="2">
        <v>5478.602000000001</v>
      </c>
    </row>
    <row r="260" ht="14.25" customHeight="1">
      <c r="A260" s="2" t="s">
        <v>580</v>
      </c>
      <c r="B260" s="2">
        <v>44.044</v>
      </c>
      <c r="C260" s="2">
        <v>44.734</v>
      </c>
      <c r="D260" s="2">
        <v>45.661</v>
      </c>
      <c r="E260" s="2">
        <v>46.737</v>
      </c>
      <c r="F260" s="2">
        <v>47.818</v>
      </c>
      <c r="G260" s="2">
        <v>48.898</v>
      </c>
      <c r="H260" s="2">
        <v>49.98</v>
      </c>
      <c r="I260" s="2">
        <v>51.062</v>
      </c>
      <c r="J260" s="2">
        <v>52.145</v>
      </c>
      <c r="K260" s="2">
        <v>53.222</v>
      </c>
      <c r="L260" s="2">
        <v>54.298</v>
      </c>
      <c r="M260" s="2">
        <v>55.371</v>
      </c>
      <c r="N260" s="2">
        <v>56.439</v>
      </c>
      <c r="O260" s="2">
        <v>57.499</v>
      </c>
      <c r="P260" s="2">
        <v>58.553</v>
      </c>
      <c r="Q260" s="2">
        <v>59.6</v>
      </c>
      <c r="R260" s="2">
        <v>60.164</v>
      </c>
      <c r="S260" s="2">
        <v>60.723</v>
      </c>
      <c r="T260" s="2">
        <v>61.281</v>
      </c>
      <c r="U260" s="2">
        <v>61.836</v>
      </c>
      <c r="V260" s="2">
        <v>62.388</v>
      </c>
      <c r="W260" s="2">
        <v>62.936</v>
      </c>
      <c r="X260" s="2">
        <v>63.481</v>
      </c>
      <c r="Y260" s="2">
        <v>64.022</v>
      </c>
      <c r="Z260" s="2">
        <v>64.561</v>
      </c>
      <c r="AA260" s="2">
        <v>65.095</v>
      </c>
      <c r="AB260" s="2">
        <v>65.626</v>
      </c>
      <c r="AC260" s="2">
        <v>66.152</v>
      </c>
      <c r="AD260" s="2">
        <v>66.676</v>
      </c>
      <c r="AE260" s="2">
        <v>67.194</v>
      </c>
      <c r="AF260" s="2">
        <v>67.709</v>
      </c>
      <c r="AG260" s="2">
        <v>68.219</v>
      </c>
      <c r="AH260" s="2">
        <v>68.726</v>
      </c>
      <c r="AI260" s="2">
        <v>69.227</v>
      </c>
      <c r="AJ260" s="2">
        <v>69.724</v>
      </c>
      <c r="AK260" s="2">
        <v>70.216</v>
      </c>
      <c r="AL260" s="2">
        <v>70.705</v>
      </c>
      <c r="AM260" s="2">
        <v>71.187</v>
      </c>
      <c r="AN260" s="2">
        <v>71.524</v>
      </c>
      <c r="AO260" s="2">
        <v>71.747</v>
      </c>
      <c r="AP260" s="2">
        <v>71.969</v>
      </c>
      <c r="AQ260" s="2">
        <v>72.189</v>
      </c>
      <c r="AR260" s="2">
        <v>72.409</v>
      </c>
      <c r="AS260" s="2">
        <v>72.627</v>
      </c>
      <c r="AT260" s="2">
        <v>72.845</v>
      </c>
      <c r="AU260" s="2">
        <v>73.061</v>
      </c>
      <c r="AV260" s="2">
        <v>73.276</v>
      </c>
      <c r="AW260" s="2">
        <v>73.491</v>
      </c>
      <c r="AX260" s="2">
        <v>73.704</v>
      </c>
      <c r="AY260" s="2">
        <v>73.923</v>
      </c>
      <c r="AZ260" s="2">
        <v>74.149</v>
      </c>
      <c r="BA260" s="2">
        <v>74.381</v>
      </c>
      <c r="BB260" s="2">
        <v>74.619</v>
      </c>
      <c r="BC260" s="2">
        <v>74.863</v>
      </c>
      <c r="BD260" s="2">
        <v>75.113</v>
      </c>
      <c r="BE260" s="2">
        <v>75.368</v>
      </c>
      <c r="BF260" s="2">
        <v>75.628</v>
      </c>
      <c r="BG260" s="2">
        <v>75.894</v>
      </c>
      <c r="BH260" s="2">
        <v>76.164</v>
      </c>
      <c r="BI260" s="2">
        <v>76.44</v>
      </c>
      <c r="BJ260" s="2">
        <v>76.719</v>
      </c>
      <c r="BK260" s="2">
        <v>77.003</v>
      </c>
      <c r="BL260" s="2">
        <v>77.291</v>
      </c>
      <c r="BM260" s="2">
        <v>77.582</v>
      </c>
      <c r="BN260" s="2">
        <v>77.877</v>
      </c>
      <c r="BO260" s="2">
        <v>4285.764999999999</v>
      </c>
    </row>
    <row r="261" ht="14.25" customHeight="1">
      <c r="A261" s="2" t="s">
        <v>581</v>
      </c>
      <c r="B261" s="2">
        <v>33.6513215497821</v>
      </c>
      <c r="C261" s="2">
        <v>34.136808791567</v>
      </c>
      <c r="D261" s="2">
        <v>34.5665624880999</v>
      </c>
      <c r="E261" s="2">
        <v>34.9418512614261</v>
      </c>
      <c r="F261" s="2">
        <v>35.324654158142</v>
      </c>
      <c r="G261" s="2">
        <v>35.5400946352421</v>
      </c>
      <c r="H261" s="2">
        <v>35.736641932133</v>
      </c>
      <c r="I261" s="2">
        <v>35.9458745314617</v>
      </c>
      <c r="J261" s="2">
        <v>36.1511696364289</v>
      </c>
      <c r="K261" s="2">
        <v>36.3478850692388</v>
      </c>
      <c r="L261" s="2">
        <v>36.5355531621223</v>
      </c>
      <c r="M261" s="2">
        <v>36.7327552799715</v>
      </c>
      <c r="N261" s="2">
        <v>36.9422697332404</v>
      </c>
      <c r="O261" s="2">
        <v>37.1715253681946</v>
      </c>
      <c r="P261" s="2">
        <v>37.4304887811547</v>
      </c>
      <c r="Q261" s="2">
        <v>37.6565959291493</v>
      </c>
      <c r="R261" s="2">
        <v>37.908177647821</v>
      </c>
      <c r="S261" s="2">
        <v>38.1671438425654</v>
      </c>
      <c r="T261" s="2">
        <v>38.5035933448801</v>
      </c>
      <c r="U261" s="2">
        <v>38.9065293840653</v>
      </c>
      <c r="V261" s="2">
        <v>39.316794539441</v>
      </c>
      <c r="W261" s="2">
        <v>39.7412674893274</v>
      </c>
      <c r="X261" s="2">
        <v>40.1191962445923</v>
      </c>
      <c r="Y261" s="2">
        <v>40.4611417424096</v>
      </c>
      <c r="Z261" s="2">
        <v>40.816257984505</v>
      </c>
      <c r="AA261" s="2">
        <v>41.1746251998604</v>
      </c>
      <c r="AB261" s="2">
        <v>41.5386821435824</v>
      </c>
      <c r="AC261" s="2">
        <v>41.905895525848</v>
      </c>
      <c r="AD261" s="2">
        <v>42.2724834691009</v>
      </c>
      <c r="AE261" s="2">
        <v>42.6293956605706</v>
      </c>
      <c r="AF261" s="2">
        <v>42.98651219411</v>
      </c>
      <c r="AG261" s="2">
        <v>43.3481589451323</v>
      </c>
      <c r="AH261" s="2">
        <v>43.7088009082785</v>
      </c>
      <c r="AI261" s="2">
        <v>44.0639006806526</v>
      </c>
      <c r="AJ261" s="2">
        <v>44.4218451583491</v>
      </c>
      <c r="AK261" s="2">
        <v>44.7775946824693</v>
      </c>
      <c r="AL261" s="2">
        <v>45.1286132494186</v>
      </c>
      <c r="AM261" s="2">
        <v>45.4841675554663</v>
      </c>
      <c r="AN261" s="2">
        <v>45.8474044437261</v>
      </c>
      <c r="AO261" s="2">
        <v>46.2157291499285</v>
      </c>
      <c r="AP261" s="2">
        <v>46.5947279272757</v>
      </c>
      <c r="AQ261" s="2">
        <v>47.0391420916467</v>
      </c>
      <c r="AR261" s="2">
        <v>47.530174984812</v>
      </c>
      <c r="AS261" s="2">
        <v>48.0243050585954</v>
      </c>
      <c r="AT261" s="2">
        <v>48.5246693011157</v>
      </c>
      <c r="AU261" s="2">
        <v>49.0288904197989</v>
      </c>
      <c r="AV261" s="2">
        <v>49.5243255576512</v>
      </c>
      <c r="AW261" s="2">
        <v>50.0095492883941</v>
      </c>
      <c r="AX261" s="2">
        <v>50.5079440259338</v>
      </c>
      <c r="AY261" s="2">
        <v>50.9982568321664</v>
      </c>
      <c r="AZ261" s="2">
        <v>51.4781088042592</v>
      </c>
      <c r="BA261" s="2">
        <v>51.9239897157903</v>
      </c>
      <c r="BB261" s="2">
        <v>52.3653340141833</v>
      </c>
      <c r="BC261" s="2">
        <v>52.8176002224881</v>
      </c>
      <c r="BD261" s="2">
        <v>53.2720421527374</v>
      </c>
      <c r="BE261" s="2">
        <v>53.7372524306532</v>
      </c>
      <c r="BF261" s="2">
        <v>54.1987359505441</v>
      </c>
      <c r="BG261" s="2">
        <v>54.6501253213613</v>
      </c>
      <c r="BH261" s="2">
        <v>55.0928852332806</v>
      </c>
      <c r="BI261" s="2">
        <v>55.5315178075519</v>
      </c>
      <c r="BJ261" s="2">
        <v>55.962373826161</v>
      </c>
      <c r="BK261" s="2">
        <v>56.3752739801047</v>
      </c>
      <c r="BL261" s="2">
        <v>56.815715402616</v>
      </c>
      <c r="BM261" s="2">
        <v>57.2603934495145</v>
      </c>
      <c r="BN261" s="2">
        <v>57.7006387971638</v>
      </c>
      <c r="BO261" s="2">
        <v>2891.2199360892555</v>
      </c>
    </row>
    <row r="262" ht="14.25" customHeight="1">
      <c r="A262" s="2" t="s">
        <v>124</v>
      </c>
      <c r="B262" s="2">
        <v>9.1</v>
      </c>
      <c r="C262" s="2">
        <v>9.459</v>
      </c>
      <c r="D262" s="2">
        <v>9.831</v>
      </c>
      <c r="E262" s="2">
        <v>10.216</v>
      </c>
      <c r="F262" s="2">
        <v>10.614</v>
      </c>
      <c r="G262" s="2">
        <v>11.026</v>
      </c>
      <c r="H262" s="2">
        <v>11.451</v>
      </c>
      <c r="I262" s="2">
        <v>11.891</v>
      </c>
      <c r="J262" s="2">
        <v>12.347</v>
      </c>
      <c r="K262" s="2">
        <v>12.815</v>
      </c>
      <c r="L262" s="2">
        <v>13.3</v>
      </c>
      <c r="M262" s="2">
        <v>13.598</v>
      </c>
      <c r="N262" s="2">
        <v>13.901</v>
      </c>
      <c r="O262" s="2">
        <v>14.209</v>
      </c>
      <c r="P262" s="2">
        <v>14.524</v>
      </c>
      <c r="Q262" s="2">
        <v>14.844</v>
      </c>
      <c r="R262" s="2">
        <v>15.171</v>
      </c>
      <c r="S262" s="2">
        <v>15.502</v>
      </c>
      <c r="T262" s="2">
        <v>15.84</v>
      </c>
      <c r="U262" s="2">
        <v>16.183</v>
      </c>
      <c r="V262" s="2">
        <v>16.534</v>
      </c>
      <c r="W262" s="2">
        <v>16.889</v>
      </c>
      <c r="X262" s="2">
        <v>17.251</v>
      </c>
      <c r="Y262" s="2">
        <v>17.619</v>
      </c>
      <c r="Z262" s="2">
        <v>17.993</v>
      </c>
      <c r="AA262" s="2">
        <v>18.373</v>
      </c>
      <c r="AB262" s="2">
        <v>18.808</v>
      </c>
      <c r="AC262" s="2">
        <v>19.323</v>
      </c>
      <c r="AD262" s="2">
        <v>19.849</v>
      </c>
      <c r="AE262" s="2">
        <v>20.385</v>
      </c>
      <c r="AF262" s="2">
        <v>20.931</v>
      </c>
      <c r="AG262" s="2">
        <v>21.489</v>
      </c>
      <c r="AH262" s="2">
        <v>22.058</v>
      </c>
      <c r="AI262" s="2">
        <v>22.636</v>
      </c>
      <c r="AJ262" s="2">
        <v>23.225</v>
      </c>
      <c r="AK262" s="2">
        <v>23.76</v>
      </c>
      <c r="AL262" s="2">
        <v>24.249</v>
      </c>
      <c r="AM262" s="2">
        <v>24.743</v>
      </c>
      <c r="AN262" s="2">
        <v>25.244</v>
      </c>
      <c r="AO262" s="2">
        <v>25.752</v>
      </c>
      <c r="AP262" s="2">
        <v>26.267</v>
      </c>
      <c r="AQ262" s="2">
        <v>26.787</v>
      </c>
      <c r="AR262" s="2">
        <v>27.315</v>
      </c>
      <c r="AS262" s="2">
        <v>27.849</v>
      </c>
      <c r="AT262" s="2">
        <v>28.39</v>
      </c>
      <c r="AU262" s="2">
        <v>28.936</v>
      </c>
      <c r="AV262" s="2">
        <v>29.49</v>
      </c>
      <c r="AW262" s="2">
        <v>30.051</v>
      </c>
      <c r="AX262" s="2">
        <v>30.619</v>
      </c>
      <c r="AY262" s="2">
        <v>31.194</v>
      </c>
      <c r="AZ262" s="2">
        <v>31.776</v>
      </c>
      <c r="BA262" s="2">
        <v>32.364</v>
      </c>
      <c r="BB262" s="2">
        <v>32.958</v>
      </c>
      <c r="BC262" s="2">
        <v>33.559</v>
      </c>
      <c r="BD262" s="2">
        <v>34.165</v>
      </c>
      <c r="BE262" s="2">
        <v>34.777</v>
      </c>
      <c r="BF262" s="2">
        <v>35.394</v>
      </c>
      <c r="BG262" s="2">
        <v>36.016</v>
      </c>
      <c r="BH262" s="2">
        <v>36.642</v>
      </c>
      <c r="BI262" s="2">
        <v>37.273</v>
      </c>
      <c r="BJ262" s="2">
        <v>37.908</v>
      </c>
      <c r="BK262" s="2">
        <v>38.546</v>
      </c>
      <c r="BL262" s="2">
        <v>39.188</v>
      </c>
      <c r="BM262" s="2">
        <v>39.831</v>
      </c>
      <c r="BN262" s="2">
        <v>40.477</v>
      </c>
      <c r="BO262" s="2">
        <v>1500.7050000000004</v>
      </c>
    </row>
    <row r="263" ht="14.25" customHeight="1">
      <c r="A263" s="2" t="s">
        <v>125</v>
      </c>
      <c r="B263" s="2">
        <v>18.145</v>
      </c>
      <c r="C263" s="2">
        <v>18.951</v>
      </c>
      <c r="D263" s="2">
        <v>19.785</v>
      </c>
      <c r="E263" s="2">
        <v>20.712</v>
      </c>
      <c r="F263" s="2">
        <v>22.015</v>
      </c>
      <c r="G263" s="2">
        <v>23.372</v>
      </c>
      <c r="H263" s="2">
        <v>24.789</v>
      </c>
      <c r="I263" s="2">
        <v>26.261</v>
      </c>
      <c r="J263" s="2">
        <v>27.791</v>
      </c>
      <c r="K263" s="2">
        <v>29.37</v>
      </c>
      <c r="L263" s="2">
        <v>30.351</v>
      </c>
      <c r="M263" s="2">
        <v>31.241</v>
      </c>
      <c r="N263" s="2">
        <v>32.146</v>
      </c>
      <c r="O263" s="2">
        <v>33.061</v>
      </c>
      <c r="P263" s="2">
        <v>33.992</v>
      </c>
      <c r="Q263" s="2">
        <v>34.934</v>
      </c>
      <c r="R263" s="2">
        <v>35.89</v>
      </c>
      <c r="S263" s="2">
        <v>36.855</v>
      </c>
      <c r="T263" s="2">
        <v>37.832</v>
      </c>
      <c r="U263" s="2">
        <v>38.818</v>
      </c>
      <c r="V263" s="2">
        <v>39.815</v>
      </c>
      <c r="W263" s="2">
        <v>39.854</v>
      </c>
      <c r="X263" s="2">
        <v>39.805</v>
      </c>
      <c r="Y263" s="2">
        <v>39.755</v>
      </c>
      <c r="Z263" s="2">
        <v>39.705</v>
      </c>
      <c r="AA263" s="2">
        <v>39.655</v>
      </c>
      <c r="AB263" s="2">
        <v>39.606</v>
      </c>
      <c r="AC263" s="2">
        <v>39.556</v>
      </c>
      <c r="AD263" s="2">
        <v>39.506</v>
      </c>
      <c r="AE263" s="2">
        <v>39.456</v>
      </c>
      <c r="AF263" s="2">
        <v>39.407</v>
      </c>
      <c r="AG263" s="2">
        <v>38.989</v>
      </c>
      <c r="AH263" s="2">
        <v>38.514</v>
      </c>
      <c r="AI263" s="2">
        <v>38.042</v>
      </c>
      <c r="AJ263" s="2">
        <v>37.572</v>
      </c>
      <c r="AK263" s="2">
        <v>37.104</v>
      </c>
      <c r="AL263" s="2">
        <v>36.638</v>
      </c>
      <c r="AM263" s="2">
        <v>36.176</v>
      </c>
      <c r="AN263" s="2">
        <v>35.716</v>
      </c>
      <c r="AO263" s="2">
        <v>35.258</v>
      </c>
      <c r="AP263" s="2">
        <v>34.802</v>
      </c>
      <c r="AQ263" s="2">
        <v>35.002</v>
      </c>
      <c r="AR263" s="2">
        <v>35.475</v>
      </c>
      <c r="AS263" s="2">
        <v>35.951</v>
      </c>
      <c r="AT263" s="2">
        <v>36.43</v>
      </c>
      <c r="AU263" s="2">
        <v>36.911</v>
      </c>
      <c r="AV263" s="2">
        <v>37.395</v>
      </c>
      <c r="AW263" s="2">
        <v>37.881</v>
      </c>
      <c r="AX263" s="2">
        <v>38.371</v>
      </c>
      <c r="AY263" s="2">
        <v>38.861</v>
      </c>
      <c r="AZ263" s="2">
        <v>39.355</v>
      </c>
      <c r="BA263" s="2">
        <v>39.851</v>
      </c>
      <c r="BB263" s="2">
        <v>40.354</v>
      </c>
      <c r="BC263" s="2">
        <v>40.865</v>
      </c>
      <c r="BD263" s="2">
        <v>41.382</v>
      </c>
      <c r="BE263" s="2">
        <v>41.907</v>
      </c>
      <c r="BF263" s="2">
        <v>42.438</v>
      </c>
      <c r="BG263" s="2">
        <v>42.976</v>
      </c>
      <c r="BH263" s="2">
        <v>43.521</v>
      </c>
      <c r="BI263" s="2">
        <v>44.072</v>
      </c>
      <c r="BJ263" s="2">
        <v>44.629</v>
      </c>
      <c r="BK263" s="2">
        <v>45.192</v>
      </c>
      <c r="BL263" s="2">
        <v>45.761</v>
      </c>
      <c r="BM263" s="2">
        <v>46.335</v>
      </c>
      <c r="BN263" s="2">
        <v>46.914</v>
      </c>
      <c r="BO263" s="2">
        <v>2359.0710000000004</v>
      </c>
    </row>
    <row r="264" ht="14.25" customHeight="1">
      <c r="A264" s="2" t="s">
        <v>126</v>
      </c>
      <c r="B264" s="2">
        <v>12.608</v>
      </c>
      <c r="C264" s="2">
        <v>12.821</v>
      </c>
      <c r="D264" s="2">
        <v>13.082</v>
      </c>
      <c r="E264" s="2">
        <v>13.578</v>
      </c>
      <c r="F264" s="2">
        <v>14.092</v>
      </c>
      <c r="G264" s="2">
        <v>14.62</v>
      </c>
      <c r="H264" s="2">
        <v>15.165</v>
      </c>
      <c r="I264" s="2">
        <v>15.727</v>
      </c>
      <c r="J264" s="2">
        <v>16.306</v>
      </c>
      <c r="K264" s="2">
        <v>16.88</v>
      </c>
      <c r="L264" s="2">
        <v>17.362</v>
      </c>
      <c r="M264" s="2">
        <v>17.855</v>
      </c>
      <c r="N264" s="2">
        <v>18.36</v>
      </c>
      <c r="O264" s="2">
        <v>18.874</v>
      </c>
      <c r="P264" s="2">
        <v>19.4</v>
      </c>
      <c r="Q264" s="2">
        <v>19.873</v>
      </c>
      <c r="R264" s="2">
        <v>20.356</v>
      </c>
      <c r="S264" s="2">
        <v>20.846</v>
      </c>
      <c r="T264" s="2">
        <v>21.345</v>
      </c>
      <c r="U264" s="2">
        <v>21.853</v>
      </c>
      <c r="V264" s="2">
        <v>22.371</v>
      </c>
      <c r="W264" s="2">
        <v>22.895</v>
      </c>
      <c r="X264" s="2">
        <v>23.429</v>
      </c>
      <c r="Y264" s="2">
        <v>24.069</v>
      </c>
      <c r="Z264" s="2">
        <v>24.736</v>
      </c>
      <c r="AA264" s="2">
        <v>25.414</v>
      </c>
      <c r="AB264" s="2">
        <v>26.105</v>
      </c>
      <c r="AC264" s="2">
        <v>26.809</v>
      </c>
      <c r="AD264" s="2">
        <v>27.524</v>
      </c>
      <c r="AE264" s="2">
        <v>28.25</v>
      </c>
      <c r="AF264" s="2">
        <v>28.988</v>
      </c>
      <c r="AG264" s="2">
        <v>29.738</v>
      </c>
      <c r="AH264" s="2">
        <v>30.499</v>
      </c>
      <c r="AI264" s="2">
        <v>30.94</v>
      </c>
      <c r="AJ264" s="2">
        <v>31.335</v>
      </c>
      <c r="AK264" s="2">
        <v>31.732</v>
      </c>
      <c r="AL264" s="2">
        <v>32.132</v>
      </c>
      <c r="AM264" s="2">
        <v>32.534</v>
      </c>
      <c r="AN264" s="2">
        <v>32.939</v>
      </c>
      <c r="AO264" s="2">
        <v>33.347</v>
      </c>
      <c r="AP264" s="2">
        <v>33.758</v>
      </c>
      <c r="AQ264" s="2">
        <v>34.17</v>
      </c>
      <c r="AR264" s="2">
        <v>34.585</v>
      </c>
      <c r="AS264" s="2">
        <v>34.479</v>
      </c>
      <c r="AT264" s="2">
        <v>34.294</v>
      </c>
      <c r="AU264" s="2">
        <v>34.11</v>
      </c>
      <c r="AV264" s="2">
        <v>33.926</v>
      </c>
      <c r="AW264" s="2">
        <v>33.743</v>
      </c>
      <c r="AX264" s="2">
        <v>33.56</v>
      </c>
      <c r="AY264" s="2">
        <v>33.378</v>
      </c>
      <c r="AZ264" s="2">
        <v>33.196</v>
      </c>
      <c r="BA264" s="2">
        <v>33.015</v>
      </c>
      <c r="BB264" s="2">
        <v>32.834</v>
      </c>
      <c r="BC264" s="2">
        <v>32.654</v>
      </c>
      <c r="BD264" s="2">
        <v>32.504</v>
      </c>
      <c r="BE264" s="2">
        <v>32.385</v>
      </c>
      <c r="BF264" s="2">
        <v>32.296</v>
      </c>
      <c r="BG264" s="2">
        <v>32.237</v>
      </c>
      <c r="BH264" s="2">
        <v>32.209</v>
      </c>
      <c r="BI264" s="2">
        <v>32.21</v>
      </c>
      <c r="BJ264" s="2">
        <v>32.242</v>
      </c>
      <c r="BK264" s="2">
        <v>32.303</v>
      </c>
      <c r="BL264" s="2">
        <v>32.395</v>
      </c>
      <c r="BM264" s="2">
        <v>32.517</v>
      </c>
      <c r="BN264" s="2">
        <v>32.67</v>
      </c>
      <c r="BO264" s="2">
        <v>1734.459</v>
      </c>
    </row>
    <row r="265" ht="14.25" customHeight="1">
      <c r="A265" s="2" t="s">
        <v>431</v>
      </c>
      <c r="B265" s="2">
        <v>9519.422265691357</v>
      </c>
      <c r="C265" s="2">
        <v>9655.369687239516</v>
      </c>
      <c r="D265" s="2">
        <v>9794.239756821318</v>
      </c>
      <c r="E265" s="2">
        <v>9935.271915675705</v>
      </c>
      <c r="F265" s="2">
        <v>10079.037032308923</v>
      </c>
      <c r="G265" s="2">
        <v>10220.874764270093</v>
      </c>
      <c r="H265" s="2">
        <v>10362.71576775853</v>
      </c>
      <c r="I265" s="2">
        <v>10504.820414314101</v>
      </c>
      <c r="J265" s="2">
        <v>10651.92928326442</v>
      </c>
      <c r="K265" s="2">
        <v>10799.59131067955</v>
      </c>
      <c r="L265" s="2">
        <v>10947.364243719443</v>
      </c>
      <c r="M265" s="2">
        <v>11096.008946572656</v>
      </c>
      <c r="N265" s="2">
        <v>11239.57736342067</v>
      </c>
      <c r="O265" s="2">
        <v>11383.33804368276</v>
      </c>
      <c r="P265" s="2">
        <v>11522.886855229652</v>
      </c>
      <c r="Q265" s="2">
        <v>11630.064622500182</v>
      </c>
      <c r="R265" s="2">
        <v>11762.171203976894</v>
      </c>
      <c r="S265" s="2">
        <v>11892.150166036721</v>
      </c>
      <c r="T265" s="2">
        <v>12021.038589008862</v>
      </c>
      <c r="U265" s="2">
        <v>12145.325082899326</v>
      </c>
      <c r="V265" s="2">
        <v>12272.191618005902</v>
      </c>
      <c r="W265" s="2">
        <v>12398.075462821595</v>
      </c>
      <c r="X265" s="2">
        <v>12515.731367402703</v>
      </c>
      <c r="Y265" s="2">
        <v>12630.469651744805</v>
      </c>
      <c r="Z265" s="2">
        <v>12747.500729607294</v>
      </c>
      <c r="AA265" s="2">
        <v>12865.099072906807</v>
      </c>
      <c r="AB265" s="2">
        <v>12983.60987576711</v>
      </c>
      <c r="AC265" s="2">
        <v>13102.692318693165</v>
      </c>
      <c r="AD265" s="2">
        <v>13217.947941052596</v>
      </c>
      <c r="AE265" s="2">
        <v>13324.236054724191</v>
      </c>
      <c r="AF265" s="2">
        <v>13426.607124935776</v>
      </c>
      <c r="AG265" s="2">
        <v>13519.630110526257</v>
      </c>
      <c r="AH265" s="2">
        <v>13598.729843919751</v>
      </c>
      <c r="AI265" s="2">
        <v>13674.500131961704</v>
      </c>
      <c r="AJ265" s="2">
        <v>13747.669272840316</v>
      </c>
      <c r="AK265" s="2">
        <v>13817.872444888628</v>
      </c>
      <c r="AL265" s="2">
        <v>13887.648340068768</v>
      </c>
      <c r="AM265" s="2">
        <v>13960.50129606055</v>
      </c>
      <c r="AN265" s="2">
        <v>14032.609348783566</v>
      </c>
      <c r="AO265" s="2">
        <v>14104.882372021226</v>
      </c>
      <c r="AP265" s="2">
        <v>14179.936846194705</v>
      </c>
      <c r="AQ265" s="2">
        <v>14261.573686246964</v>
      </c>
      <c r="AR265" s="2">
        <v>14343.686160767662</v>
      </c>
      <c r="AS265" s="2">
        <v>14426.218535913451</v>
      </c>
      <c r="AT265" s="2">
        <v>14509.953156002704</v>
      </c>
      <c r="AU265" s="2">
        <v>14595.967932541735</v>
      </c>
      <c r="AV265" s="2">
        <v>14680.95545638227</v>
      </c>
      <c r="AW265" s="2">
        <v>14761.458830267298</v>
      </c>
      <c r="AX265" s="2">
        <v>14848.591301462075</v>
      </c>
      <c r="AY265" s="2">
        <v>14935.352032826899</v>
      </c>
      <c r="AZ265" s="2">
        <v>15021.721023616166</v>
      </c>
      <c r="BA265" s="2">
        <v>15105.044904914581</v>
      </c>
      <c r="BB265" s="2">
        <v>15186.612308710095</v>
      </c>
      <c r="BC265" s="2">
        <v>15266.935059749672</v>
      </c>
      <c r="BD265" s="2">
        <v>15347.145339404151</v>
      </c>
      <c r="BE265" s="2">
        <v>15429.458969824123</v>
      </c>
      <c r="BF265" s="2">
        <v>15512.181883427109</v>
      </c>
      <c r="BG265" s="2">
        <v>15595.2905853128</v>
      </c>
      <c r="BH265" s="2">
        <v>15678.955774983779</v>
      </c>
      <c r="BI265" s="2">
        <v>15763.56416622495</v>
      </c>
      <c r="BJ265" s="2">
        <v>15849.21691798599</v>
      </c>
      <c r="BK265" s="2">
        <v>15935.408579245845</v>
      </c>
      <c r="BL265" s="2">
        <v>16023.275650161977</v>
      </c>
      <c r="BM265" s="2">
        <v>16112.05854578738</v>
      </c>
      <c r="BN265" s="2">
        <v>16201.6914514769</v>
      </c>
      <c r="BO265" s="2">
        <v>862563.6567932345</v>
      </c>
    </row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" t="s">
        <v>407</v>
      </c>
      <c r="B1" s="2">
        <v>1961.0</v>
      </c>
      <c r="C1" s="2" t="s">
        <v>582</v>
      </c>
      <c r="D1" s="2" t="s">
        <v>583</v>
      </c>
      <c r="E1" s="2" t="s">
        <v>584</v>
      </c>
      <c r="F1" s="2" t="s">
        <v>585</v>
      </c>
    </row>
    <row r="2" ht="14.25" customHeight="1">
      <c r="A2" s="2" t="s">
        <v>22</v>
      </c>
    </row>
    <row r="3" ht="14.25" customHeight="1">
      <c r="A3" s="2" t="s">
        <v>23</v>
      </c>
    </row>
    <row r="4" ht="14.25" customHeight="1">
      <c r="A4" s="2" t="s">
        <v>24</v>
      </c>
    </row>
    <row r="5" ht="14.25" customHeight="1">
      <c r="A5" s="2" t="s">
        <v>433</v>
      </c>
    </row>
    <row r="6" ht="14.25" customHeight="1">
      <c r="A6" s="2" t="s">
        <v>26</v>
      </c>
      <c r="C6" s="2">
        <v>1.0</v>
      </c>
    </row>
    <row r="7" ht="14.25" customHeight="1">
      <c r="A7" s="2" t="s">
        <v>27</v>
      </c>
      <c r="B7" s="2">
        <v>1.0</v>
      </c>
    </row>
    <row r="8" ht="14.25" customHeight="1">
      <c r="A8" s="2" t="s">
        <v>435</v>
      </c>
    </row>
    <row r="9" ht="14.25" customHeight="1">
      <c r="A9" s="2" t="s">
        <v>436</v>
      </c>
    </row>
    <row r="10" ht="14.25" customHeight="1">
      <c r="A10" s="2" t="s">
        <v>30</v>
      </c>
      <c r="B10" s="2">
        <v>1.0</v>
      </c>
    </row>
    <row r="11" ht="14.25" customHeight="1">
      <c r="A11" s="2" t="s">
        <v>31</v>
      </c>
    </row>
    <row r="12" ht="14.25" customHeight="1">
      <c r="A12" s="2" t="s">
        <v>437</v>
      </c>
    </row>
    <row r="13" ht="14.25" customHeight="1">
      <c r="A13" s="2" t="s">
        <v>32</v>
      </c>
    </row>
    <row r="14" ht="14.25" customHeight="1">
      <c r="A14" s="2" t="s">
        <v>439</v>
      </c>
    </row>
    <row r="15" ht="14.25" customHeight="1">
      <c r="A15" s="2" t="s">
        <v>414</v>
      </c>
    </row>
    <row r="16" ht="14.25" customHeight="1">
      <c r="A16" s="2" t="s">
        <v>33</v>
      </c>
    </row>
    <row r="17" ht="14.25" customHeight="1">
      <c r="A17" s="2" t="s">
        <v>440</v>
      </c>
    </row>
    <row r="18" ht="14.25" customHeight="1">
      <c r="A18" s="2" t="s">
        <v>441</v>
      </c>
    </row>
    <row r="19" ht="14.25" customHeight="1">
      <c r="A19" s="2" t="s">
        <v>34</v>
      </c>
    </row>
    <row r="20" ht="14.25" customHeight="1">
      <c r="A20" s="2" t="s">
        <v>35</v>
      </c>
    </row>
    <row r="21" ht="14.25" customHeight="1">
      <c r="A21" s="2" t="s">
        <v>36</v>
      </c>
      <c r="B21" s="2">
        <v>1.0</v>
      </c>
    </row>
    <row r="22" ht="14.25" customHeight="1">
      <c r="A22" s="2" t="s">
        <v>37</v>
      </c>
      <c r="E22" s="2">
        <v>1.0</v>
      </c>
    </row>
    <row r="23" ht="14.25" customHeight="1">
      <c r="A23" s="2" t="s">
        <v>38</v>
      </c>
    </row>
    <row r="24" ht="14.25" customHeight="1">
      <c r="A24" s="2" t="s">
        <v>39</v>
      </c>
      <c r="F24" s="2">
        <v>1.0</v>
      </c>
    </row>
    <row r="25" ht="14.25" customHeight="1">
      <c r="A25" s="2" t="s">
        <v>586</v>
      </c>
    </row>
    <row r="26" ht="14.25" customHeight="1">
      <c r="A26" s="2" t="s">
        <v>40</v>
      </c>
      <c r="F26" s="2">
        <v>1.0</v>
      </c>
    </row>
    <row r="27" ht="14.25" customHeight="1">
      <c r="A27" s="2" t="s">
        <v>41</v>
      </c>
    </row>
    <row r="28" ht="14.25" customHeight="1">
      <c r="A28" s="2" t="s">
        <v>447</v>
      </c>
    </row>
    <row r="29" ht="14.25" customHeight="1">
      <c r="A29" s="2" t="s">
        <v>42</v>
      </c>
    </row>
    <row r="30" ht="14.25" customHeight="1">
      <c r="A30" s="2" t="s">
        <v>43</v>
      </c>
    </row>
    <row r="31" ht="14.25" customHeight="1">
      <c r="A31" s="2" t="s">
        <v>44</v>
      </c>
      <c r="D31" s="2">
        <v>1.0</v>
      </c>
    </row>
    <row r="32" ht="14.25" customHeight="1">
      <c r="A32" s="2" t="s">
        <v>587</v>
      </c>
    </row>
    <row r="33" ht="14.25" customHeight="1">
      <c r="A33" s="2" t="s">
        <v>46</v>
      </c>
      <c r="B33" s="2">
        <v>1.0</v>
      </c>
    </row>
    <row r="34" ht="14.25" customHeight="1">
      <c r="A34" s="2" t="s">
        <v>448</v>
      </c>
    </row>
    <row r="35" ht="14.25" customHeight="1">
      <c r="A35" s="2" t="s">
        <v>47</v>
      </c>
    </row>
    <row r="36" ht="14.25" customHeight="1">
      <c r="A36" s="2" t="s">
        <v>48</v>
      </c>
    </row>
    <row r="37" ht="14.25" customHeight="1">
      <c r="A37" s="2" t="s">
        <v>419</v>
      </c>
    </row>
    <row r="38" ht="14.25" customHeight="1">
      <c r="A38" s="2" t="s">
        <v>50</v>
      </c>
    </row>
    <row r="39" ht="14.25" customHeight="1">
      <c r="A39" s="2" t="s">
        <v>453</v>
      </c>
    </row>
    <row r="40" ht="14.25" customHeight="1">
      <c r="A40" s="2" t="s">
        <v>52</v>
      </c>
      <c r="C40" s="2">
        <v>1.0</v>
      </c>
    </row>
    <row r="41" ht="14.25" customHeight="1">
      <c r="A41" s="2" t="s">
        <v>53</v>
      </c>
      <c r="B41" s="2">
        <v>1.0</v>
      </c>
    </row>
    <row r="42" ht="14.25" customHeight="1">
      <c r="A42" s="2" t="s">
        <v>57</v>
      </c>
      <c r="B42" s="2">
        <v>1.0</v>
      </c>
    </row>
    <row r="43" ht="14.25" customHeight="1">
      <c r="A43" s="2" t="s">
        <v>58</v>
      </c>
    </row>
    <row r="44" ht="14.25" customHeight="1">
      <c r="A44" s="2" t="s">
        <v>456</v>
      </c>
    </row>
    <row r="45" ht="14.25" customHeight="1">
      <c r="A45" s="2" t="s">
        <v>457</v>
      </c>
    </row>
    <row r="46" ht="14.25" customHeight="1">
      <c r="A46" s="2" t="s">
        <v>59</v>
      </c>
    </row>
    <row r="47" ht="14.25" customHeight="1">
      <c r="A47" s="2" t="s">
        <v>61</v>
      </c>
    </row>
    <row r="48" ht="14.25" customHeight="1">
      <c r="A48" s="2" t="s">
        <v>588</v>
      </c>
    </row>
    <row r="49" ht="14.25" customHeight="1">
      <c r="A49" s="2" t="s">
        <v>63</v>
      </c>
      <c r="D49" s="2">
        <v>1.0</v>
      </c>
    </row>
    <row r="50" ht="14.25" customHeight="1">
      <c r="A50" s="2" t="s">
        <v>64</v>
      </c>
      <c r="B50" s="2">
        <v>1.0</v>
      </c>
    </row>
    <row r="51" ht="14.25" customHeight="1">
      <c r="A51" s="2" t="s">
        <v>65</v>
      </c>
    </row>
    <row r="52" ht="14.25" customHeight="1">
      <c r="A52" s="2" t="s">
        <v>66</v>
      </c>
    </row>
    <row r="53" ht="14.25" customHeight="1">
      <c r="A53" s="2" t="s">
        <v>422</v>
      </c>
    </row>
    <row r="54" ht="14.25" customHeight="1">
      <c r="A54" s="2" t="s">
        <v>69</v>
      </c>
      <c r="B54" s="2">
        <v>1.0</v>
      </c>
    </row>
    <row r="55" ht="14.25" customHeight="1">
      <c r="A55" s="2" t="s">
        <v>458</v>
      </c>
      <c r="E55" s="2">
        <v>1.0</v>
      </c>
    </row>
    <row r="56" ht="14.25" customHeight="1">
      <c r="A56" s="2" t="s">
        <v>70</v>
      </c>
      <c r="B56" s="2">
        <v>1.0</v>
      </c>
    </row>
    <row r="57" ht="14.25" customHeight="1">
      <c r="A57" s="2" t="s">
        <v>71</v>
      </c>
    </row>
    <row r="58" ht="14.25" customHeight="1">
      <c r="A58" s="2" t="s">
        <v>73</v>
      </c>
    </row>
    <row r="59" ht="14.25" customHeight="1">
      <c r="A59" s="2" t="s">
        <v>589</v>
      </c>
      <c r="E59" s="2">
        <v>1.0</v>
      </c>
    </row>
    <row r="60" ht="14.25" customHeight="1">
      <c r="A60" s="2" t="s">
        <v>75</v>
      </c>
    </row>
    <row r="61" ht="14.25" customHeight="1">
      <c r="A61" s="2" t="s">
        <v>590</v>
      </c>
    </row>
    <row r="62" ht="14.25" customHeight="1">
      <c r="A62" s="2" t="s">
        <v>466</v>
      </c>
    </row>
    <row r="63" ht="14.25" customHeight="1">
      <c r="A63" s="2" t="s">
        <v>76</v>
      </c>
    </row>
    <row r="64" ht="14.25" customHeight="1">
      <c r="A64" s="2" t="s">
        <v>79</v>
      </c>
      <c r="B64" s="2">
        <v>1.0</v>
      </c>
    </row>
    <row r="65" ht="14.25" customHeight="1">
      <c r="A65" s="2" t="s">
        <v>468</v>
      </c>
    </row>
    <row r="66" ht="14.25" customHeight="1">
      <c r="A66" s="2" t="s">
        <v>80</v>
      </c>
    </row>
    <row r="67" ht="14.25" customHeight="1">
      <c r="A67" s="2" t="s">
        <v>81</v>
      </c>
    </row>
    <row r="68" ht="14.25" customHeight="1">
      <c r="A68" s="2" t="s">
        <v>469</v>
      </c>
    </row>
    <row r="69" ht="14.25" customHeight="1">
      <c r="A69" s="2" t="s">
        <v>82</v>
      </c>
    </row>
    <row r="70" ht="14.25" customHeight="1">
      <c r="A70" s="2" t="s">
        <v>83</v>
      </c>
    </row>
    <row r="71" ht="14.25" customHeight="1">
      <c r="A71" s="2" t="s">
        <v>470</v>
      </c>
    </row>
    <row r="72" ht="14.25" customHeight="1">
      <c r="A72" s="2" t="s">
        <v>84</v>
      </c>
    </row>
    <row r="73" ht="14.25" customHeight="1">
      <c r="A73" s="2" t="s">
        <v>85</v>
      </c>
      <c r="D73" s="2">
        <v>1.0</v>
      </c>
    </row>
    <row r="74" ht="14.25" customHeight="1">
      <c r="A74" s="2" t="s">
        <v>472</v>
      </c>
    </row>
    <row r="75" ht="14.25" customHeight="1">
      <c r="A75" s="2" t="s">
        <v>86</v>
      </c>
    </row>
    <row r="76" ht="14.25" customHeight="1">
      <c r="A76" s="2" t="s">
        <v>87</v>
      </c>
    </row>
    <row r="77" ht="14.25" customHeight="1">
      <c r="A77" s="2" t="s">
        <v>88</v>
      </c>
    </row>
    <row r="78" ht="14.25" customHeight="1">
      <c r="A78" s="2" t="s">
        <v>89</v>
      </c>
    </row>
    <row r="79" ht="14.25" customHeight="1">
      <c r="A79" s="2" t="s">
        <v>90</v>
      </c>
      <c r="B79" s="2">
        <v>1.0</v>
      </c>
    </row>
    <row r="80" ht="14.25" customHeight="1">
      <c r="A80" s="2" t="s">
        <v>91</v>
      </c>
      <c r="C80" s="2">
        <v>1.0</v>
      </c>
    </row>
    <row r="81" ht="14.25" customHeight="1">
      <c r="A81" s="2" t="s">
        <v>92</v>
      </c>
    </row>
    <row r="82" ht="14.25" customHeight="1">
      <c r="A82" s="2" t="s">
        <v>93</v>
      </c>
    </row>
    <row r="83" ht="14.25" customHeight="1">
      <c r="A83" s="2" t="s">
        <v>475</v>
      </c>
    </row>
    <row r="84" ht="14.25" customHeight="1">
      <c r="A84" s="2" t="s">
        <v>94</v>
      </c>
      <c r="B84" s="2">
        <v>1.0</v>
      </c>
    </row>
    <row r="85" ht="14.25" customHeight="1">
      <c r="A85" s="2" t="s">
        <v>477</v>
      </c>
    </row>
    <row r="86" ht="14.25" customHeight="1">
      <c r="A86" s="2" t="s">
        <v>96</v>
      </c>
    </row>
    <row r="87" ht="14.25" customHeight="1">
      <c r="A87" s="2" t="s">
        <v>97</v>
      </c>
    </row>
    <row r="88" ht="14.25" customHeight="1">
      <c r="A88" s="2" t="s">
        <v>98</v>
      </c>
    </row>
    <row r="89" ht="14.25" customHeight="1">
      <c r="A89" s="2" t="s">
        <v>99</v>
      </c>
    </row>
    <row r="90" ht="14.25" customHeight="1">
      <c r="A90" s="2" t="s">
        <v>100</v>
      </c>
      <c r="D90" s="2">
        <v>1.0</v>
      </c>
    </row>
    <row r="91" ht="14.25" customHeight="1">
      <c r="A91" s="2" t="s">
        <v>101</v>
      </c>
      <c r="B91" s="2">
        <v>1.0</v>
      </c>
    </row>
    <row r="92" ht="14.25" customHeight="1">
      <c r="A92" s="2" t="s">
        <v>479</v>
      </c>
    </row>
    <row r="93" ht="14.25" customHeight="1">
      <c r="A93" s="2" t="s">
        <v>102</v>
      </c>
    </row>
    <row r="94" ht="14.25" customHeight="1">
      <c r="A94" s="2" t="s">
        <v>482</v>
      </c>
    </row>
    <row r="95" ht="14.25" customHeight="1">
      <c r="A95" s="2" t="s">
        <v>104</v>
      </c>
    </row>
    <row r="96" ht="14.25" customHeight="1">
      <c r="A96" s="2" t="s">
        <v>483</v>
      </c>
    </row>
    <row r="97" ht="14.25" customHeight="1">
      <c r="A97" s="2" t="s">
        <v>484</v>
      </c>
    </row>
    <row r="98" ht="14.25" customHeight="1">
      <c r="A98" s="2" t="s">
        <v>487</v>
      </c>
    </row>
    <row r="99" ht="14.25" customHeight="1">
      <c r="A99" s="2" t="s">
        <v>108</v>
      </c>
      <c r="B99" s="2">
        <v>1.0</v>
      </c>
    </row>
    <row r="100" ht="14.25" customHeight="1">
      <c r="A100" s="2" t="s">
        <v>109</v>
      </c>
    </row>
    <row r="101" ht="14.25" customHeight="1">
      <c r="A101" s="2" t="s">
        <v>452</v>
      </c>
    </row>
    <row r="102" ht="14.25" customHeight="1">
      <c r="A102" s="2" t="s">
        <v>112</v>
      </c>
      <c r="B102" s="2">
        <v>1.0</v>
      </c>
    </row>
    <row r="103" ht="14.25" customHeight="1">
      <c r="A103" s="2" t="s">
        <v>113</v>
      </c>
      <c r="B103" s="2">
        <v>1.0</v>
      </c>
    </row>
    <row r="104" ht="14.25" customHeight="1">
      <c r="A104" s="2" t="s">
        <v>114</v>
      </c>
    </row>
    <row r="105" ht="14.25" customHeight="1">
      <c r="A105" s="2" t="s">
        <v>493</v>
      </c>
    </row>
    <row r="106" ht="14.25" customHeight="1">
      <c r="A106" s="2" t="s">
        <v>115</v>
      </c>
    </row>
    <row r="107" ht="14.25" customHeight="1">
      <c r="A107" s="2" t="s">
        <v>116</v>
      </c>
    </row>
    <row r="108" ht="14.25" customHeight="1">
      <c r="A108" s="2" t="s">
        <v>117</v>
      </c>
    </row>
    <row r="109" ht="14.25" customHeight="1">
      <c r="A109" s="2" t="s">
        <v>118</v>
      </c>
    </row>
    <row r="110" ht="14.25" customHeight="1">
      <c r="A110" s="2" t="s">
        <v>119</v>
      </c>
      <c r="B110" s="2">
        <v>1.0</v>
      </c>
    </row>
    <row r="111" ht="14.25" customHeight="1">
      <c r="A111" s="2" t="s">
        <v>120</v>
      </c>
    </row>
    <row r="112" ht="14.25" customHeight="1">
      <c r="A112" s="2" t="s">
        <v>497</v>
      </c>
    </row>
    <row r="113" ht="14.25" customHeight="1">
      <c r="A113" s="2" t="s">
        <v>498</v>
      </c>
    </row>
    <row r="114" ht="14.25" customHeight="1">
      <c r="A114" s="2" t="s">
        <v>121</v>
      </c>
      <c r="B114" s="2">
        <v>1.0</v>
      </c>
    </row>
    <row r="115" ht="14.25" customHeight="1">
      <c r="A115" s="2" t="s">
        <v>122</v>
      </c>
    </row>
    <row r="116" ht="14.25" customHeight="1">
      <c r="A116" s="2" t="s">
        <v>428</v>
      </c>
    </row>
    <row r="117" ht="14.25" customHeight="1">
      <c r="A117" s="2" t="s">
        <v>502</v>
      </c>
    </row>
    <row r="118" ht="14.25" customHeight="1">
      <c r="A118" s="2" t="s">
        <v>125</v>
      </c>
    </row>
    <row r="119" ht="14.25" customHeight="1">
      <c r="A119" s="2" t="s">
        <v>126</v>
      </c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2025-12-13T09:03:55Z</dcterms:created>
  <dc:creator>Мингазова Арина Ленаровна</dc:creator>
</cp:coreProperties>
</file>